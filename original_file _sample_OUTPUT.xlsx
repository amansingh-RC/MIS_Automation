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 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10409]#,##0.00;\(#,##0.00\);&quot;&quot;"/>
    <numFmt numFmtId="165" formatCode="0.000%"/>
  </numFmts>
  <fonts count="5">
    <font>
      <name val="Calibri"/>
      <family val="2"/>
      <color theme="1"/>
      <sz val="11"/>
      <scheme val="minor"/>
    </font>
    <font>
      <name val="Cambria"/>
      <b val="1"/>
      <sz val="20"/>
    </font>
    <font>
      <name val="Cambria"/>
      <b val="1"/>
      <sz val="14"/>
    </font>
    <font>
      <name val="Cambria"/>
      <b val="1"/>
      <sz val="9"/>
    </font>
    <font>
      <name val="Cambria"/>
      <sz val="9"/>
    </font>
  </fonts>
  <fills count="5">
    <fill>
      <patternFill/>
    </fill>
    <fill>
      <patternFill patternType="gray125"/>
    </fill>
    <fill>
      <patternFill patternType="solid">
        <fgColor theme="0" tint="-0.249977111117893"/>
      </patternFill>
    </fill>
    <fill>
      <patternFill patternType="solid">
        <fgColor rgb="FFFFFF0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.3" customWidth="1" min="2" max="2"/>
    <col width="12.7" customWidth="1" min="3" max="3"/>
    <col width="13.1" customWidth="1" min="4" max="4"/>
    <col width="10.4" customWidth="1" min="5" max="5"/>
    <col width="9.699999999999999" customWidth="1" min="6" max="6"/>
    <col width="9.1" customWidth="1" min="7" max="7"/>
    <col width="7.6" customWidth="1" min="8" max="8"/>
    <col width="9.300000000000001" customWidth="1" min="9" max="9"/>
    <col width="4.9" customWidth="1" min="10" max="10"/>
    <col width="9" customWidth="1" min="11" max="11"/>
    <col width="9.699999999999999" customWidth="1" min="12" max="12"/>
  </cols>
  <sheetData>
    <row r="1" ht="25.5" customHeight="1">
      <c r="A1" s="1" t="inlineStr">
        <is>
          <t>Loss Report Summary</t>
        </is>
      </c>
    </row>
    <row r="2" ht="18" customHeight="1">
      <c r="A2" s="2" t="inlineStr">
        <is>
          <t xml:space="preserve">Date From : 22-06-2026 To 22-06-2026  </t>
        </is>
      </c>
      <c r="H2" s="2" t="inlineStr">
        <is>
          <t>Date : 22-06-2026</t>
        </is>
      </c>
    </row>
    <row r="3" ht="36" customHeight="1">
      <c r="A3" s="3" t="inlineStr">
        <is>
          <t>Wc Name</t>
        </is>
      </c>
      <c r="B3" s="3" t="inlineStr">
        <is>
          <t>Issue Quantity Pg</t>
        </is>
      </c>
      <c r="C3" s="3" t="inlineStr">
        <is>
          <t>Process Quantity Pg</t>
        </is>
      </c>
      <c r="D3" s="3" t="inlineStr">
        <is>
          <t>Unutilized Quantity Pg</t>
        </is>
      </c>
      <c r="E3" s="3" t="inlineStr">
        <is>
          <t>Unutilized Quantity Scrap Pg</t>
        </is>
      </c>
      <c r="F3" s="3" t="inlineStr">
        <is>
          <t>Unutilized Quantity Sample Pg</t>
        </is>
      </c>
      <c r="G3" s="3" t="inlineStr">
        <is>
          <t>Loss Quantity Pg</t>
        </is>
      </c>
      <c r="H3" s="3" t="inlineStr">
        <is>
          <t>Gain Pg</t>
        </is>
      </c>
      <c r="I3" s="3" t="inlineStr">
        <is>
          <t>Bal Pg</t>
        </is>
      </c>
      <c r="J3" s="4" t="n"/>
      <c r="K3" s="5" t="inlineStr">
        <is>
          <t>FINAL LOSS</t>
        </is>
      </c>
      <c r="L3" s="5" t="inlineStr">
        <is>
          <t>LOSS %</t>
        </is>
      </c>
    </row>
    <row r="4">
      <c r="A4" s="6" t="inlineStr">
        <is>
          <t>1F-HAND-CUTTING-WK</t>
        </is>
      </c>
      <c r="B4" s="7" t="n">
        <v>583.0644</v>
      </c>
      <c r="C4" s="7" t="n">
        <v>545.49441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37.56999</v>
      </c>
      <c r="J4" s="4" t="n"/>
      <c r="K4" s="8">
        <f>G4+H4</f>
        <v/>
      </c>
      <c r="L4" s="9">
        <f>IFERROR(K4/(C4+D4+E4+F4),"")</f>
        <v/>
      </c>
    </row>
    <row r="5">
      <c r="A5" s="6" t="inlineStr">
        <is>
          <t>1FLOOR-ALLOYING-WK</t>
        </is>
      </c>
      <c r="B5" s="7" t="n">
        <v>4677.919632</v>
      </c>
      <c r="C5" s="7" t="n">
        <v>4663.72057</v>
      </c>
      <c r="D5" s="7" t="n">
        <v>14.13297</v>
      </c>
      <c r="E5" s="7" t="n">
        <v>0</v>
      </c>
      <c r="F5" s="7" t="n">
        <v>0</v>
      </c>
      <c r="G5" s="7" t="n">
        <v>0.06609200129999999</v>
      </c>
      <c r="H5" s="7" t="n">
        <v>-2.2e-09</v>
      </c>
      <c r="I5" s="7" t="n">
        <v>9e-10</v>
      </c>
      <c r="J5" s="4" t="n"/>
      <c r="K5" s="8">
        <f>G5+H5</f>
        <v/>
      </c>
      <c r="L5" s="9">
        <f>IFERROR(K5/(C5+D5+E5+F5),"")</f>
        <v/>
      </c>
    </row>
    <row r="6">
      <c r="A6" s="6" t="inlineStr">
        <is>
          <t>ALLOYING-WK</t>
        </is>
      </c>
      <c r="B6" s="7" t="n">
        <v>20287.7502365</v>
      </c>
      <c r="C6" s="7" t="n">
        <v>20287.7502362648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-5.52e-08</v>
      </c>
      <c r="I6" s="7" t="n">
        <v>2.904e-07</v>
      </c>
      <c r="J6" s="4" t="n"/>
      <c r="K6" s="8">
        <f>G6+H6</f>
        <v/>
      </c>
      <c r="L6" s="9">
        <f>IFERROR(K6/(C6+D6+E6+F6),"")</f>
        <v/>
      </c>
    </row>
    <row r="7">
      <c r="A7" s="6" t="inlineStr">
        <is>
          <t>BALL-CHAIN-WK</t>
        </is>
      </c>
      <c r="B7" s="7" t="n">
        <v>6492.868805</v>
      </c>
      <c r="C7" s="7" t="n">
        <v>6195.476535</v>
      </c>
      <c r="D7" s="7" t="n">
        <v>291.74355</v>
      </c>
      <c r="E7" s="7" t="n">
        <v>5.12603</v>
      </c>
      <c r="F7" s="7" t="n">
        <v>0</v>
      </c>
      <c r="G7" s="7" t="n">
        <v>0.52269</v>
      </c>
      <c r="H7" s="7" t="n">
        <v>0</v>
      </c>
      <c r="I7" s="7" t="n">
        <v>0</v>
      </c>
      <c r="J7" s="4" t="n"/>
      <c r="K7" s="8">
        <f>G7+H7</f>
        <v/>
      </c>
      <c r="L7" s="9">
        <f>IFERROR(K7/(C7+D7+E7+F7),"")</f>
        <v/>
      </c>
    </row>
    <row r="8">
      <c r="A8" s="6" t="inlineStr">
        <is>
          <t>BEAD-CUTTING-WK</t>
        </is>
      </c>
      <c r="B8" s="7" t="n">
        <v>1349.57641</v>
      </c>
      <c r="C8" s="7" t="n">
        <v>1038.78677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310.78964</v>
      </c>
      <c r="J8" s="4" t="n"/>
      <c r="K8" s="8">
        <f>G8+H8</f>
        <v/>
      </c>
      <c r="L8" s="9">
        <f>IFERROR(K8/(C8+D8+E8+F8),"")</f>
        <v/>
      </c>
    </row>
    <row r="9">
      <c r="A9" s="6" t="inlineStr">
        <is>
          <t>BISMARK-WK</t>
        </is>
      </c>
      <c r="B9" s="7" t="n">
        <v>526.56891</v>
      </c>
      <c r="C9" s="7" t="n">
        <v>507.101</v>
      </c>
      <c r="D9" s="7" t="n">
        <v>0</v>
      </c>
      <c r="E9" s="7" t="n">
        <v>19.44957</v>
      </c>
      <c r="F9" s="7" t="n">
        <v>0</v>
      </c>
      <c r="G9" s="7" t="n">
        <v>0.01834</v>
      </c>
      <c r="H9" s="7" t="n">
        <v>0</v>
      </c>
      <c r="I9" s="7" t="n">
        <v>0</v>
      </c>
      <c r="J9" s="4" t="n"/>
      <c r="K9" s="8">
        <f>G9+H9</f>
        <v/>
      </c>
      <c r="L9" s="9">
        <f>IFERROR(K9/(C9+D9+E9+F9),"")</f>
        <v/>
      </c>
    </row>
    <row r="10">
      <c r="A10" s="6" t="inlineStr">
        <is>
          <t>BOOMING-WK</t>
        </is>
      </c>
      <c r="B10" s="7" t="n">
        <v>4701.2555553045</v>
      </c>
      <c r="C10" s="7" t="n">
        <v>4408.0052</v>
      </c>
      <c r="D10" s="7" t="n">
        <v>0</v>
      </c>
      <c r="E10" s="7" t="n">
        <v>0</v>
      </c>
      <c r="F10" s="7" t="n">
        <v>0</v>
      </c>
      <c r="G10" s="7" t="n">
        <v>293.2503553045</v>
      </c>
      <c r="H10" s="7" t="n">
        <v>0</v>
      </c>
      <c r="I10" s="7" t="n">
        <v>0</v>
      </c>
      <c r="J10" s="4" t="n"/>
      <c r="K10" s="8">
        <f>G10+H10</f>
        <v/>
      </c>
      <c r="L10" s="9">
        <f>IFERROR(K10/(C10+D10+E10+F10),"")</f>
        <v/>
      </c>
    </row>
    <row r="11">
      <c r="A11" s="6" t="inlineStr">
        <is>
          <t>BOX-WK</t>
        </is>
      </c>
      <c r="B11" s="7" t="n">
        <v>1324.43637</v>
      </c>
      <c r="C11" s="7" t="n">
        <v>1297.715875</v>
      </c>
      <c r="D11" s="7" t="n">
        <v>0</v>
      </c>
      <c r="E11" s="7" t="n">
        <v>26.54542</v>
      </c>
      <c r="F11" s="7" t="n">
        <v>0</v>
      </c>
      <c r="G11" s="7" t="n">
        <v>0.175075</v>
      </c>
      <c r="H11" s="7" t="n">
        <v>0</v>
      </c>
      <c r="I11" s="7" t="n">
        <v>0</v>
      </c>
      <c r="J11" s="4" t="n"/>
      <c r="K11" s="8">
        <f>G11+H11</f>
        <v/>
      </c>
      <c r="L11" s="9">
        <f>IFERROR(K11/(C11+D11+E11+F11),"")</f>
        <v/>
      </c>
    </row>
    <row r="12">
      <c r="A12" s="6" t="inlineStr">
        <is>
          <t>BURRATO-WK</t>
        </is>
      </c>
      <c r="B12" s="7" t="n">
        <v>1164.3762008081</v>
      </c>
      <c r="C12" s="7" t="n">
        <v>1138.6360562913</v>
      </c>
      <c r="D12" s="7" t="n">
        <v>0</v>
      </c>
      <c r="E12" s="7" t="n">
        <v>0</v>
      </c>
      <c r="F12" s="7" t="n">
        <v>0</v>
      </c>
      <c r="G12" s="7" t="n">
        <v>25.7401445168</v>
      </c>
      <c r="H12" s="7" t="n">
        <v>0</v>
      </c>
      <c r="I12" s="7" t="n">
        <v>0</v>
      </c>
      <c r="J12" s="4" t="n"/>
      <c r="K12" s="8">
        <f>G12+H12</f>
        <v/>
      </c>
      <c r="L12" s="9">
        <f>IFERROR(K12/(C12+D12+E12+F12),"")</f>
        <v/>
      </c>
    </row>
    <row r="13">
      <c r="A13" s="6" t="inlineStr">
        <is>
          <t>CABLE-WK</t>
        </is>
      </c>
      <c r="B13" s="7" t="n">
        <v>515.14309</v>
      </c>
      <c r="C13" s="7" t="n">
        <v>510.71398</v>
      </c>
      <c r="D13" s="7" t="n">
        <v>0</v>
      </c>
      <c r="E13" s="7" t="n">
        <v>4.35575</v>
      </c>
      <c r="F13" s="7" t="n">
        <v>0</v>
      </c>
      <c r="G13" s="7" t="n">
        <v>0.07335999999999999</v>
      </c>
      <c r="H13" s="7" t="n">
        <v>0</v>
      </c>
      <c r="I13" s="7" t="n">
        <v>0</v>
      </c>
      <c r="J13" s="4" t="n"/>
      <c r="K13" s="8">
        <f>G13+H13</f>
        <v/>
      </c>
      <c r="L13" s="9">
        <f>IFERROR(K13/(C13+D13+E13+F13),"")</f>
        <v/>
      </c>
    </row>
    <row r="14">
      <c r="A14" s="6" t="inlineStr">
        <is>
          <t>CAST GOLD BUFFING WK</t>
        </is>
      </c>
      <c r="B14" s="7" t="n">
        <v>2949.277277</v>
      </c>
      <c r="C14" s="7" t="n">
        <v>2833.043167</v>
      </c>
      <c r="D14" s="7" t="n">
        <v>0</v>
      </c>
      <c r="E14" s="7" t="n">
        <v>0</v>
      </c>
      <c r="F14" s="7" t="n">
        <v>0</v>
      </c>
      <c r="G14" s="7" t="n">
        <v>116.23411</v>
      </c>
      <c r="H14" s="7" t="n">
        <v>0</v>
      </c>
      <c r="I14" s="7" t="n">
        <v>0</v>
      </c>
      <c r="J14" s="4" t="n"/>
      <c r="K14" s="8">
        <f>G14+H14</f>
        <v/>
      </c>
      <c r="L14" s="9">
        <f>IFERROR(K14/(C14+D14+E14+F14),"")</f>
        <v/>
      </c>
    </row>
    <row r="15">
      <c r="A15" s="6" t="inlineStr">
        <is>
          <t>CAST RHODIUM PLATING-WK</t>
        </is>
      </c>
      <c r="B15" s="7" t="n">
        <v>531.1255699999999</v>
      </c>
      <c r="C15" s="7" t="n">
        <v>531.17391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-0.04833999999999999</v>
      </c>
      <c r="I15" s="7" t="n">
        <v>0</v>
      </c>
      <c r="J15" s="4" t="n"/>
      <c r="K15" s="8">
        <f>G15+H15</f>
        <v/>
      </c>
      <c r="L15" s="9">
        <f>IFERROR(K15/(C15+D15+E15+F15),"")</f>
        <v/>
      </c>
    </row>
    <row r="16">
      <c r="A16" s="6" t="inlineStr">
        <is>
          <t>CC-MELTING-WK</t>
        </is>
      </c>
      <c r="B16" s="7" t="n">
        <v>16230.433045804</v>
      </c>
      <c r="C16" s="7" t="n">
        <v>16209.07667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21.356375804</v>
      </c>
      <c r="J16" s="4" t="n"/>
      <c r="K16" s="8">
        <f>G16+H16</f>
        <v/>
      </c>
      <c r="L16" s="9">
        <f>IFERROR(K16/(C16+D16+E16+F16),"")</f>
        <v/>
      </c>
    </row>
    <row r="17">
      <c r="A17" s="6" t="inlineStr">
        <is>
          <t>CHAIN-RHODIUM-WK</t>
        </is>
      </c>
      <c r="B17" s="7" t="n">
        <v>651.447435</v>
      </c>
      <c r="C17" s="7" t="n">
        <v>651.795125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-0.34769</v>
      </c>
      <c r="I17" s="7" t="n">
        <v>0</v>
      </c>
      <c r="J17" s="4" t="n"/>
      <c r="K17" s="8">
        <f>G17+H17</f>
        <v/>
      </c>
      <c r="L17" s="9">
        <f>IFERROR(K17/(C17+D17+E17+F17),"")</f>
        <v/>
      </c>
    </row>
    <row r="18">
      <c r="A18" s="6" t="inlineStr">
        <is>
          <t>CNC-LASER-CUTTING-WK</t>
        </is>
      </c>
      <c r="B18" s="7" t="n">
        <v>4772.795885</v>
      </c>
      <c r="C18" s="7" t="n">
        <v>4356.736140999999</v>
      </c>
      <c r="D18" s="7" t="n">
        <v>207.572345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208.487399</v>
      </c>
      <c r="J18" s="4" t="n"/>
      <c r="K18" s="8">
        <f>G18+H18</f>
        <v/>
      </c>
      <c r="L18" s="9">
        <f>IFERROR(K18/(C18+D18+E18+F18),"")</f>
        <v/>
      </c>
    </row>
    <row r="19">
      <c r="A19" s="6" t="inlineStr">
        <is>
          <t>CURB-WK</t>
        </is>
      </c>
      <c r="B19" s="7" t="n">
        <v>567.72208</v>
      </c>
      <c r="C19" s="7" t="n">
        <v>555.220835</v>
      </c>
      <c r="D19" s="7" t="n">
        <v>0</v>
      </c>
      <c r="E19" s="7" t="n">
        <v>12.403705</v>
      </c>
      <c r="F19" s="7" t="n">
        <v>0</v>
      </c>
      <c r="G19" s="7" t="n">
        <v>0.09754</v>
      </c>
      <c r="H19" s="7" t="n">
        <v>0</v>
      </c>
      <c r="I19" s="7" t="n">
        <v>0</v>
      </c>
      <c r="J19" s="4" t="n"/>
      <c r="K19" s="8">
        <f>G19+H19</f>
        <v/>
      </c>
      <c r="L19" s="9">
        <f>IFERROR(K19/(C19+D19+E19+F19),"")</f>
        <v/>
      </c>
    </row>
    <row r="20">
      <c r="A20" s="6" t="inlineStr">
        <is>
          <t>DIAMOND-CUTTING-WK</t>
        </is>
      </c>
      <c r="B20" s="7" t="n">
        <v>4828.50624</v>
      </c>
      <c r="C20" s="7" t="n">
        <v>3976.04677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852.45947</v>
      </c>
      <c r="J20" s="4" t="n"/>
      <c r="K20" s="8">
        <f>G20+H20</f>
        <v/>
      </c>
      <c r="L20" s="9">
        <f>IFERROR(K20/(C20+D20+E20+F20),"")</f>
        <v/>
      </c>
    </row>
    <row r="21">
      <c r="A21" s="6" t="inlineStr">
        <is>
          <t>ENAMEL WK</t>
        </is>
      </c>
      <c r="B21" s="7" t="n">
        <v>384.625547</v>
      </c>
      <c r="C21" s="7" t="n">
        <v>385.494087</v>
      </c>
      <c r="D21" s="7" t="n">
        <v>0</v>
      </c>
      <c r="E21" s="7" t="n">
        <v>0</v>
      </c>
      <c r="F21" s="7" t="n">
        <v>0</v>
      </c>
      <c r="G21" s="7" t="n">
        <v>0.02751</v>
      </c>
      <c r="H21" s="7" t="n">
        <v>-0.89605</v>
      </c>
      <c r="I21" s="7" t="n">
        <v>0</v>
      </c>
      <c r="J21" s="4" t="n"/>
      <c r="K21" s="8">
        <f>G21+H21</f>
        <v/>
      </c>
      <c r="L21" s="9">
        <f>IFERROR(K21/(C21+D21+E21+F21),"")</f>
        <v/>
      </c>
    </row>
    <row r="22">
      <c r="A22" s="6" t="inlineStr">
        <is>
          <t>GOLD METAL SETTING WK</t>
        </is>
      </c>
      <c r="B22" s="7" t="n">
        <v>382.6954</v>
      </c>
      <c r="C22" s="7" t="n">
        <v>381.87927</v>
      </c>
      <c r="D22" s="7" t="n">
        <v>0</v>
      </c>
      <c r="E22" s="7" t="n">
        <v>0</v>
      </c>
      <c r="F22" s="7" t="n">
        <v>0</v>
      </c>
      <c r="G22" s="7" t="n">
        <v>0.81613</v>
      </c>
      <c r="H22" s="7" t="n">
        <v>0</v>
      </c>
      <c r="I22" s="7" t="n">
        <v>0</v>
      </c>
      <c r="J22" s="4" t="n"/>
      <c r="K22" s="8">
        <f>G22+H22</f>
        <v/>
      </c>
      <c r="L22" s="9">
        <f>IFERROR(K22/(C22+D22+E22+F22),"")</f>
        <v/>
      </c>
    </row>
    <row r="23">
      <c r="A23" s="6" t="inlineStr">
        <is>
          <t>GOLD-ASSEMBLY-WK</t>
        </is>
      </c>
      <c r="B23" s="7" t="n">
        <v>5385.927746</v>
      </c>
      <c r="C23" s="7" t="n">
        <v>5004.790576</v>
      </c>
      <c r="D23" s="7" t="n">
        <v>64.62125400000001</v>
      </c>
      <c r="E23" s="7" t="n">
        <v>0</v>
      </c>
      <c r="F23" s="7" t="n">
        <v>0</v>
      </c>
      <c r="G23" s="7" t="n">
        <v>0.002646</v>
      </c>
      <c r="H23" s="7" t="n">
        <v>0</v>
      </c>
      <c r="I23" s="7" t="n">
        <v>316.51327</v>
      </c>
      <c r="J23" s="4" t="n"/>
      <c r="K23" s="8">
        <f>G23+H23</f>
        <v/>
      </c>
      <c r="L23" s="9">
        <f>IFERROR(K23/(C23+D23+E23+F23),"")</f>
        <v/>
      </c>
    </row>
    <row r="24">
      <c r="A24" s="6" t="inlineStr">
        <is>
          <t>GOLD-BUFFING-WK</t>
        </is>
      </c>
      <c r="B24" s="7" t="n">
        <v>8156.77548</v>
      </c>
      <c r="C24" s="7" t="n">
        <v>8123.015015</v>
      </c>
      <c r="D24" s="7" t="n">
        <v>0.562875</v>
      </c>
      <c r="E24" s="7" t="n">
        <v>0</v>
      </c>
      <c r="F24" s="7" t="n">
        <v>0</v>
      </c>
      <c r="G24" s="7" t="n">
        <v>33.19759</v>
      </c>
      <c r="H24" s="7" t="n">
        <v>0</v>
      </c>
      <c r="I24" s="7" t="n">
        <v>0</v>
      </c>
      <c r="J24" s="4" t="n"/>
      <c r="K24" s="8">
        <f>G24+H24</f>
        <v/>
      </c>
      <c r="L24" s="9">
        <f>IFERROR(K24/(C24+D24+E24+F24),"")</f>
        <v/>
      </c>
    </row>
    <row r="25">
      <c r="A25" s="6" t="inlineStr">
        <is>
          <t>GOLD-CASTING-WK</t>
        </is>
      </c>
      <c r="B25" s="7" t="n">
        <v>39695.7032094</v>
      </c>
      <c r="C25" s="7" t="n">
        <v>39562.9811292934</v>
      </c>
      <c r="D25" s="7" t="n">
        <v>127.49927</v>
      </c>
      <c r="E25" s="7" t="n">
        <v>0</v>
      </c>
      <c r="F25" s="7" t="n">
        <v>0</v>
      </c>
      <c r="G25" s="7" t="n">
        <v>5.2228101</v>
      </c>
      <c r="H25" s="7" t="n">
        <v>-4.34e-08</v>
      </c>
      <c r="I25" s="7" t="n">
        <v>5e-08</v>
      </c>
      <c r="J25" s="4" t="n"/>
      <c r="K25" s="8">
        <f>G25+H25</f>
        <v/>
      </c>
      <c r="L25" s="9">
        <f>IFERROR(K25/(C25+D25+E25+F25),"")</f>
        <v/>
      </c>
    </row>
    <row r="26">
      <c r="A26" s="6" t="inlineStr">
        <is>
          <t>GOLD-EP-WK</t>
        </is>
      </c>
      <c r="B26" s="7" t="n">
        <v>2094.628795</v>
      </c>
      <c r="C26" s="7" t="n">
        <v>1974.036525</v>
      </c>
      <c r="D26" s="7" t="n">
        <v>0</v>
      </c>
      <c r="E26" s="7" t="n">
        <v>0</v>
      </c>
      <c r="F26" s="7" t="n">
        <v>0</v>
      </c>
      <c r="G26" s="7" t="n">
        <v>120.59227</v>
      </c>
      <c r="H26" s="7" t="n">
        <v>0</v>
      </c>
      <c r="I26" s="7" t="n">
        <v>0</v>
      </c>
      <c r="J26" s="4" t="n"/>
      <c r="K26" s="8">
        <f>G26+H26</f>
        <v/>
      </c>
      <c r="L26" s="9">
        <f>IFERROR(K26/(C26+D26+E26+F26),"")</f>
        <v/>
      </c>
    </row>
    <row r="27">
      <c r="A27" s="6" t="inlineStr">
        <is>
          <t>GOLD-FILLING-WK</t>
        </is>
      </c>
      <c r="B27" s="7" t="n">
        <v>4387.758956</v>
      </c>
      <c r="C27" s="7" t="n">
        <v>4181.672476</v>
      </c>
      <c r="D27" s="7" t="n">
        <v>0.01834</v>
      </c>
      <c r="E27" s="7" t="n">
        <v>0</v>
      </c>
      <c r="F27" s="7" t="n">
        <v>0</v>
      </c>
      <c r="G27" s="7" t="n">
        <v>206.06814</v>
      </c>
      <c r="H27" s="7" t="n">
        <v>0</v>
      </c>
      <c r="I27" s="7" t="n">
        <v>0</v>
      </c>
      <c r="J27" s="4" t="n"/>
      <c r="K27" s="8">
        <f>G27+H27</f>
        <v/>
      </c>
      <c r="L27" s="9">
        <f>IFERROR(K27/(C27+D27+E27+F27),"")</f>
        <v/>
      </c>
    </row>
    <row r="28">
      <c r="A28" s="6" t="inlineStr">
        <is>
          <t>GOLD-REPAIR-ASSEMBLY-WK</t>
        </is>
      </c>
      <c r="B28" s="7" t="n">
        <v>37.574075</v>
      </c>
      <c r="C28" s="7" t="n">
        <v>37.574075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4" t="n"/>
      <c r="K28" s="8">
        <f>G28+H28</f>
        <v/>
      </c>
      <c r="L28" s="9">
        <f>IFERROR(K28/(C28+D28+E28+F28),"")</f>
        <v/>
      </c>
    </row>
    <row r="29">
      <c r="A29" s="6" t="inlineStr">
        <is>
          <t>GOLD-REPAIR-WK</t>
        </is>
      </c>
      <c r="B29" s="7" t="n">
        <v>1808.29892</v>
      </c>
      <c r="C29" s="7" t="n">
        <v>1758.31558</v>
      </c>
      <c r="D29" s="7" t="n">
        <v>39.49122</v>
      </c>
      <c r="E29" s="7" t="n">
        <v>10.49212</v>
      </c>
      <c r="F29" s="7" t="n">
        <v>0</v>
      </c>
      <c r="G29" s="7" t="n">
        <v>0</v>
      </c>
      <c r="H29" s="7" t="n">
        <v>0</v>
      </c>
      <c r="I29" s="7" t="n">
        <v>0</v>
      </c>
      <c r="J29" s="4" t="n"/>
      <c r="K29" s="8">
        <f>G29+H29</f>
        <v/>
      </c>
      <c r="L29" s="9">
        <f>IFERROR(K29/(C29+D29+E29+F29),"")</f>
        <v/>
      </c>
    </row>
    <row r="30">
      <c r="A30" s="6" t="inlineStr">
        <is>
          <t>GOLD-SHORT-WK</t>
        </is>
      </c>
      <c r="B30" s="7" t="n">
        <v>95.39934</v>
      </c>
      <c r="C30" s="7" t="n">
        <v>21.32934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74.06999999999999</v>
      </c>
      <c r="J30" s="4" t="n"/>
      <c r="K30" s="8">
        <f>G30+H30</f>
        <v/>
      </c>
      <c r="L30" s="9">
        <f>IFERROR(K30/(C30+D30+E30+F30),"")</f>
        <v/>
      </c>
    </row>
    <row r="31">
      <c r="A31" s="6" t="inlineStr">
        <is>
          <t>GOLD-TREE-CUTTING-WK</t>
        </is>
      </c>
      <c r="B31" s="7" t="n">
        <v>20744.793407</v>
      </c>
      <c r="C31" s="7" t="n">
        <v>1640.1705</v>
      </c>
      <c r="D31" s="7" t="n">
        <v>19104.622907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4" t="n"/>
      <c r="K31" s="8">
        <f>G31+H31</f>
        <v/>
      </c>
      <c r="L31" s="9">
        <f>IFERROR(K31/(C31+D31+E31+F31),"")</f>
        <v/>
      </c>
    </row>
    <row r="32">
      <c r="A32" s="6" t="inlineStr">
        <is>
          <t>HAMMERING-WK</t>
        </is>
      </c>
      <c r="B32" s="7" t="n">
        <v>1999.484605</v>
      </c>
      <c r="C32" s="7" t="n">
        <v>1993.80072</v>
      </c>
      <c r="D32" s="7" t="n">
        <v>0</v>
      </c>
      <c r="E32" s="7" t="n">
        <v>5.619695</v>
      </c>
      <c r="F32" s="7" t="n">
        <v>0</v>
      </c>
      <c r="G32" s="7" t="n">
        <v>0.06419</v>
      </c>
      <c r="H32" s="7" t="n">
        <v>0</v>
      </c>
      <c r="I32" s="7" t="n">
        <v>0</v>
      </c>
      <c r="J32" s="4" t="n"/>
      <c r="K32" s="8">
        <f>G32+H32</f>
        <v/>
      </c>
      <c r="L32" s="9">
        <f>IFERROR(K32/(C32+D32+E32+F32),"")</f>
        <v/>
      </c>
    </row>
    <row r="33">
      <c r="A33" s="6" t="inlineStr">
        <is>
          <t>HAND-CUTTING-WK</t>
        </is>
      </c>
      <c r="B33" s="7" t="n">
        <v>30.97626</v>
      </c>
      <c r="C33" s="7" t="n">
        <v>27.7851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3.19116</v>
      </c>
      <c r="J33" s="4" t="n"/>
      <c r="K33" s="8">
        <f>G33+H33</f>
        <v/>
      </c>
      <c r="L33" s="9">
        <f>IFERROR(K33/(C33+D33+E33+F33),"")</f>
        <v/>
      </c>
    </row>
    <row r="34">
      <c r="A34" s="6" t="inlineStr">
        <is>
          <t>HAND-MELTING-WK</t>
        </is>
      </c>
      <c r="B34" s="7" t="n">
        <v>2229.3514004797</v>
      </c>
      <c r="C34" s="7" t="n">
        <v>2217.092455</v>
      </c>
      <c r="D34" s="7" t="n">
        <v>0</v>
      </c>
      <c r="E34" s="7" t="n">
        <v>10.034185</v>
      </c>
      <c r="F34" s="7" t="n">
        <v>0</v>
      </c>
      <c r="G34" s="7" t="n">
        <v>2.22476093</v>
      </c>
      <c r="H34" s="7" t="n">
        <v>-4.503e-07</v>
      </c>
      <c r="I34" s="7" t="n">
        <v>0</v>
      </c>
      <c r="J34" s="4" t="n"/>
      <c r="K34" s="8">
        <f>G34+H34</f>
        <v/>
      </c>
      <c r="L34" s="9">
        <f>IFERROR(K34/(C34+D34+E34+F34),"")</f>
        <v/>
      </c>
    </row>
    <row r="35">
      <c r="A35" s="6" t="inlineStr">
        <is>
          <t>HL-AGRAFATO-WK</t>
        </is>
      </c>
      <c r="B35" s="7" t="n">
        <v>4205.0821003672</v>
      </c>
      <c r="C35" s="7" t="n">
        <v>4205.0821003672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4" t="n"/>
      <c r="K35" s="8">
        <f>G35+H35</f>
        <v/>
      </c>
      <c r="L35" s="9">
        <f>IFERROR(K35/(C35+D35+E35+F35),"")</f>
        <v/>
      </c>
    </row>
    <row r="36">
      <c r="A36" s="6" t="inlineStr">
        <is>
          <t>HL-DABBA-SCRAP-WK</t>
        </is>
      </c>
      <c r="B36" s="7" t="n">
        <v>236.7381821</v>
      </c>
      <c r="C36" s="7" t="n">
        <v>236.7381820675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3.25e-08</v>
      </c>
      <c r="J36" s="4" t="n"/>
      <c r="K36" s="8">
        <f>G36+H36</f>
        <v/>
      </c>
      <c r="L36" s="9">
        <f>IFERROR(K36/(C36+D36+E36+F36),"")</f>
        <v/>
      </c>
    </row>
    <row r="37">
      <c r="A37" s="6" t="inlineStr">
        <is>
          <t>HL-EMPTY-WK</t>
        </is>
      </c>
      <c r="B37" s="7" t="n">
        <v>1285.0586062913</v>
      </c>
      <c r="C37" s="7" t="n">
        <v>1285.0798093487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-0.0212030574</v>
      </c>
      <c r="I37" s="7" t="n">
        <v>0</v>
      </c>
      <c r="J37" s="4" t="n"/>
      <c r="K37" s="8">
        <f>G37+H37</f>
        <v/>
      </c>
      <c r="L37" s="9">
        <f>IFERROR(K37/(C37+D37+E37+F37),"")</f>
        <v/>
      </c>
    </row>
    <row r="38">
      <c r="A38" s="6" t="inlineStr">
        <is>
          <t>HL-ROLLING-WK</t>
        </is>
      </c>
      <c r="B38" s="7" t="n">
        <v>3377.33355</v>
      </c>
      <c r="C38" s="7" t="n">
        <v>3377.3335503672</v>
      </c>
      <c r="D38" s="7" t="n">
        <v>0</v>
      </c>
      <c r="E38" s="7" t="n">
        <v>0</v>
      </c>
      <c r="F38" s="7" t="n">
        <v>0</v>
      </c>
      <c r="G38" s="7" t="n">
        <v>0</v>
      </c>
      <c r="H38" s="7" t="n">
        <v>-3.672e-07</v>
      </c>
      <c r="I38" s="7" t="n">
        <v>0</v>
      </c>
      <c r="J38" s="4" t="n"/>
      <c r="K38" s="8">
        <f>G38+H38</f>
        <v/>
      </c>
      <c r="L38" s="9">
        <f>IFERROR(K38/(C38+D38+E38+F38),"")</f>
        <v/>
      </c>
    </row>
    <row r="39">
      <c r="A39" s="6" t="inlineStr">
        <is>
          <t>HL-Rope Pipe-Wk</t>
        </is>
      </c>
      <c r="B39" s="7" t="n">
        <v>2414.63141</v>
      </c>
      <c r="C39" s="7" t="n">
        <v>2414.63141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4" t="n"/>
      <c r="K39" s="8">
        <f>G39+H39</f>
        <v/>
      </c>
      <c r="L39" s="9">
        <f>IFERROR(K39/(C39+D39+E39+F39),"")</f>
        <v/>
      </c>
    </row>
    <row r="40">
      <c r="A40" s="6" t="inlineStr">
        <is>
          <t>HL-Rope-Vollex-Empty-wk</t>
        </is>
      </c>
      <c r="B40" s="7" t="n">
        <v>146.07437030985</v>
      </c>
      <c r="C40" s="7" t="n">
        <v>146.069815</v>
      </c>
      <c r="D40" s="7" t="n">
        <v>0</v>
      </c>
      <c r="E40" s="7" t="n">
        <v>0</v>
      </c>
      <c r="F40" s="7" t="n">
        <v>0</v>
      </c>
      <c r="G40" s="7" t="n">
        <v>0.0045553</v>
      </c>
      <c r="H40" s="7" t="n">
        <v>0</v>
      </c>
      <c r="I40" s="7" t="n">
        <v>9.850000000000001e-09</v>
      </c>
      <c r="J40" s="4" t="n"/>
      <c r="K40" s="8">
        <f>G40+H40</f>
        <v/>
      </c>
      <c r="L40" s="9">
        <f>IFERROR(K40/(C40+D40+E40+F40),"")</f>
        <v/>
      </c>
    </row>
    <row r="41">
      <c r="A41" s="6" t="inlineStr">
        <is>
          <t>HL-SPRING-MAKING-WK</t>
        </is>
      </c>
      <c r="B41" s="7" t="n">
        <v>7729.9299430758</v>
      </c>
      <c r="C41" s="7" t="n">
        <v>7623.6124388094</v>
      </c>
      <c r="D41" s="7" t="n">
        <v>0</v>
      </c>
      <c r="E41" s="7" t="n">
        <v>105.76003518</v>
      </c>
      <c r="F41" s="7" t="n">
        <v>0</v>
      </c>
      <c r="G41" s="7" t="n">
        <v>0.5574680766</v>
      </c>
      <c r="H41" s="7" t="n">
        <v>-3.8556e-06</v>
      </c>
      <c r="I41" s="7" t="n">
        <v>4.8654e-06</v>
      </c>
      <c r="J41" s="4" t="n"/>
      <c r="K41" s="8">
        <f>G41+H41</f>
        <v/>
      </c>
      <c r="L41" s="9">
        <f>IFERROR(K41/(C41+D41+E41+F41),"")</f>
        <v/>
      </c>
    </row>
    <row r="42">
      <c r="A42" s="6" t="inlineStr">
        <is>
          <t>HL-WIRE-MAKING-WK</t>
        </is>
      </c>
      <c r="B42" s="7" t="n">
        <v>4619.0730543084</v>
      </c>
      <c r="C42" s="7" t="n">
        <v>4619.0730543084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4" t="n"/>
      <c r="K42" s="8">
        <f>G42+H42</f>
        <v/>
      </c>
      <c r="L42" s="9">
        <f>IFERROR(K42/(C42+D42+E42+F42),"")</f>
        <v/>
      </c>
    </row>
    <row r="43">
      <c r="A43" s="6" t="inlineStr">
        <is>
          <t>MAGNETIC-WK</t>
        </is>
      </c>
      <c r="B43" s="7" t="n">
        <v>1323.2127</v>
      </c>
      <c r="C43" s="7" t="n">
        <v>1322.82258</v>
      </c>
      <c r="D43" s="7" t="n">
        <v>0.03668</v>
      </c>
      <c r="E43" s="7" t="n">
        <v>0</v>
      </c>
      <c r="F43" s="7" t="n">
        <v>0</v>
      </c>
      <c r="G43" s="7" t="n">
        <v>0.35344</v>
      </c>
      <c r="H43" s="7" t="n">
        <v>0</v>
      </c>
      <c r="I43" s="7" t="n">
        <v>0</v>
      </c>
      <c r="J43" s="4" t="n"/>
      <c r="K43" s="8">
        <f>G43+H43</f>
        <v/>
      </c>
      <c r="L43" s="9">
        <f>IFERROR(K43/(C43+D43+E43+F43),"")</f>
        <v/>
      </c>
    </row>
    <row r="44">
      <c r="A44" s="6" t="inlineStr">
        <is>
          <t>MEDIA-POLISH-WK</t>
        </is>
      </c>
      <c r="B44" s="7" t="n">
        <v>15279.7957246</v>
      </c>
      <c r="C44" s="7" t="n">
        <v>15258.94294</v>
      </c>
      <c r="D44" s="7" t="n">
        <v>4.27089</v>
      </c>
      <c r="E44" s="7" t="n">
        <v>14.31437</v>
      </c>
      <c r="F44" s="7" t="n">
        <v>0</v>
      </c>
      <c r="G44" s="7" t="n">
        <v>2.2675246</v>
      </c>
      <c r="H44" s="7" t="n">
        <v>0</v>
      </c>
      <c r="I44" s="7" t="n">
        <v>0</v>
      </c>
      <c r="J44" s="4" t="n"/>
      <c r="K44" s="8">
        <f>G44+H44</f>
        <v/>
      </c>
      <c r="L44" s="9">
        <f>IFERROR(K44/(C44+D44+E44+F44),"")</f>
        <v/>
      </c>
    </row>
    <row r="45">
      <c r="A45" s="6" t="inlineStr">
        <is>
          <t>OMEGA-CHAIN-WK</t>
        </is>
      </c>
      <c r="B45" s="7" t="n">
        <v>217.96021</v>
      </c>
      <c r="C45" s="7" t="n">
        <v>208.061115</v>
      </c>
      <c r="D45" s="7" t="n">
        <v>0</v>
      </c>
      <c r="E45" s="7" t="n">
        <v>9.876580000000001</v>
      </c>
      <c r="F45" s="7" t="n">
        <v>0</v>
      </c>
      <c r="G45" s="7" t="n">
        <v>0.022515</v>
      </c>
      <c r="H45" s="7" t="n">
        <v>0</v>
      </c>
      <c r="I45" s="7" t="n">
        <v>0</v>
      </c>
      <c r="J45" s="4" t="n"/>
      <c r="K45" s="8">
        <f>G45+H45</f>
        <v/>
      </c>
      <c r="L45" s="9">
        <f>IFERROR(K45/(C45+D45+E45+F45),"")</f>
        <v/>
      </c>
    </row>
    <row r="46">
      <c r="A46" s="6" t="inlineStr">
        <is>
          <t>PAVE-WK</t>
        </is>
      </c>
      <c r="B46" s="7" t="n">
        <v>896.63986</v>
      </c>
      <c r="C46" s="7" t="n">
        <v>894.949</v>
      </c>
      <c r="D46" s="7" t="n">
        <v>0</v>
      </c>
      <c r="E46" s="7" t="n">
        <v>0.727985</v>
      </c>
      <c r="F46" s="7" t="n">
        <v>0</v>
      </c>
      <c r="G46" s="7" t="n">
        <v>3.30908</v>
      </c>
      <c r="H46" s="7" t="n">
        <v>-2.346205</v>
      </c>
      <c r="I46" s="7" t="n">
        <v>0</v>
      </c>
      <c r="J46" s="4" t="n"/>
      <c r="K46" s="8">
        <f>G46+H46</f>
        <v/>
      </c>
      <c r="L46" s="9">
        <f>IFERROR(K46/(C46+D46+E46+F46),"")</f>
        <v/>
      </c>
    </row>
    <row r="47">
      <c r="A47" s="6" t="inlineStr">
        <is>
          <t>REFINING-WK</t>
        </is>
      </c>
      <c r="B47" s="7" t="n">
        <v>2642.084604</v>
      </c>
      <c r="C47" s="7" t="n">
        <v>2632.203454</v>
      </c>
      <c r="D47" s="7" t="n">
        <v>9.88115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4" t="n"/>
      <c r="K47" s="8">
        <f>G47+H47</f>
        <v/>
      </c>
      <c r="L47" s="9">
        <f>IFERROR(K47/(C47+D47+E47+F47),"")</f>
        <v/>
      </c>
    </row>
    <row r="48">
      <c r="A48" s="6" t="inlineStr">
        <is>
          <t>REPAIR CAST GOLD BUFFING WK</t>
        </is>
      </c>
      <c r="B48" s="7" t="n">
        <v>996.5981529999999</v>
      </c>
      <c r="C48" s="7" t="n">
        <v>982.287588</v>
      </c>
      <c r="D48" s="7" t="n">
        <v>9.289210000000001</v>
      </c>
      <c r="E48" s="7" t="n">
        <v>0</v>
      </c>
      <c r="F48" s="7" t="n">
        <v>0</v>
      </c>
      <c r="G48" s="7" t="n">
        <v>5.021355</v>
      </c>
      <c r="H48" s="7" t="n">
        <v>0</v>
      </c>
      <c r="I48" s="7" t="n">
        <v>0</v>
      </c>
      <c r="J48" s="4" t="n"/>
      <c r="K48" s="8">
        <f>G48+H48</f>
        <v/>
      </c>
      <c r="L48" s="9">
        <f>IFERROR(K48/(C48+D48+E48+F48),"")</f>
        <v/>
      </c>
    </row>
    <row r="49">
      <c r="A49" s="6" t="inlineStr">
        <is>
          <t>REPAIR-GOLD-BUFFING-WK</t>
        </is>
      </c>
      <c r="B49" s="7" t="n">
        <v>619.6141700000001</v>
      </c>
      <c r="C49" s="7" t="n">
        <v>619.0723</v>
      </c>
      <c r="D49" s="7" t="n">
        <v>0</v>
      </c>
      <c r="E49" s="7" t="n">
        <v>0</v>
      </c>
      <c r="F49" s="7" t="n">
        <v>0</v>
      </c>
      <c r="G49" s="7" t="n">
        <v>0.54187</v>
      </c>
      <c r="H49" s="7" t="n">
        <v>0</v>
      </c>
      <c r="I49" s="7" t="n">
        <v>0</v>
      </c>
      <c r="J49" s="4" t="n"/>
      <c r="K49" s="8">
        <f>G49+H49</f>
        <v/>
      </c>
      <c r="L49" s="9">
        <f>IFERROR(K49/(C49+D49+E49+F49),"")</f>
        <v/>
      </c>
    </row>
    <row r="50">
      <c r="A50" s="6" t="inlineStr">
        <is>
          <t>REP-GOLD-FILLING-WK</t>
        </is>
      </c>
      <c r="B50" s="7" t="n">
        <v>106.2803</v>
      </c>
      <c r="C50" s="7" t="n">
        <v>106.2803</v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4" t="n"/>
      <c r="K50" s="8">
        <f>G50+H50</f>
        <v/>
      </c>
      <c r="L50" s="9">
        <f>IFERROR(K50/(C50+D50+E50+F50),"")</f>
        <v/>
      </c>
    </row>
    <row r="51">
      <c r="A51" s="6" t="inlineStr">
        <is>
          <t>RHODIUM-PLATING-WK</t>
        </is>
      </c>
      <c r="B51" s="7" t="n">
        <v>10335.797408</v>
      </c>
      <c r="C51" s="7" t="n">
        <v>10312.414683</v>
      </c>
      <c r="D51" s="7" t="n">
        <v>29.66311</v>
      </c>
      <c r="E51" s="7" t="n">
        <v>0</v>
      </c>
      <c r="F51" s="7" t="n">
        <v>0</v>
      </c>
      <c r="G51" s="7" t="n">
        <v>0.43336</v>
      </c>
      <c r="H51" s="7" t="n">
        <v>-6.713745</v>
      </c>
      <c r="I51" s="7" t="n">
        <v>0</v>
      </c>
      <c r="J51" s="4" t="n"/>
      <c r="K51" s="8">
        <f>G51+H51</f>
        <v/>
      </c>
      <c r="L51" s="9">
        <f>IFERROR(K51/(C51+D51+E51+F51),"")</f>
        <v/>
      </c>
    </row>
    <row r="52">
      <c r="A52" s="6" t="inlineStr">
        <is>
          <t>ROLLING-WK</t>
        </is>
      </c>
      <c r="B52" s="7" t="n">
        <v>10844.78911</v>
      </c>
      <c r="C52" s="7" t="n">
        <v>10446.549775</v>
      </c>
      <c r="D52" s="7" t="n">
        <v>372.00166</v>
      </c>
      <c r="E52" s="7" t="n">
        <v>22.31066</v>
      </c>
      <c r="F52" s="7" t="n">
        <v>2.80104</v>
      </c>
      <c r="G52" s="7" t="n">
        <v>1.125975</v>
      </c>
      <c r="H52" s="7" t="n">
        <v>0</v>
      </c>
      <c r="I52" s="7" t="n">
        <v>0</v>
      </c>
      <c r="J52" s="4" t="n"/>
      <c r="K52" s="8">
        <f>G52+H52</f>
        <v/>
      </c>
      <c r="L52" s="9">
        <f>IFERROR(K52/(C52+D52+E52+F52),"")</f>
        <v/>
      </c>
    </row>
    <row r="53">
      <c r="A53" s="6" t="inlineStr">
        <is>
          <t>ROSARIO-CHAIN-WK</t>
        </is>
      </c>
      <c r="B53" s="7" t="n">
        <v>245.2634</v>
      </c>
      <c r="C53" s="7" t="n">
        <v>245.2634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4" t="n"/>
      <c r="K53" s="8">
        <f>G53+H53</f>
        <v/>
      </c>
      <c r="L53" s="9">
        <f>IFERROR(K53/(C53+D53+E53+F53),"")</f>
        <v/>
      </c>
    </row>
    <row r="54">
      <c r="A54" s="6" t="inlineStr">
        <is>
          <t>SAT-CHAIN-WK</t>
        </is>
      </c>
      <c r="B54" s="7" t="n">
        <v>501.94746</v>
      </c>
      <c r="C54" s="7" t="n">
        <v>438.26181</v>
      </c>
      <c r="D54" s="7" t="n">
        <v>57.30333</v>
      </c>
      <c r="E54" s="7" t="n">
        <v>6.33647</v>
      </c>
      <c r="F54" s="7" t="n">
        <v>0</v>
      </c>
      <c r="G54" s="7" t="n">
        <v>0.04585</v>
      </c>
      <c r="H54" s="7" t="n">
        <v>0</v>
      </c>
      <c r="I54" s="7" t="n">
        <v>0</v>
      </c>
      <c r="J54" s="4" t="n"/>
      <c r="K54" s="8">
        <f>G54+H54</f>
        <v/>
      </c>
      <c r="L54" s="9">
        <f>IFERROR(K54/(C54+D54+E54+F54),"")</f>
        <v/>
      </c>
    </row>
    <row r="55">
      <c r="A55" s="6" t="inlineStr">
        <is>
          <t>S-HOOK-CUTTING-WK</t>
        </is>
      </c>
      <c r="B55" s="7" t="n">
        <v>157.20131</v>
      </c>
      <c r="C55" s="7" t="n">
        <v>110.78277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7" t="n">
        <v>46.41854</v>
      </c>
      <c r="J55" s="4" t="n"/>
      <c r="K55" s="8">
        <f>G55+H55</f>
        <v/>
      </c>
      <c r="L55" s="9">
        <f>IFERROR(K55/(C55+D55+E55+F55),"")</f>
        <v/>
      </c>
    </row>
    <row r="56">
      <c r="A56" s="6" t="inlineStr">
        <is>
          <t>SOLDERING-WK</t>
        </is>
      </c>
      <c r="B56" s="7" t="n">
        <v>1617.4873675826</v>
      </c>
      <c r="C56" s="7" t="n">
        <v>1586.7720775826</v>
      </c>
      <c r="D56" s="7" t="n">
        <v>0</v>
      </c>
      <c r="E56" s="7" t="n">
        <v>30.44434</v>
      </c>
      <c r="F56" s="7" t="n">
        <v>0</v>
      </c>
      <c r="G56" s="7" t="n">
        <v>0.27095</v>
      </c>
      <c r="H56" s="7" t="n">
        <v>0</v>
      </c>
      <c r="I56" s="7" t="n">
        <v>0</v>
      </c>
      <c r="J56" s="4" t="n"/>
      <c r="K56" s="8">
        <f>G56+H56</f>
        <v/>
      </c>
      <c r="L56" s="9">
        <f>IFERROR(K56/(C56+D56+E56+F56),"")</f>
        <v/>
      </c>
    </row>
    <row r="57">
      <c r="A57" s="6" t="inlineStr">
        <is>
          <t>SPRING-LESS-WK</t>
        </is>
      </c>
      <c r="B57" s="7" t="n">
        <v>784.128374</v>
      </c>
      <c r="C57" s="7" t="n">
        <v>783.866876</v>
      </c>
      <c r="D57" s="7" t="n">
        <v>0</v>
      </c>
      <c r="E57" s="7" t="n">
        <v>0</v>
      </c>
      <c r="F57" s="7" t="n">
        <v>0</v>
      </c>
      <c r="G57" s="7" t="n">
        <v>0.261768</v>
      </c>
      <c r="H57" s="7" t="n">
        <v>-0.00027</v>
      </c>
      <c r="I57" s="7" t="n">
        <v>0</v>
      </c>
      <c r="J57" s="4" t="n"/>
      <c r="K57" s="8">
        <f>G57+H57</f>
        <v/>
      </c>
      <c r="L57" s="9">
        <f>IFERROR(K57/(C57+D57+E57+F57),"")</f>
        <v/>
      </c>
    </row>
    <row r="58">
      <c r="A58" s="6" t="inlineStr">
        <is>
          <t>SR-JUST-FOR-ENTRY-WK</t>
        </is>
      </c>
      <c r="B58" s="7" t="n">
        <v>10479.74746</v>
      </c>
      <c r="C58" s="7" t="n">
        <v>6891.7282</v>
      </c>
      <c r="D58" s="7" t="n">
        <v>3588.01926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4" t="n"/>
      <c r="K58" s="8">
        <f>G58+H58</f>
        <v/>
      </c>
      <c r="L58" s="9">
        <f>IFERROR(K58/(C58+D58+E58+F58),"")</f>
        <v/>
      </c>
    </row>
    <row r="59">
      <c r="A59" s="6" t="inlineStr">
        <is>
          <t>STAMPING-WK</t>
        </is>
      </c>
      <c r="B59" s="7" t="n">
        <v>268.33377</v>
      </c>
      <c r="C59" s="7" t="n">
        <v>268.33377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4" t="n"/>
      <c r="K59" s="8">
        <f>G59+H59</f>
        <v/>
      </c>
      <c r="L59" s="9">
        <f>IFERROR(K59/(C59+D59+E59+F59),"")</f>
        <v/>
      </c>
    </row>
    <row r="60">
      <c r="A60" s="6" t="inlineStr">
        <is>
          <t>STRIP-MAKING-WK</t>
        </is>
      </c>
      <c r="B60" s="7" t="n">
        <v>12634.517765</v>
      </c>
      <c r="C60" s="7" t="n">
        <v>11853.04217</v>
      </c>
      <c r="D60" s="7" t="n">
        <v>710.87674</v>
      </c>
      <c r="E60" s="7" t="n">
        <v>66.74156499999999</v>
      </c>
      <c r="F60" s="7" t="n">
        <v>2.81519</v>
      </c>
      <c r="G60" s="7" t="n">
        <v>1.0421</v>
      </c>
      <c r="H60" s="7" t="n">
        <v>0</v>
      </c>
      <c r="I60" s="7" t="n">
        <v>0</v>
      </c>
      <c r="J60" s="4" t="n"/>
      <c r="K60" s="8">
        <f>G60+H60</f>
        <v/>
      </c>
      <c r="L60" s="9">
        <f>IFERROR(K60/(C60+D60+E60+F60),"")</f>
        <v/>
      </c>
    </row>
    <row r="61">
      <c r="A61" s="6" t="inlineStr">
        <is>
          <t>THREE-DIGITS-SR-WK</t>
        </is>
      </c>
      <c r="B61" s="7" t="n">
        <v>3233.326999</v>
      </c>
      <c r="C61" s="7" t="n">
        <v>3233.288701</v>
      </c>
      <c r="D61" s="7" t="n">
        <v>0.001834</v>
      </c>
      <c r="E61" s="7" t="n">
        <v>0</v>
      </c>
      <c r="F61" s="7" t="n">
        <v>0</v>
      </c>
      <c r="G61" s="7" t="n">
        <v>0.230091</v>
      </c>
      <c r="H61" s="7" t="n">
        <v>-0.193627</v>
      </c>
      <c r="I61" s="7" t="n">
        <v>0</v>
      </c>
      <c r="J61" s="4" t="n"/>
      <c r="K61" s="8">
        <f>G61+H61</f>
        <v/>
      </c>
      <c r="L61" s="9">
        <f>IFERROR(K61/(C61+D61+E61+F61),"")</f>
        <v/>
      </c>
    </row>
    <row r="62">
      <c r="A62" s="6" t="inlineStr">
        <is>
          <t>TUBE-MAKING-WK</t>
        </is>
      </c>
      <c r="B62" s="7" t="n">
        <v>2811.93505</v>
      </c>
      <c r="C62" s="7" t="n">
        <v>2495.21295</v>
      </c>
      <c r="D62" s="7" t="n">
        <v>316.15684</v>
      </c>
      <c r="E62" s="7" t="n">
        <v>0.06754499999999999</v>
      </c>
      <c r="F62" s="7" t="n">
        <v>0</v>
      </c>
      <c r="G62" s="7" t="n">
        <v>0.497715</v>
      </c>
      <c r="H62" s="7" t="n">
        <v>0</v>
      </c>
      <c r="I62" s="7" t="n">
        <v>0</v>
      </c>
      <c r="J62" s="4" t="n"/>
      <c r="K62" s="8">
        <f>G62+H62</f>
        <v/>
      </c>
      <c r="L62" s="9">
        <f>IFERROR(K62/(C62+D62+E62+F62),"")</f>
        <v/>
      </c>
    </row>
    <row r="63">
      <c r="A63" s="6" t="inlineStr">
        <is>
          <t>VENDOR-WK</t>
        </is>
      </c>
      <c r="B63" s="7" t="n">
        <v>29.317248</v>
      </c>
      <c r="C63" s="7" t="n">
        <v>29.317248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4" t="n"/>
      <c r="K63" s="8">
        <f>G63+H63</f>
        <v/>
      </c>
      <c r="L63" s="9">
        <f>IFERROR(K63/(C63+D63+E63+F63),"")</f>
        <v/>
      </c>
    </row>
    <row r="64">
      <c r="A64" s="6" t="inlineStr">
        <is>
          <t>WIRE-DRAWING-WK</t>
        </is>
      </c>
      <c r="B64" s="7" t="n">
        <v>7737.46922</v>
      </c>
      <c r="C64" s="7" t="n">
        <v>7687.960685</v>
      </c>
      <c r="D64" s="7" t="n">
        <v>28.98431</v>
      </c>
      <c r="E64" s="7" t="n">
        <v>19.71555</v>
      </c>
      <c r="F64" s="7" t="n">
        <v>0</v>
      </c>
      <c r="G64" s="7" t="n">
        <v>0.808675</v>
      </c>
      <c r="H64" s="7" t="n">
        <v>0</v>
      </c>
      <c r="I64" s="7" t="n">
        <v>0</v>
      </c>
      <c r="J64" s="4" t="n"/>
      <c r="K64" s="8">
        <f>G64+H64</f>
        <v/>
      </c>
      <c r="L64" s="9">
        <f>IFERROR(K64/(C64+D64+E64+F64),"")</f>
        <v/>
      </c>
    </row>
    <row r="65">
      <c r="A65" s="6" t="inlineStr">
        <is>
          <t>Total</t>
        </is>
      </c>
      <c r="B65" s="7" t="n">
        <v>279091.5511930347</v>
      </c>
      <c r="C65" s="7" t="n">
        <v>249685.5341797005</v>
      </c>
      <c r="D65" s="7" t="n">
        <v>24976.749745</v>
      </c>
      <c r="E65" s="7" t="n">
        <v>370.32157518</v>
      </c>
      <c r="F65" s="7" t="n">
        <v>5.61623</v>
      </c>
      <c r="G65" s="7" t="n">
        <v>821.1880458292</v>
      </c>
      <c r="H65" s="7" t="n">
        <v>-10.5671348313</v>
      </c>
      <c r="I65" s="7" t="n">
        <v>3242.70855215635</v>
      </c>
      <c r="J65" s="4" t="n"/>
      <c r="K65" s="8">
        <f>G65+H65</f>
        <v/>
      </c>
      <c r="L65" s="9">
        <f>IFERROR(K65/(C65+D65+E65+F65),"")</f>
        <v/>
      </c>
    </row>
  </sheetData>
  <mergeCells count="3">
    <mergeCell ref="H2:L2"/>
    <mergeCell ref="A2:G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2026-06-23T05:30:17Z</dcterms:created>
  <dcterms:modified xsi:type="dcterms:W3CDTF">2026-06-23T05:30:17Z</dcterms:modified>
</cp:coreProperties>
</file>