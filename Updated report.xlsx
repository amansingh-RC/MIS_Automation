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Z:\Sandesh\MIS\MIS Reports &amp; Allocation\06 June 2026\"/>
    </mc:Choice>
  </mc:AlternateContent>
  <xr:revisionPtr revIDLastSave="0" documentId="13_ncr:1_{40DFBA60-094A-475D-BE91-493A49842E8A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Report list" sheetId="1" state="hidden" r:id="rId1"/>
    <sheet name="1 LOSS REPORT." sheetId="21" r:id="rId2"/>
    <sheet name="2 Lot Rejection Report" sheetId="12" r:id="rId3"/>
    <sheet name="3 Scrap Dc Report" sheetId="13" r:id="rId4"/>
    <sheet name="4 Stock Report" sheetId="18" r:id="rId5"/>
    <sheet name="5 kit marshal" sheetId="20" state="hidden" r:id="rId6"/>
    <sheet name="8. WC Groupsaless" sheetId="33" r:id="rId7"/>
    <sheet name="gp vyt" sheetId="35" r:id="rId8"/>
    <sheet name="wc gp s" sheetId="34" r:id="rId9"/>
    <sheet name="6 Factory Inward Report Summary" sheetId="28" r:id="rId10"/>
    <sheet name="PVT" sheetId="39" r:id="rId11"/>
    <sheet name="6 IN KARAT NET PVT" sheetId="31" r:id="rId12"/>
    <sheet name="6 Factory Inward Report" sheetId="14" r:id="rId13"/>
    <sheet name="7 Factory Outward ReportSummary" sheetId="25" r:id="rId14"/>
    <sheet name="7 PVT OUT" sheetId="26" r:id="rId15"/>
    <sheet name="7 OUT KARAT NET PVT" sheetId="32" r:id="rId16"/>
    <sheet name="7 Factory Outward Report" sheetId="15" r:id="rId17"/>
    <sheet name="8 STOCK REGISTER" sheetId="40" r:id="rId18"/>
    <sheet name="FACTORY SUMMARY REPORT" sheetId="43" r:id="rId19"/>
    <sheet name="_ChartData" sheetId="41" r:id="rId20"/>
    <sheet name="Sheet1" sheetId="42" r:id="rId21"/>
    <sheet name="Sheet2" sheetId="37" state="hidden" r:id="rId22"/>
    <sheet name="8 Delay Order Report" sheetId="19" state="hidden" r:id="rId23"/>
    <sheet name="9 MIS" sheetId="16" state="hidden" r:id="rId24"/>
    <sheet name="10 LOSS &amp; Recovery Report" sheetId="17" state="hidden" r:id="rId25"/>
    <sheet name="RETURN % SUMMARY INOUT" sheetId="29" state="hidden" r:id="rId26"/>
  </sheets>
  <externalReferences>
    <externalReference r:id="rId27"/>
  </externalReferences>
  <definedNames>
    <definedName name="_xlnm._FilterDatabase" localSheetId="1" hidden="1">'1 LOSS REPORT.'!$A$3:$WVH$3</definedName>
    <definedName name="_xlnm._FilterDatabase" localSheetId="24" hidden="1">'10 LOSS &amp; Recovery Report'!$A$6:$R$38</definedName>
    <definedName name="_xlnm._FilterDatabase" localSheetId="2" hidden="1">'2 Lot Rejection Report'!$A$1:$H$2</definedName>
    <definedName name="_xlnm._FilterDatabase" localSheetId="3" hidden="1">'3 Scrap Dc Report'!$A$4:$D$58</definedName>
    <definedName name="_xlnm._FilterDatabase" localSheetId="4" hidden="1">'4 Stock Report'!$A$3:$D$178</definedName>
    <definedName name="_xlnm._FilterDatabase" localSheetId="12" hidden="1">'6 Factory Inward Report'!$A$3:$P$60</definedName>
    <definedName name="_xlnm._FilterDatabase" localSheetId="9" hidden="1">'6 Factory Inward Report Summary'!$A$3:$D$32</definedName>
    <definedName name="_xlnm._FilterDatabase" localSheetId="16" hidden="1">'7 Factory Outward Report'!$A$3:$O$3</definedName>
    <definedName name="_xlnm._FilterDatabase" localSheetId="13" hidden="1">'7 Factory Outward ReportSummary'!$A$3:$D$25</definedName>
    <definedName name="_xlnm._FilterDatabase" localSheetId="22" hidden="1">'8 Delay Order Report'!$A$3:$L$3</definedName>
    <definedName name="_xlnm._FilterDatabase" localSheetId="6" hidden="1">'8. WC Groupsaless'!$A$3:$D$78</definedName>
    <definedName name="_xlnm._FilterDatabase" localSheetId="18" hidden="1">'FACTORY SUMMARY REPORT'!$A$25:$O$62</definedName>
    <definedName name="_xlnm._FilterDatabase" localSheetId="8" hidden="1">'wc gp s'!$A$1:$W$1</definedName>
    <definedName name="_xlnm.Extract" localSheetId="12">'6 Factory Inward Report'!#REF!</definedName>
    <definedName name="_xlnm.Print_Titles" localSheetId="1">'1 LOSS REPORT.'!$1:$3</definedName>
    <definedName name="_xlnm.Print_Titles" localSheetId="2">'2 Lot Rejection Report'!$1:$3</definedName>
    <definedName name="_xlnm.Print_Titles" localSheetId="3">'3 Scrap Dc Report'!$1:$3</definedName>
    <definedName name="_xlnm.Print_Titles" localSheetId="4">'4 Stock Report'!$1:$3</definedName>
    <definedName name="_xlnm.Print_Titles" localSheetId="9">'6 Factory Inward Report Summary'!$1:$3</definedName>
    <definedName name="_xlnm.Print_Titles" localSheetId="13">'7 Factory Outward ReportSummary'!$1:$2</definedName>
    <definedName name="_xlnm.Print_Titles" localSheetId="22">'8 Delay Order Report'!$1:$3</definedName>
    <definedName name="_xlnm.Print_Titles" localSheetId="6">'8. WC Groupsaless'!$1:$3</definedName>
  </definedNames>
  <calcPr calcId="191029"/>
  <pivotCaches>
    <pivotCache cacheId="6" r:id="rId28"/>
    <pivotCache cacheId="11" r:id="rId29"/>
    <pivotCache cacheId="16" r:id="rId30"/>
  </pivotCaches>
</workbook>
</file>

<file path=xl/calcChain.xml><?xml version="1.0" encoding="utf-8"?>
<calcChain xmlns="http://schemas.openxmlformats.org/spreadsheetml/2006/main">
  <c r="L5" i="15" l="1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4" i="15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4" i="14"/>
  <c r="K4" i="21" l="1"/>
  <c r="L4" i="21"/>
  <c r="K5" i="21"/>
  <c r="L5" i="21"/>
  <c r="K6" i="21"/>
  <c r="L6" i="21"/>
  <c r="K7" i="21"/>
  <c r="L7" i="21"/>
  <c r="K8" i="21"/>
  <c r="L8" i="21"/>
  <c r="K9" i="21"/>
  <c r="L9" i="21"/>
  <c r="K10" i="21"/>
  <c r="L10" i="21"/>
  <c r="K11" i="21"/>
  <c r="L11" i="21"/>
  <c r="K12" i="21"/>
  <c r="L12" i="21"/>
  <c r="K13" i="21"/>
  <c r="L13" i="21"/>
  <c r="K14" i="21"/>
  <c r="L14" i="21"/>
  <c r="K15" i="21"/>
  <c r="L15" i="21"/>
  <c r="K16" i="21"/>
  <c r="L16" i="21"/>
  <c r="K17" i="21"/>
  <c r="L17" i="21"/>
  <c r="K18" i="21"/>
  <c r="L18" i="21"/>
  <c r="K19" i="21"/>
  <c r="L19" i="21"/>
  <c r="K20" i="21"/>
  <c r="L20" i="21"/>
  <c r="K21" i="21"/>
  <c r="L21" i="21"/>
  <c r="K22" i="21"/>
  <c r="L22" i="21"/>
  <c r="K23" i="21"/>
  <c r="L23" i="21"/>
  <c r="K24" i="21"/>
  <c r="L24" i="21"/>
  <c r="K25" i="21"/>
  <c r="L25" i="21"/>
  <c r="K26" i="21"/>
  <c r="L26" i="21"/>
  <c r="K27" i="21"/>
  <c r="L27" i="21"/>
  <c r="K28" i="21"/>
  <c r="L28" i="21"/>
  <c r="K29" i="21"/>
  <c r="L29" i="21"/>
  <c r="K30" i="21"/>
  <c r="L30" i="21"/>
  <c r="K31" i="21"/>
  <c r="L31" i="21"/>
  <c r="K32" i="21"/>
  <c r="L32" i="21"/>
  <c r="K33" i="21"/>
  <c r="L33" i="21"/>
  <c r="K34" i="21"/>
  <c r="L34" i="21"/>
  <c r="K35" i="21"/>
  <c r="L35" i="21"/>
  <c r="K36" i="21"/>
  <c r="L36" i="21"/>
  <c r="K37" i="21"/>
  <c r="L37" i="21"/>
  <c r="K38" i="21"/>
  <c r="L38" i="21"/>
  <c r="K39" i="21"/>
  <c r="L39" i="21"/>
  <c r="K40" i="21"/>
  <c r="L40" i="21"/>
  <c r="K41" i="21"/>
  <c r="L41" i="21"/>
  <c r="K42" i="21"/>
  <c r="L42" i="21"/>
  <c r="K43" i="21"/>
  <c r="L43" i="21"/>
  <c r="K44" i="21"/>
  <c r="L44" i="21"/>
  <c r="K45" i="21"/>
  <c r="L45" i="21"/>
  <c r="K46" i="21"/>
  <c r="L46" i="21"/>
  <c r="K47" i="21"/>
  <c r="L47" i="21"/>
  <c r="K48" i="21"/>
  <c r="L48" i="21"/>
  <c r="K49" i="21"/>
  <c r="L49" i="21"/>
  <c r="K50" i="21"/>
  <c r="L50" i="21"/>
  <c r="K51" i="21"/>
  <c r="L51" i="21"/>
  <c r="K52" i="21"/>
  <c r="L52" i="21"/>
  <c r="K53" i="21"/>
  <c r="L53" i="21"/>
  <c r="K54" i="21"/>
  <c r="L54" i="21"/>
  <c r="K55" i="21"/>
  <c r="L55" i="21"/>
  <c r="K56" i="21"/>
  <c r="L56" i="21"/>
  <c r="K57" i="21"/>
  <c r="L57" i="21"/>
  <c r="K58" i="21"/>
  <c r="L58" i="21"/>
  <c r="K59" i="21"/>
  <c r="L59" i="21"/>
  <c r="K60" i="21"/>
  <c r="L60" i="21"/>
  <c r="K61" i="21"/>
  <c r="L61" i="21"/>
  <c r="K62" i="21"/>
  <c r="L62" i="21"/>
  <c r="K63" i="21"/>
  <c r="L63" i="21"/>
  <c r="K64" i="21"/>
  <c r="L64" i="21"/>
  <c r="K65" i="21"/>
  <c r="L65" i="21"/>
  <c r="K66" i="21"/>
  <c r="L66" i="21"/>
  <c r="I61" i="14"/>
  <c r="G61" i="14"/>
  <c r="I314" i="15"/>
  <c r="G314" i="15"/>
  <c r="E1" i="40"/>
  <c r="I17" i="40" l="1"/>
  <c r="I15" i="40"/>
  <c r="D17" i="40" l="1"/>
  <c r="E4" i="40" l="1"/>
  <c r="A4" i="40"/>
  <c r="G7" i="40" l="1"/>
  <c r="D12" i="40" l="1"/>
  <c r="D18" i="40" l="1"/>
  <c r="D23" i="40" s="1"/>
  <c r="M68" i="29"/>
  <c r="L68" i="29"/>
  <c r="K68" i="29"/>
  <c r="J68" i="29"/>
  <c r="K67" i="29"/>
  <c r="J67" i="29"/>
  <c r="K66" i="29"/>
  <c r="J66" i="29"/>
  <c r="M65" i="29"/>
  <c r="L65" i="29"/>
  <c r="K65" i="29"/>
  <c r="J65" i="29"/>
  <c r="M64" i="29"/>
  <c r="L64" i="29"/>
  <c r="K64" i="29"/>
  <c r="J64" i="29"/>
  <c r="M63" i="29"/>
  <c r="L63" i="29"/>
  <c r="K63" i="29"/>
  <c r="J63" i="29"/>
  <c r="M62" i="29"/>
  <c r="L62" i="29"/>
  <c r="K62" i="29"/>
  <c r="J62" i="29"/>
  <c r="M61" i="29"/>
  <c r="L61" i="29"/>
  <c r="K61" i="29"/>
  <c r="J61" i="29"/>
  <c r="M60" i="29"/>
  <c r="L60" i="29"/>
  <c r="K60" i="29"/>
  <c r="J60" i="29"/>
  <c r="M59" i="29"/>
  <c r="L59" i="29"/>
  <c r="K59" i="29"/>
  <c r="J59" i="29"/>
  <c r="M58" i="29"/>
  <c r="L58" i="29"/>
  <c r="K58" i="29"/>
  <c r="J58" i="29"/>
  <c r="M57" i="29"/>
  <c r="L57" i="29"/>
  <c r="K57" i="29"/>
  <c r="J57" i="29"/>
  <c r="M56" i="29"/>
  <c r="L56" i="29"/>
  <c r="K56" i="29"/>
  <c r="J56" i="29"/>
  <c r="K55" i="29"/>
  <c r="J55" i="29"/>
  <c r="K54" i="29"/>
  <c r="J54" i="29"/>
  <c r="K53" i="29"/>
  <c r="J53" i="29"/>
  <c r="K52" i="29"/>
  <c r="J52" i="29"/>
  <c r="M51" i="29"/>
  <c r="L51" i="29"/>
  <c r="K51" i="29"/>
  <c r="J51" i="29"/>
  <c r="M50" i="29"/>
  <c r="L50" i="29"/>
  <c r="K50" i="29"/>
  <c r="J50" i="29"/>
  <c r="M49" i="29"/>
  <c r="L49" i="29"/>
  <c r="K49" i="29"/>
  <c r="J49" i="29"/>
  <c r="M48" i="29"/>
  <c r="L48" i="29"/>
  <c r="K48" i="29"/>
  <c r="J48" i="29"/>
  <c r="M47" i="29"/>
  <c r="L47" i="29"/>
  <c r="K47" i="29"/>
  <c r="J47" i="29"/>
  <c r="M46" i="29"/>
  <c r="L46" i="29"/>
  <c r="K46" i="29"/>
  <c r="J46" i="29"/>
  <c r="M45" i="29"/>
  <c r="L45" i="29"/>
  <c r="K45" i="29"/>
  <c r="J45" i="29"/>
  <c r="K44" i="29"/>
  <c r="J44" i="29"/>
  <c r="M43" i="29"/>
  <c r="L43" i="29"/>
  <c r="K43" i="29"/>
  <c r="J43" i="29"/>
  <c r="M42" i="29"/>
  <c r="L42" i="29"/>
  <c r="K42" i="29"/>
  <c r="J42" i="29"/>
  <c r="M41" i="29"/>
  <c r="L41" i="29"/>
  <c r="K41" i="29"/>
  <c r="J41" i="29"/>
  <c r="M40" i="29"/>
  <c r="L40" i="29"/>
  <c r="K40" i="29"/>
  <c r="J40" i="29"/>
  <c r="M39" i="29"/>
  <c r="L39" i="29"/>
  <c r="K39" i="29"/>
  <c r="J39" i="29"/>
  <c r="M38" i="29"/>
  <c r="L38" i="29"/>
  <c r="K38" i="29"/>
  <c r="J38" i="29"/>
  <c r="M37" i="29"/>
  <c r="L37" i="29"/>
  <c r="K37" i="29"/>
  <c r="J37" i="29"/>
  <c r="K36" i="29"/>
  <c r="J36" i="29"/>
  <c r="K35" i="29"/>
  <c r="J35" i="29"/>
  <c r="M34" i="29"/>
  <c r="L34" i="29"/>
  <c r="K34" i="29"/>
  <c r="J34" i="29"/>
  <c r="M33" i="29"/>
  <c r="L33" i="29"/>
  <c r="K33" i="29"/>
  <c r="J33" i="29"/>
  <c r="M32" i="29"/>
  <c r="L32" i="29"/>
  <c r="K32" i="29"/>
  <c r="J32" i="29"/>
  <c r="M31" i="29"/>
  <c r="L31" i="29"/>
  <c r="K31" i="29"/>
  <c r="J31" i="29"/>
  <c r="M30" i="29"/>
  <c r="L30" i="29"/>
  <c r="K30" i="29"/>
  <c r="J30" i="29"/>
  <c r="K29" i="29"/>
  <c r="J29" i="29"/>
  <c r="M28" i="29"/>
  <c r="L28" i="29"/>
  <c r="K28" i="29"/>
  <c r="J28" i="29"/>
  <c r="M27" i="29"/>
  <c r="L27" i="29"/>
  <c r="K27" i="29"/>
  <c r="J27" i="29"/>
  <c r="M26" i="29"/>
  <c r="L26" i="29"/>
  <c r="K26" i="29"/>
  <c r="J26" i="29"/>
  <c r="M25" i="29"/>
  <c r="L25" i="29"/>
  <c r="K25" i="29"/>
  <c r="J25" i="29"/>
  <c r="M24" i="29"/>
  <c r="L24" i="29"/>
  <c r="K24" i="29"/>
  <c r="J24" i="29"/>
  <c r="M23" i="29"/>
  <c r="L23" i="29"/>
  <c r="K23" i="29"/>
  <c r="J23" i="29"/>
  <c r="M22" i="29"/>
  <c r="L22" i="29"/>
  <c r="K22" i="29"/>
  <c r="J22" i="29"/>
  <c r="M21" i="29"/>
  <c r="L21" i="29"/>
  <c r="K21" i="29"/>
  <c r="J21" i="29"/>
  <c r="K20" i="29"/>
  <c r="J20" i="29"/>
  <c r="M19" i="29"/>
  <c r="L19" i="29"/>
  <c r="K19" i="29"/>
  <c r="J19" i="29"/>
  <c r="M18" i="29"/>
  <c r="L18" i="29"/>
  <c r="K18" i="29"/>
  <c r="J18" i="29"/>
  <c r="K17" i="29"/>
  <c r="J17" i="29"/>
  <c r="M16" i="29"/>
  <c r="L16" i="29"/>
  <c r="K16" i="29"/>
  <c r="J16" i="29"/>
  <c r="M15" i="29"/>
  <c r="L15" i="29"/>
  <c r="K15" i="29"/>
  <c r="J15" i="29"/>
  <c r="K14" i="29"/>
  <c r="J14" i="29"/>
  <c r="K13" i="29"/>
  <c r="J13" i="29"/>
  <c r="M12" i="29"/>
  <c r="L12" i="29"/>
  <c r="K12" i="29"/>
  <c r="J12" i="29"/>
  <c r="M11" i="29"/>
  <c r="L11" i="29"/>
  <c r="K11" i="29"/>
  <c r="J11" i="29"/>
  <c r="K10" i="29"/>
  <c r="J10" i="29"/>
  <c r="M9" i="29"/>
  <c r="L9" i="29"/>
  <c r="K9" i="29"/>
  <c r="J9" i="29"/>
  <c r="M8" i="29"/>
  <c r="L8" i="29"/>
  <c r="K8" i="29"/>
  <c r="J8" i="29"/>
  <c r="K7" i="29"/>
  <c r="J7" i="29"/>
  <c r="M6" i="29"/>
  <c r="L6" i="29"/>
  <c r="K6" i="29"/>
  <c r="J6" i="29"/>
  <c r="M5" i="29"/>
  <c r="L5" i="29"/>
  <c r="K5" i="29"/>
  <c r="J5" i="29"/>
  <c r="M39" i="17"/>
  <c r="I39" i="17"/>
  <c r="H39" i="17"/>
  <c r="G39" i="17"/>
  <c r="F39" i="17"/>
  <c r="E39" i="17"/>
  <c r="D39" i="17"/>
  <c r="C39" i="17"/>
  <c r="B39" i="17"/>
  <c r="Q38" i="17"/>
  <c r="R38" i="17" s="1"/>
  <c r="N38" i="17"/>
  <c r="L38" i="17"/>
  <c r="K38" i="17"/>
  <c r="O38" i="17" s="1"/>
  <c r="P38" i="17" s="1"/>
  <c r="Q37" i="17"/>
  <c r="R37" i="17" s="1"/>
  <c r="K37" i="17"/>
  <c r="O37" i="17" s="1"/>
  <c r="P37" i="17" s="1"/>
  <c r="Q36" i="17"/>
  <c r="R36" i="17" s="1"/>
  <c r="K36" i="17"/>
  <c r="N36" i="17" s="1"/>
  <c r="Q35" i="17"/>
  <c r="R35" i="17" s="1"/>
  <c r="N35" i="17"/>
  <c r="K35" i="17"/>
  <c r="L35" i="17" s="1"/>
  <c r="Q34" i="17"/>
  <c r="R34" i="17" s="1"/>
  <c r="N34" i="17"/>
  <c r="L34" i="17"/>
  <c r="K34" i="17"/>
  <c r="O34" i="17" s="1"/>
  <c r="P34" i="17" s="1"/>
  <c r="Q33" i="17"/>
  <c r="R33" i="17" s="1"/>
  <c r="K33" i="17"/>
  <c r="O33" i="17" s="1"/>
  <c r="P33" i="17" s="1"/>
  <c r="Q32" i="17"/>
  <c r="R32" i="17" s="1"/>
  <c r="K32" i="17"/>
  <c r="N32" i="17" s="1"/>
  <c r="Q31" i="17"/>
  <c r="R31" i="17" s="1"/>
  <c r="N31" i="17"/>
  <c r="K31" i="17"/>
  <c r="L31" i="17" s="1"/>
  <c r="R30" i="17"/>
  <c r="Q30" i="17"/>
  <c r="N30" i="17"/>
  <c r="L30" i="17"/>
  <c r="K30" i="17"/>
  <c r="O30" i="17" s="1"/>
  <c r="P30" i="17" s="1"/>
  <c r="Q29" i="17"/>
  <c r="R29" i="17" s="1"/>
  <c r="K29" i="17"/>
  <c r="O29" i="17" s="1"/>
  <c r="P29" i="17" s="1"/>
  <c r="Q28" i="17"/>
  <c r="R28" i="17" s="1"/>
  <c r="K28" i="17"/>
  <c r="N28" i="17" s="1"/>
  <c r="Q27" i="17"/>
  <c r="R27" i="17" s="1"/>
  <c r="N27" i="17"/>
  <c r="K27" i="17"/>
  <c r="L27" i="17" s="1"/>
  <c r="R26" i="17"/>
  <c r="Q26" i="17"/>
  <c r="N26" i="17"/>
  <c r="L26" i="17"/>
  <c r="K26" i="17"/>
  <c r="O26" i="17" s="1"/>
  <c r="P26" i="17" s="1"/>
  <c r="Q25" i="17"/>
  <c r="R25" i="17" s="1"/>
  <c r="K25" i="17"/>
  <c r="O25" i="17" s="1"/>
  <c r="P25" i="17" s="1"/>
  <c r="Q24" i="17"/>
  <c r="R24" i="17" s="1"/>
  <c r="K24" i="17"/>
  <c r="N24" i="17" s="1"/>
  <c r="Q23" i="17"/>
  <c r="R23" i="17" s="1"/>
  <c r="N23" i="17"/>
  <c r="K23" i="17"/>
  <c r="L23" i="17" s="1"/>
  <c r="R22" i="17"/>
  <c r="Q22" i="17"/>
  <c r="O22" i="17"/>
  <c r="P22" i="17" s="1"/>
  <c r="N22" i="17"/>
  <c r="L22" i="17"/>
  <c r="K22" i="17"/>
  <c r="Q21" i="17"/>
  <c r="R21" i="17" s="1"/>
  <c r="K21" i="17"/>
  <c r="O21" i="17" s="1"/>
  <c r="P21" i="17" s="1"/>
  <c r="Q20" i="17"/>
  <c r="R20" i="17" s="1"/>
  <c r="K20" i="17"/>
  <c r="N20" i="17" s="1"/>
  <c r="Q19" i="17"/>
  <c r="R19" i="17" s="1"/>
  <c r="N19" i="17"/>
  <c r="K19" i="17"/>
  <c r="L19" i="17" s="1"/>
  <c r="Q18" i="17"/>
  <c r="R18" i="17" s="1"/>
  <c r="O18" i="17"/>
  <c r="P18" i="17" s="1"/>
  <c r="N18" i="17"/>
  <c r="L18" i="17"/>
  <c r="K18" i="17"/>
  <c r="Q17" i="17"/>
  <c r="R17" i="17" s="1"/>
  <c r="K17" i="17"/>
  <c r="O17" i="17" s="1"/>
  <c r="P17" i="17" s="1"/>
  <c r="Q16" i="17"/>
  <c r="R16" i="17" s="1"/>
  <c r="K16" i="17"/>
  <c r="N16" i="17" s="1"/>
  <c r="Q15" i="17"/>
  <c r="R15" i="17" s="1"/>
  <c r="N15" i="17"/>
  <c r="K15" i="17"/>
  <c r="L15" i="17" s="1"/>
  <c r="Q14" i="17"/>
  <c r="R14" i="17" s="1"/>
  <c r="O14" i="17"/>
  <c r="P14" i="17" s="1"/>
  <c r="N14" i="17"/>
  <c r="L14" i="17"/>
  <c r="K14" i="17"/>
  <c r="Q13" i="17"/>
  <c r="R13" i="17" s="1"/>
  <c r="K13" i="17"/>
  <c r="O13" i="17" s="1"/>
  <c r="P13" i="17" s="1"/>
  <c r="Q12" i="17"/>
  <c r="R12" i="17" s="1"/>
  <c r="K12" i="17"/>
  <c r="N12" i="17" s="1"/>
  <c r="Q11" i="17"/>
  <c r="R11" i="17" s="1"/>
  <c r="K11" i="17"/>
  <c r="L11" i="17" s="1"/>
  <c r="Q10" i="17"/>
  <c r="R10" i="17" s="1"/>
  <c r="O10" i="17"/>
  <c r="P10" i="17" s="1"/>
  <c r="N10" i="17"/>
  <c r="L10" i="17"/>
  <c r="K10" i="17"/>
  <c r="Q9" i="17"/>
  <c r="R9" i="17" s="1"/>
  <c r="K9" i="17"/>
  <c r="O9" i="17" s="1"/>
  <c r="P9" i="17" s="1"/>
  <c r="Q8" i="17"/>
  <c r="R8" i="17" s="1"/>
  <c r="K8" i="17"/>
  <c r="N8" i="17" s="1"/>
  <c r="Q7" i="17"/>
  <c r="R7" i="17" s="1"/>
  <c r="K7" i="17"/>
  <c r="L7" i="17" s="1"/>
  <c r="J3" i="20"/>
  <c r="K3" i="20" s="1"/>
  <c r="L3" i="20" s="1"/>
  <c r="M3" i="20" s="1"/>
  <c r="N3" i="20" s="1"/>
  <c r="N7" i="17" l="1"/>
  <c r="N11" i="17"/>
  <c r="O7" i="17"/>
  <c r="P7" i="17" s="1"/>
  <c r="O11" i="17"/>
  <c r="P11" i="17" s="1"/>
  <c r="O15" i="17"/>
  <c r="P15" i="17" s="1"/>
  <c r="O19" i="17"/>
  <c r="P19" i="17" s="1"/>
  <c r="O23" i="17"/>
  <c r="P23" i="17" s="1"/>
  <c r="O27" i="17"/>
  <c r="P27" i="17" s="1"/>
  <c r="O31" i="17"/>
  <c r="P31" i="17" s="1"/>
  <c r="O35" i="17"/>
  <c r="P35" i="17" s="1"/>
  <c r="L9" i="17"/>
  <c r="L13" i="17"/>
  <c r="L17" i="17"/>
  <c r="L21" i="17"/>
  <c r="L25" i="17"/>
  <c r="L29" i="17"/>
  <c r="L33" i="17"/>
  <c r="L37" i="17"/>
  <c r="G18" i="40"/>
  <c r="C4" i="40"/>
  <c r="O8" i="17"/>
  <c r="P8" i="17" s="1"/>
  <c r="O12" i="17"/>
  <c r="P12" i="17" s="1"/>
  <c r="O16" i="17"/>
  <c r="O20" i="17"/>
  <c r="P20" i="17" s="1"/>
  <c r="O24" i="17"/>
  <c r="P24" i="17" s="1"/>
  <c r="O28" i="17"/>
  <c r="P28" i="17" s="1"/>
  <c r="O32" i="17"/>
  <c r="P32" i="17" s="1"/>
  <c r="O36" i="17"/>
  <c r="P36" i="17" s="1"/>
  <c r="L8" i="17"/>
  <c r="N9" i="17"/>
  <c r="L12" i="17"/>
  <c r="N13" i="17"/>
  <c r="L16" i="17"/>
  <c r="N17" i="17"/>
  <c r="L20" i="17"/>
  <c r="N21" i="17"/>
  <c r="L24" i="17"/>
  <c r="N25" i="17"/>
  <c r="L28" i="17"/>
  <c r="N29" i="17"/>
  <c r="L32" i="17"/>
  <c r="N33" i="17"/>
  <c r="L36" i="17"/>
  <c r="N37" i="17"/>
  <c r="K39" i="17"/>
  <c r="O39" i="17" l="1"/>
  <c r="P16" i="17"/>
</calcChain>
</file>

<file path=xl/sharedStrings.xml><?xml version="1.0" encoding="utf-8"?>
<sst xmlns="http://schemas.openxmlformats.org/spreadsheetml/2006/main" count="13919" uniqueCount="3319">
  <si>
    <t>SR No.</t>
  </si>
  <si>
    <t>Type</t>
  </si>
  <si>
    <t>Name Of Report</t>
  </si>
  <si>
    <t>Department</t>
  </si>
  <si>
    <t>Period</t>
  </si>
  <si>
    <t>Frequency</t>
  </si>
  <si>
    <t>Format</t>
  </si>
  <si>
    <t>User Respomsible</t>
  </si>
  <si>
    <t>Basic</t>
  </si>
  <si>
    <t>Loss Report</t>
  </si>
  <si>
    <t>Department-wise</t>
  </si>
  <si>
    <t>Daily</t>
  </si>
  <si>
    <t>Existing Format</t>
  </si>
  <si>
    <t>DONE</t>
  </si>
  <si>
    <t>Weekly</t>
  </si>
  <si>
    <t>Next Monday</t>
  </si>
  <si>
    <t>Monthly</t>
  </si>
  <si>
    <t>1st Of every month</t>
  </si>
  <si>
    <t>Rejection Report</t>
  </si>
  <si>
    <t>Scrap Report / DC /Loose</t>
  </si>
  <si>
    <t>Stock Report / Karigar</t>
  </si>
  <si>
    <t>Kit Marshal Bagging Report</t>
  </si>
  <si>
    <t>Karat-wise</t>
  </si>
  <si>
    <t>Avinash</t>
  </si>
  <si>
    <t>Factory Inward Report</t>
  </si>
  <si>
    <t>Factory Outward Report</t>
  </si>
  <si>
    <t>Delay Order Report</t>
  </si>
  <si>
    <t>All</t>
  </si>
  <si>
    <t>Customize Format</t>
  </si>
  <si>
    <t>Order Date has to freeze, and calculation has to from the date of punch</t>
  </si>
  <si>
    <t>Production Report</t>
  </si>
  <si>
    <t>All Fields</t>
  </si>
  <si>
    <t>Next day of the stock</t>
  </si>
  <si>
    <t>Recovery Report</t>
  </si>
  <si>
    <t>5th Day after the stock</t>
  </si>
  <si>
    <t>Contractor Payable Report</t>
  </si>
  <si>
    <t>2 days after the stock</t>
  </si>
  <si>
    <t>Loss Report Summary</t>
  </si>
  <si>
    <t>Wc Name</t>
  </si>
  <si>
    <t>Issue Quantity Pg</t>
  </si>
  <si>
    <t>Process Quantity Pg</t>
  </si>
  <si>
    <t>Unutilized Quantity Pg</t>
  </si>
  <si>
    <t>Unutilized Quantity Sample Pg</t>
  </si>
  <si>
    <t>Unutilized Quantity Scrap Pg</t>
  </si>
  <si>
    <t>Loss Quantity Pg</t>
  </si>
  <si>
    <t>Gain Pg</t>
  </si>
  <si>
    <t>Bal Pg</t>
  </si>
  <si>
    <t>FINAL LOSS</t>
  </si>
  <si>
    <t>LOSS %</t>
  </si>
  <si>
    <t>1FLOOR-ALLOYING-WK</t>
  </si>
  <si>
    <t>ALLOYING-WK</t>
  </si>
  <si>
    <t>BALL-CHAIN-WK</t>
  </si>
  <si>
    <t>BEAD-CUTTING-WK</t>
  </si>
  <si>
    <t>BISMARK-WK</t>
  </si>
  <si>
    <t>BOX-WK</t>
  </si>
  <si>
    <t>BURRATO-WK</t>
  </si>
  <si>
    <t>CABLE-WK</t>
  </si>
  <si>
    <t>CAST GOLD BUFFING WK</t>
  </si>
  <si>
    <t>CAST RHODIUM PLATING-WK</t>
  </si>
  <si>
    <t>CC-MELTING-WK</t>
  </si>
  <si>
    <t>CNC-LASER-CUTTING-WK</t>
  </si>
  <si>
    <t>CURB-WK</t>
  </si>
  <si>
    <t>DIAMOND-CUTTING-WK</t>
  </si>
  <si>
    <t>ENAMEL WK</t>
  </si>
  <si>
    <t>GOLD METAL SETTING WK</t>
  </si>
  <si>
    <t>GOLD-ASSEMBLY-WK</t>
  </si>
  <si>
    <t>GOLD-BUFFING-WK</t>
  </si>
  <si>
    <t>GOLD-CASTING-WK</t>
  </si>
  <si>
    <t>GOLD-EP-WK</t>
  </si>
  <si>
    <t>GOLD-FILLING-WK</t>
  </si>
  <si>
    <t>GOLD-SHORT-WK</t>
  </si>
  <si>
    <t>GOLD-TREE-CUTTING-WK</t>
  </si>
  <si>
    <t>HAMMERING-WK</t>
  </si>
  <si>
    <t>HAND-CUTTING-WK</t>
  </si>
  <si>
    <t>HAND-MELTING-WK</t>
  </si>
  <si>
    <t>HL-AGRAFATO-WK</t>
  </si>
  <si>
    <t>HL-EMPTY-WK</t>
  </si>
  <si>
    <t>HL-ROLLING-WK</t>
  </si>
  <si>
    <t>HL-SPRING-MAKING-WK</t>
  </si>
  <si>
    <t>HL-WIRE-MAKING-WK</t>
  </si>
  <si>
    <t>MEDIA-POLISH-WK</t>
  </si>
  <si>
    <t>PAVE-WK</t>
  </si>
  <si>
    <t>REPAIR CAST GOLD BUFFING WK</t>
  </si>
  <si>
    <t>REPAIR-GOLD-BUFFING-WK</t>
  </si>
  <si>
    <t>REP-GOLD-FILLING-WK</t>
  </si>
  <si>
    <t>RHODIUM-PLATING-WK</t>
  </si>
  <si>
    <t>ROLLING-WK</t>
  </si>
  <si>
    <t>SOLDERING-WK</t>
  </si>
  <si>
    <t>STRIP-MAKING-WK</t>
  </si>
  <si>
    <t>TUBE-MAKING-WK</t>
  </si>
  <si>
    <t>WIRE-DRAWING-WK</t>
  </si>
  <si>
    <t>Total</t>
  </si>
  <si>
    <t>Lot Rejection Report</t>
  </si>
  <si>
    <t>Trans Date</t>
  </si>
  <si>
    <t>Order No</t>
  </si>
  <si>
    <t>Group No</t>
  </si>
  <si>
    <t>Style Name</t>
  </si>
  <si>
    <t>Karat</t>
  </si>
  <si>
    <t>Wt</t>
  </si>
  <si>
    <t>Operation Name</t>
  </si>
  <si>
    <t>User Name</t>
  </si>
  <si>
    <t>Remark</t>
  </si>
  <si>
    <t>Grand Total</t>
  </si>
  <si>
    <t>Scrap Report</t>
  </si>
  <si>
    <t>Wcgroup Name</t>
  </si>
  <si>
    <t>Gross Weight</t>
  </si>
  <si>
    <t>Metal Weight</t>
  </si>
  <si>
    <t>BEAD-CUTTING</t>
  </si>
  <si>
    <t>BEAD-CUTTING Total</t>
  </si>
  <si>
    <t>BISMARK-HOD</t>
  </si>
  <si>
    <t>BISMARK-HOD Total</t>
  </si>
  <si>
    <t>CENTRAL-OFFICE-1F</t>
  </si>
  <si>
    <t>CENTRAL-OFFICE-1F-HOD</t>
  </si>
  <si>
    <t>CENTRAL-OFFICE-1F Total</t>
  </si>
  <si>
    <t>CENTRAL-OFFICE-GF</t>
  </si>
  <si>
    <t>CENTRAL-OFFICE-GF Total</t>
  </si>
  <si>
    <t>CHAIN-WEAVING</t>
  </si>
  <si>
    <t>CHAIN-WEAVING-HOD</t>
  </si>
  <si>
    <t>CHAIN-WEAVING Total</t>
  </si>
  <si>
    <t>CNC-BANGLE-HOD</t>
  </si>
  <si>
    <t>CNC-BANGLE-WK</t>
  </si>
  <si>
    <t>CNC-LASER-CUTTING</t>
  </si>
  <si>
    <t>CNC-LASER-CUTTING Total</t>
  </si>
  <si>
    <t>DIAMOND-CUTTING</t>
  </si>
  <si>
    <t>DIAMOND-CUTTING Total</t>
  </si>
  <si>
    <t>ELECTROPLATING</t>
  </si>
  <si>
    <t>ELECTROPLATING-HOD</t>
  </si>
  <si>
    <t>ELECTROPLATING Total</t>
  </si>
  <si>
    <t>GOLD-BUFFING-HOD</t>
  </si>
  <si>
    <t>GOLD-BUFFING-HOD Total</t>
  </si>
  <si>
    <t>GOLD-CASTING</t>
  </si>
  <si>
    <t>GOLD-CASTING-HOD</t>
  </si>
  <si>
    <t>GOLD-CASTING Total</t>
  </si>
  <si>
    <t>HAMMERING</t>
  </si>
  <si>
    <t>HAMMERING Total</t>
  </si>
  <si>
    <t>HAND-CUTTING</t>
  </si>
  <si>
    <t>HAND-CUTTING Total</t>
  </si>
  <si>
    <t>MEDIA-POLISH</t>
  </si>
  <si>
    <t>MEDIA-POLISH-HOD</t>
  </si>
  <si>
    <t>MEDIA-POLISH Total</t>
  </si>
  <si>
    <t>MELTING-&amp;-ANNEALING</t>
  </si>
  <si>
    <t>MELTING-&amp;-ANNEALING-HOD</t>
  </si>
  <si>
    <t>MELTING-&amp;-ANNEALING Total</t>
  </si>
  <si>
    <t>SOLDERING</t>
  </si>
  <si>
    <t>SOLDERING Total</t>
  </si>
  <si>
    <t>SR-H-METAL-CONTROL</t>
  </si>
  <si>
    <t>SR-HOLLOW-METAL CONTROL</t>
  </si>
  <si>
    <t>SR-H-METAL-CONTROL Total</t>
  </si>
  <si>
    <t>VENDOR-DEPT</t>
  </si>
  <si>
    <t>VENDOR-HOD</t>
  </si>
  <si>
    <t>VENDOR-DEPT Total</t>
  </si>
  <si>
    <t>WIRE &amp; STRIP PREPARATION</t>
  </si>
  <si>
    <t>WIRE &amp; STRIP PREPARATION HOD</t>
  </si>
  <si>
    <t>WIRE &amp; STRIP PREPARATION Total</t>
  </si>
  <si>
    <t>14KT-BAGGING-HOD</t>
  </si>
  <si>
    <t>18KT-BAGGING-HOD</t>
  </si>
  <si>
    <t>18KT-BAGGING-HOD Total</t>
  </si>
  <si>
    <t>22KT-BAGGING-HOD</t>
  </si>
  <si>
    <t>22KT-BAGGING-HOD Total</t>
  </si>
  <si>
    <t>BAPI-18KT-JW</t>
  </si>
  <si>
    <t>BAPI-SOILD-18KT-JW</t>
  </si>
  <si>
    <t>BAPI-SOILD-22KT-JW</t>
  </si>
  <si>
    <t>BEAD-CUTTING-HOD</t>
  </si>
  <si>
    <t>CAM</t>
  </si>
  <si>
    <t>CENTRAL-OFFICE-2F</t>
  </si>
  <si>
    <t>CENTRAL-OFFICE-2F-HOD</t>
  </si>
  <si>
    <t>CENTRAL-OFFICE-2F Total</t>
  </si>
  <si>
    <t>CENTRAL-OFFICE-GF-HOD</t>
  </si>
  <si>
    <t>DIAMOND-CUTTING-HOD</t>
  </si>
  <si>
    <t>ENAMEL HOD</t>
  </si>
  <si>
    <t>GOLD METALSETTING</t>
  </si>
  <si>
    <t>GOLD METALSETTING Total</t>
  </si>
  <si>
    <t>GOLD-ASSEMBLY</t>
  </si>
  <si>
    <t>GOLD-ASSEMBLY Total</t>
  </si>
  <si>
    <t>GOLD-DULL</t>
  </si>
  <si>
    <t>GOLD-FILLING</t>
  </si>
  <si>
    <t>GOLD-FILLING-HOD</t>
  </si>
  <si>
    <t>GOLD-FILLING Total</t>
  </si>
  <si>
    <t>GOLD-SEPERATION</t>
  </si>
  <si>
    <t>GOLD-SEPERATION-HOD</t>
  </si>
  <si>
    <t>GOLD-SEPERATION Total</t>
  </si>
  <si>
    <t>GOLD-SHORT-HOD</t>
  </si>
  <si>
    <t>GOLD-SHORT-HOD Total</t>
  </si>
  <si>
    <t>HALLMARK</t>
  </si>
  <si>
    <t>HALLMARK-HOD</t>
  </si>
  <si>
    <t>JT-14-ASSEMBLY-ROOM-3-2F</t>
  </si>
  <si>
    <t>JT-18-ASSEMBLY-ROOM-4-2F</t>
  </si>
  <si>
    <t>JT-22-ASSEMBLY-ROOM-1-2F</t>
  </si>
  <si>
    <t>LOK-18-ASS-ROOM-8-2F-CLIPING-JW</t>
  </si>
  <si>
    <t>LOK-22-ASSEMBLY-ROOM-8-2F-A</t>
  </si>
  <si>
    <t>LOK-22-ASS-ROOM-8-2F-CLIPING-JW</t>
  </si>
  <si>
    <t>NS-18-ASSEMBLY-ROOM-4-2F</t>
  </si>
  <si>
    <t>NS-22-ASSEMBLY-ROOM-4-2F</t>
  </si>
  <si>
    <t>PACKING &amp; QA</t>
  </si>
  <si>
    <t>PACKING &amp; QA HOD</t>
  </si>
  <si>
    <t>PACKING &amp; QA Total</t>
  </si>
  <si>
    <t>PHOTOGRAPHY HOD</t>
  </si>
  <si>
    <t>PHOTOGRAPHY HOD Total</t>
  </si>
  <si>
    <t>PJ-18-ASSEMBLY-ROOM-4-2F</t>
  </si>
  <si>
    <t>PJ-22-ASSEMBLY-ROOM-4-2F</t>
  </si>
  <si>
    <t>PLANNING</t>
  </si>
  <si>
    <t>PS-18-ASSEMBLY-ROOM-2-2F</t>
  </si>
  <si>
    <t>PS-22-ASSEMBLY-ROOM-2-2F</t>
  </si>
  <si>
    <t>RB-18-ASSEMBLY-ROOM-6-2F</t>
  </si>
  <si>
    <t>RB-22-ASSEMBLY-ROOM-6-2F</t>
  </si>
  <si>
    <t>REFINING-HOD</t>
  </si>
  <si>
    <t>REFINING-WK</t>
  </si>
  <si>
    <t>REFINING-HOD Total</t>
  </si>
  <si>
    <t>RUBBER-MOULD</t>
  </si>
  <si>
    <t>RUBBER-MOULD-HOD</t>
  </si>
  <si>
    <t>RUBBER-MOULD Total</t>
  </si>
  <si>
    <t>SAMPLE DEPT</t>
  </si>
  <si>
    <t>SAMPLE HOD</t>
  </si>
  <si>
    <t>SAMPLE DEPT Total</t>
  </si>
  <si>
    <t>SR-ENTRY-HOLLOW EMPTY-HOD</t>
  </si>
  <si>
    <t>STAMPING</t>
  </si>
  <si>
    <t>STONE-LOSS-JW</t>
  </si>
  <si>
    <t>SUMAN-18-ASS-ROOM-7-2F</t>
  </si>
  <si>
    <t>SUMAN-22-ASS-ROOM-7-2F</t>
  </si>
  <si>
    <t>TESTING GOLD DEPT</t>
  </si>
  <si>
    <t>VS-14-ASSEMBLY-ROOM-5-2F</t>
  </si>
  <si>
    <t>VS-18-ASSEMBLY-ROOM-5-2F</t>
  </si>
  <si>
    <t>VS-22-ASSEMBLY-ROOM-5-2F</t>
  </si>
  <si>
    <t>WAX</t>
  </si>
  <si>
    <t>WAX Total</t>
  </si>
  <si>
    <t>WEDNESDAY</t>
  </si>
  <si>
    <t>THURSDAY</t>
  </si>
  <si>
    <t>FRIDAY</t>
  </si>
  <si>
    <t>SATURDAY</t>
  </si>
  <si>
    <t>SUNDAY</t>
  </si>
  <si>
    <t>MONDAY</t>
  </si>
  <si>
    <t>Variant ID</t>
  </si>
  <si>
    <t>Finding/Component*</t>
  </si>
  <si>
    <t>Style Variant*</t>
  </si>
  <si>
    <t>Re-order?</t>
  </si>
  <si>
    <t>CATEGARY</t>
  </si>
  <si>
    <t>MIN Order</t>
  </si>
  <si>
    <t>MIN Stock</t>
  </si>
  <si>
    <t>Loose-Ball-4mm-91.75-YG-NA</t>
  </si>
  <si>
    <t>Loose-Ball-0.200gm-22KT-YG-4mm</t>
  </si>
  <si>
    <t>Re-order</t>
  </si>
  <si>
    <t>ROUND BEADS</t>
  </si>
  <si>
    <t>Loose-Ball-5mm-91.75-YG-NA</t>
  </si>
  <si>
    <t>Loose-Ball-0.400gm-22KT-YG-5mm</t>
  </si>
  <si>
    <t>Factory Inward ( GOODS RECEIPT NOTE ) Report Summary</t>
  </si>
  <si>
    <t>Party Name</t>
  </si>
  <si>
    <t>KARAT</t>
  </si>
  <si>
    <t>Net Wt</t>
  </si>
  <si>
    <t>Pg Wt</t>
  </si>
  <si>
    <t>Aalishaan Jewels LLP</t>
  </si>
  <si>
    <t>22KT</t>
  </si>
  <si>
    <t>AJ-REFINISHING</t>
  </si>
  <si>
    <t>DVM AQUA GOLD PRIVATE LIMITED</t>
  </si>
  <si>
    <t>18KT</t>
  </si>
  <si>
    <t>INDRAHEER GOLD</t>
  </si>
  <si>
    <t>14KT</t>
  </si>
  <si>
    <t>K JEWEL COUTURE PRIVATE LIMITED</t>
  </si>
  <si>
    <t>RC-REFINISHING</t>
  </si>
  <si>
    <t>Royal Chain Private Limited</t>
  </si>
  <si>
    <t>24KT</t>
  </si>
  <si>
    <t>Royal Chain Private Limited Total</t>
  </si>
  <si>
    <t>SATISH LOBSTERS</t>
  </si>
  <si>
    <t>Values</t>
  </si>
  <si>
    <t>Sum of Net Wt</t>
  </si>
  <si>
    <t>Sum of Pg Wt</t>
  </si>
  <si>
    <t>Trans Type :- GOODS RECEIPT NOTE</t>
  </si>
  <si>
    <t>Doc No</t>
  </si>
  <si>
    <t>Style No</t>
  </si>
  <si>
    <t>Variant Name</t>
  </si>
  <si>
    <t>Wastage Perc</t>
  </si>
  <si>
    <t>Pg Wastage Wt</t>
  </si>
  <si>
    <t>Line Remark</t>
  </si>
  <si>
    <t>G-NA-75.00-RG</t>
  </si>
  <si>
    <t>G-NA-91.70-YG</t>
  </si>
  <si>
    <t>INDO-MIX-NA-22KT-YG-NA</t>
  </si>
  <si>
    <t>Factory Outward ( SALE INVOICE ) Report Summary</t>
  </si>
  <si>
    <t>TITAN</t>
  </si>
  <si>
    <t>V-DIA JEWELS PRIVATE LIMITED</t>
  </si>
  <si>
    <t>SKY CHAINS &amp; JEWELLERY PVT LTD</t>
  </si>
  <si>
    <t>Kanakratna Exim PVT LTD</t>
  </si>
  <si>
    <t>ADITYA FINDINGS PRIVATE LIMITED</t>
  </si>
  <si>
    <t>Trans Type :- SALE INVOICE</t>
  </si>
  <si>
    <t>G-NA-75.00-YG</t>
  </si>
  <si>
    <t>35YA25DR8-25CABLE-CROSS-ROAD-V-CUT-Y-11gm-22KT-YG-MS</t>
  </si>
  <si>
    <t>CR-AB-037/1(NO STAMPING)</t>
  </si>
  <si>
    <t>LF029-SITARA-3.00gm-22KT-YG-MS</t>
  </si>
  <si>
    <t>TQER24103-2.83GM-22KT-YG-NA</t>
  </si>
  <si>
    <t>TQNK24059-4.85GM-22KT-YG-18"</t>
  </si>
  <si>
    <t>G-NA-75.00-WG</t>
  </si>
  <si>
    <t>OLK241871-8.00 GM-18KT-RG-2.4</t>
  </si>
  <si>
    <t>SO25434(AJ 957)</t>
  </si>
  <si>
    <t>TQNK24085-5.850gm-22KT-YG-18"</t>
  </si>
  <si>
    <t>ICH242039-22gm-18KT-YG-22"</t>
  </si>
  <si>
    <t>ICH242039-24gm-18KT-YG-24"</t>
  </si>
  <si>
    <t>10V10CSTW-1BOX-INDRAJEET-STEP-TWIST-ICE-Y-5.50gm-22KT-YG-MS</t>
  </si>
  <si>
    <t>DELAY ORDER REPORT</t>
  </si>
  <si>
    <t>Status :- OPEN</t>
  </si>
  <si>
    <t>Batch No</t>
  </si>
  <si>
    <t>Actual Metal Wt</t>
  </si>
  <si>
    <t>Dept Name</t>
  </si>
  <si>
    <t>Jobworker</t>
  </si>
  <si>
    <t>Req Purity</t>
  </si>
  <si>
    <t>Shipment Date</t>
  </si>
  <si>
    <t>Order Date</t>
  </si>
  <si>
    <t>Shipment Days</t>
  </si>
  <si>
    <t>Order Days</t>
  </si>
  <si>
    <t>SAMPLE-PCS-1gm-22KT-YG-NA</t>
  </si>
  <si>
    <t>NONE</t>
  </si>
  <si>
    <t>MANOJ-KDM-ORD-2706</t>
  </si>
  <si>
    <t>KDM PATTI/WIRE-1.00gm-22KT-YG-NA</t>
  </si>
  <si>
    <t>SR-28280</t>
  </si>
  <si>
    <t>B-168896</t>
  </si>
  <si>
    <t>SUMAN-KDM-0307</t>
  </si>
  <si>
    <t>KDM PATTI/WIRE-1gm-18KT-YG-NA</t>
  </si>
  <si>
    <t>SR-28346</t>
  </si>
  <si>
    <t>B-169894</t>
  </si>
  <si>
    <t>B-170403</t>
  </si>
  <si>
    <t>G-NA-91.75-YG</t>
  </si>
  <si>
    <t>SR-SOR-EXT-60459</t>
  </si>
  <si>
    <t>INIT-174-64gm-22KT-YG-ROLL</t>
  </si>
  <si>
    <t>B-174390</t>
  </si>
  <si>
    <t>AP-RC-240725-6</t>
  </si>
  <si>
    <t>B-175477</t>
  </si>
  <si>
    <t>PLANNING(CAST)</t>
  </si>
  <si>
    <t>B-175478</t>
  </si>
  <si>
    <t>B-175479</t>
  </si>
  <si>
    <t>RC-10704-(EXP)ONLY 916</t>
  </si>
  <si>
    <t>MVRC-088-15.50gm-22KT-YG-MS</t>
  </si>
  <si>
    <t>B-179100</t>
  </si>
  <si>
    <t>ONK25831-6.00 GM-22KT-YG-NA.</t>
  </si>
  <si>
    <t>CR-AB-018/4-(NO STAMPING)</t>
  </si>
  <si>
    <t>22-AS009YW-1-6.50gm-22KT-YG-MS</t>
  </si>
  <si>
    <t>B-179869/1</t>
  </si>
  <si>
    <t>SO25383(RC 19424 JIO ORD LONDE JEW)</t>
  </si>
  <si>
    <t>ONKS241826-31.00 GM-22KT-YG-16</t>
  </si>
  <si>
    <t>B-179855</t>
  </si>
  <si>
    <t>ICH9864-5MM-44.00 GM-22KT-YG-24</t>
  </si>
  <si>
    <t>SO25386(RC 19422 JIO ORD BANSI GOLD )</t>
  </si>
  <si>
    <t>IBR25229-X-18.00 GM-18KT-RG-8</t>
  </si>
  <si>
    <t>B-180223</t>
  </si>
  <si>
    <t>CO252166(TITAN-CR-TT-011)</t>
  </si>
  <si>
    <t>TQER24004-9.170gm-22KT-YG-NA</t>
  </si>
  <si>
    <t>B-180730</t>
  </si>
  <si>
    <t>TQOK24056-9.83GM-22KT-YG-47 mm x 57 mm</t>
  </si>
  <si>
    <t>B-180731</t>
  </si>
  <si>
    <t>TQOK24057-9.78GM-22KT-YG-45 mm x 55 mm</t>
  </si>
  <si>
    <t>B-180735</t>
  </si>
  <si>
    <t>B-180735/1</t>
  </si>
  <si>
    <t>TQOK24056-9.83GM-22KT-YG-45 mm x 55 mm</t>
  </si>
  <si>
    <t>B-180737</t>
  </si>
  <si>
    <t>TQOK24057-9.78GM-22KT-YG-47 mm x 57 mm</t>
  </si>
  <si>
    <t>B-180738</t>
  </si>
  <si>
    <t>B-180738/1</t>
  </si>
  <si>
    <t>CO252166B(TITAN-CR-TT-011)</t>
  </si>
  <si>
    <t>TQOK24065-7.760gm-22KT-YG-47 mm x 57 mm</t>
  </si>
  <si>
    <t>B-181346/1</t>
  </si>
  <si>
    <t>CO252166A(TITAN-CR-TT-011)</t>
  </si>
  <si>
    <t>TQLR24030-2.00gm-22KT-YG-SIZE-16.4 MM</t>
  </si>
  <si>
    <t>B-181299</t>
  </si>
  <si>
    <t>TQLR24030-1.75GM-22KT-YG-SIZE-16.8 MM</t>
  </si>
  <si>
    <t>B-181300</t>
  </si>
  <si>
    <t>TQLR24030-1.900G-22KT-YG-SIZE-17.2 MM</t>
  </si>
  <si>
    <t>B-181305</t>
  </si>
  <si>
    <t>TQLR24033-3.00gm-22KT-YG-SIZE-17.2 MM</t>
  </si>
  <si>
    <t>B-181306</t>
  </si>
  <si>
    <t>TQLR24042-3.00gm-22KT-YG-SIZE-16.4 MM</t>
  </si>
  <si>
    <t>B-181312</t>
  </si>
  <si>
    <t>TQLR24033-2.50gm-22KT-YG-SIZE-16.8 MM</t>
  </si>
  <si>
    <t>B-181315</t>
  </si>
  <si>
    <t>TQOK24068-6.910gm-22KT-YG-45 mm x 55 mm</t>
  </si>
  <si>
    <t>SO25393(ARK - SRI AMMAN JEWEL)</t>
  </si>
  <si>
    <t>ICH23911M6-25.00 GM-18KT-RG-20</t>
  </si>
  <si>
    <t>B-181333</t>
  </si>
  <si>
    <t>ICH23901M6-26.00 GM-18KT-RG-22</t>
  </si>
  <si>
    <t>B-181335</t>
  </si>
  <si>
    <t>IBC23911-14gm-18KT-RG-8"</t>
  </si>
  <si>
    <t>B-181337</t>
  </si>
  <si>
    <t>CO252166C(TITAN-CR-TT-011)</t>
  </si>
  <si>
    <t>TQOK24058-9.940gm-22KT-YG-45 mm x 55 mm</t>
  </si>
  <si>
    <t>B-181650</t>
  </si>
  <si>
    <t>TQER24014-3.230gm-22KT-YG-NA</t>
  </si>
  <si>
    <t>B-181652</t>
  </si>
  <si>
    <t>AJ-931-ST</t>
  </si>
  <si>
    <t>MVRC-025B-10.00gm-22KT-YG-MS</t>
  </si>
  <si>
    <t>B-181703</t>
  </si>
  <si>
    <t>CO252166D(TITAN-CR-TT-011)</t>
  </si>
  <si>
    <t>TQNK24017-15gm-22KT-YG-20"</t>
  </si>
  <si>
    <t>B-181730</t>
  </si>
  <si>
    <t>TQPS24102-15.50gm-22KT-YG-NA</t>
  </si>
  <si>
    <t>B-181731</t>
  </si>
  <si>
    <t>TQPS24019-3.00gm-22KT-YG-NA</t>
  </si>
  <si>
    <t>B-181732</t>
  </si>
  <si>
    <t>AQUA-1308259-ST(SANJAY BHAI)</t>
  </si>
  <si>
    <t>IFO-201-44.5gm-18KT-RG-MS</t>
  </si>
  <si>
    <t>B-186190</t>
  </si>
  <si>
    <t>SR-SOR-EXT-64094</t>
  </si>
  <si>
    <t>MENS-003-13gm-18KT-RG-ROLL</t>
  </si>
  <si>
    <t>B-183551</t>
  </si>
  <si>
    <t>MENS-004-11gm-18KT-RG-ROLL</t>
  </si>
  <si>
    <t>B-183552</t>
  </si>
  <si>
    <t>CO252166E(TITAN-CR-TT-011)</t>
  </si>
  <si>
    <t>TQER24086-3.600gm-22KT-YG-NA</t>
  </si>
  <si>
    <t>B-183633</t>
  </si>
  <si>
    <t>CO252213(RC-19503)</t>
  </si>
  <si>
    <t>ICH10104M14.5A-250 GM-22KT-YG-26"</t>
  </si>
  <si>
    <t>B-183492</t>
  </si>
  <si>
    <t>VISHWAJEET-SAMPLE-2308</t>
  </si>
  <si>
    <t>SAMPLE-PCS-1gm-22KT-YG-MS</t>
  </si>
  <si>
    <t>B-184192</t>
  </si>
  <si>
    <t>CO252242(TITAN ORDER-CR-TT-039)</t>
  </si>
  <si>
    <t>TQOK24044-8.117GM-22KT-YG-45 mm x 55 mm</t>
  </si>
  <si>
    <t>B-184767</t>
  </si>
  <si>
    <t>TQLR24033-2.50gm-22KT-YG-SIZE-16.4 MM</t>
  </si>
  <si>
    <t>B-184771</t>
  </si>
  <si>
    <t>B-184772</t>
  </si>
  <si>
    <t>B-184773</t>
  </si>
  <si>
    <t>TQLR24042-3.50gm-22KT-YG-SIZE-16.8 MM</t>
  </si>
  <si>
    <t>B-184776</t>
  </si>
  <si>
    <t>B-184778</t>
  </si>
  <si>
    <t>B-184779</t>
  </si>
  <si>
    <t>TQOK24063-8.030gm-22KT-YG-45 mm x 55 mm</t>
  </si>
  <si>
    <t>B-184782</t>
  </si>
  <si>
    <t>REP/ORD/1192( SAHIL-11632) )</t>
  </si>
  <si>
    <t>ICH10104M6B-37.12GM-22KT-YG-20"</t>
  </si>
  <si>
    <t>B-186347</t>
  </si>
  <si>
    <t>VRC-026A-31.50gm-22KT-YG-MS</t>
  </si>
  <si>
    <t>NPD-0725371-0209</t>
  </si>
  <si>
    <t>B-187421</t>
  </si>
  <si>
    <t>CR-AB-028/8-( NO STAMPING)</t>
  </si>
  <si>
    <t>11YPV10CS4-1BOX-INDRAJEET-PAVE-ICE-YP-6.00gm-22KT-YG-MS</t>
  </si>
  <si>
    <t>B-188107</t>
  </si>
  <si>
    <t>SO25404C(AJ-946) 51 NECKLACE SETS</t>
  </si>
  <si>
    <t>ONKS24677-14.00 GM-22KT-YG-18</t>
  </si>
  <si>
    <t>B-187659</t>
  </si>
  <si>
    <t>ONKS241228-12.00 GM-22KT-YG-18</t>
  </si>
  <si>
    <t>B-187665</t>
  </si>
  <si>
    <t>ONKS24678-11.00 GM-22KT-YG-18</t>
  </si>
  <si>
    <t>B-187671</t>
  </si>
  <si>
    <t>ONKS241222-12.00 GM-22KT-YG-18</t>
  </si>
  <si>
    <t>B-187672</t>
  </si>
  <si>
    <t>SO25406A(AQUA-9 NECKLACE SET)</t>
  </si>
  <si>
    <t>B-187776</t>
  </si>
  <si>
    <t>VED-ST-251505-25gm-18KT-RG-NA.</t>
  </si>
  <si>
    <t>B-187778</t>
  </si>
  <si>
    <t>B-187779</t>
  </si>
  <si>
    <t>B-187781</t>
  </si>
  <si>
    <t>B-187782</t>
  </si>
  <si>
    <t>B-187783</t>
  </si>
  <si>
    <t>VRC-052-43gm-22KT-YG-24"</t>
  </si>
  <si>
    <t>CO252283(RC-2508)</t>
  </si>
  <si>
    <t>FCK-598C-5gm-18KT-RG-1.14-ANNI</t>
  </si>
  <si>
    <t>B-188291</t>
  </si>
  <si>
    <t>CO252302(MALABAR CORPORATE ORD-CR-M-071)</t>
  </si>
  <si>
    <t>ICH10286M5-42gm-22KT-YG-24"</t>
  </si>
  <si>
    <t>B-189639</t>
  </si>
  <si>
    <t>VRC-001-48.5gm-22KT-YG-30"</t>
  </si>
  <si>
    <t>CHOCO-247-24gm-22KT-YG-8"</t>
  </si>
  <si>
    <t>REP/ORD/1212(SAHIL-11682)</t>
  </si>
  <si>
    <t>INDIGO CHAIN-30gm-22KT-YG-NA</t>
  </si>
  <si>
    <t>B-190756</t>
  </si>
  <si>
    <t>IHG-1009</t>
  </si>
  <si>
    <t>MBCH-058-2.50gm-18KT-YG-MS</t>
  </si>
  <si>
    <t>B-190746</t>
  </si>
  <si>
    <t>OBC25422-10.00 GM-22KT-YG-7.5</t>
  </si>
  <si>
    <t>B-190841</t>
  </si>
  <si>
    <t>CO252344(TITAN-ORD-CR-TT-040)</t>
  </si>
  <si>
    <t>TQER24339-5.14GM-22KT-YG-NA</t>
  </si>
  <si>
    <t>B-191470</t>
  </si>
  <si>
    <t>TQNK24156-8.00gm-22KT-YG-19''</t>
  </si>
  <si>
    <t>B-191471</t>
  </si>
  <si>
    <t>TQLR24031-3.50gm-22KT-YG-SIZE-17.2 MM</t>
  </si>
  <si>
    <t>B-191472</t>
  </si>
  <si>
    <t>TQLR24109-3.50gm-22KT-YG-SIZE-16.4 MM</t>
  </si>
  <si>
    <t>B-191477</t>
  </si>
  <si>
    <t>TQNK24076-8.740GM-22KT-YG-18"</t>
  </si>
  <si>
    <t>B-191480</t>
  </si>
  <si>
    <t>TQNK24040-9.36GM-22KT-YG-18"</t>
  </si>
  <si>
    <t>B-191484</t>
  </si>
  <si>
    <t>B-191485</t>
  </si>
  <si>
    <t>B-191487</t>
  </si>
  <si>
    <t>TQLR24031-3.50gm-22KT-YG-SIZE-16.8 MM</t>
  </si>
  <si>
    <t>B-191488</t>
  </si>
  <si>
    <t>TQER24013-6.40GM-22KT-YG-NA</t>
  </si>
  <si>
    <t>B-191491</t>
  </si>
  <si>
    <t>B-191492</t>
  </si>
  <si>
    <t>TQER24015-2.92GM-22KT-YG-NA</t>
  </si>
  <si>
    <t>B-191495</t>
  </si>
  <si>
    <t>TQP24103-4.510GM-22KT-YG-NA</t>
  </si>
  <si>
    <t>B-191498</t>
  </si>
  <si>
    <t>TQOK24113-8.420GM-22KT-YG-45 mm x 55 mm</t>
  </si>
  <si>
    <t>B-191499</t>
  </si>
  <si>
    <t>B-191500</t>
  </si>
  <si>
    <t>TQER24007-4.81GM-22KT-YG-NA</t>
  </si>
  <si>
    <t>B-191504</t>
  </si>
  <si>
    <t>TQER24010-4.910gm-22KT-YG-NA</t>
  </si>
  <si>
    <t>TQP24015-4.630gm-22KT-YG-18"</t>
  </si>
  <si>
    <t>B-191506</t>
  </si>
  <si>
    <t>B-191509</t>
  </si>
  <si>
    <t>B-191510</t>
  </si>
  <si>
    <t>CO252347(AQUA-OM JWLS)</t>
  </si>
  <si>
    <t>ICH25246-X-38.00 GM-22KT-YG-22</t>
  </si>
  <si>
    <t>B-191612</t>
  </si>
  <si>
    <t>SO25437(AQUA VIKCY BHAI)</t>
  </si>
  <si>
    <t>B-191292</t>
  </si>
  <si>
    <t>B-191297</t>
  </si>
  <si>
    <t>B-191299</t>
  </si>
  <si>
    <t>B-191301</t>
  </si>
  <si>
    <t>B-191302</t>
  </si>
  <si>
    <t>B-191303</t>
  </si>
  <si>
    <t>VED-ST-251414-16gm-18KT-RG-NA.</t>
  </si>
  <si>
    <t>B-191305</t>
  </si>
  <si>
    <t>CR-AB-032/3 (NO STAMP)</t>
  </si>
  <si>
    <t>10B1BS4-1MM-GADAR-8-CUT-PAVE-SQUARE-9gm-18KT-YG-MS</t>
  </si>
  <si>
    <t>B-192682</t>
  </si>
  <si>
    <t>SO25443(TITAN-CR-TT-041)</t>
  </si>
  <si>
    <t>SO25443A(TITAN-CR-TT-041)</t>
  </si>
  <si>
    <t>PTC-161-21gm-18KT-YG-20"</t>
  </si>
  <si>
    <t>B-192508</t>
  </si>
  <si>
    <t>ICH24191M3-24.000GM-18KT-RG-20"</t>
  </si>
  <si>
    <t>B-192509</t>
  </si>
  <si>
    <t>ICH23849-17gm-18KT-YG-20</t>
  </si>
  <si>
    <t>B-192511</t>
  </si>
  <si>
    <t>ICH10239M3.4-25.5gm-18KT-YG-20"</t>
  </si>
  <si>
    <t>B-192515</t>
  </si>
  <si>
    <t>ICH242039-20.00 GM-18KT-YG-20</t>
  </si>
  <si>
    <t>B-192516/1</t>
  </si>
  <si>
    <t>B-192516</t>
  </si>
  <si>
    <t>IGCC23822-11.00 GM-18KT-RG-20</t>
  </si>
  <si>
    <t>B-192518</t>
  </si>
  <si>
    <t>ICH10335M4-26gm-18KT-YG-20"</t>
  </si>
  <si>
    <t>B-192519</t>
  </si>
  <si>
    <t>ICH23862M6-26gm-18KT-YG-20"</t>
  </si>
  <si>
    <t>B-192520</t>
  </si>
  <si>
    <t>ICH24188M4-28.00GM-18KT-RG-20"</t>
  </si>
  <si>
    <t>B-192522</t>
  </si>
  <si>
    <t>CO252356(TITAN-CR-TT-041)</t>
  </si>
  <si>
    <t>TQER25004-2.50gm-22KT-YG-NA</t>
  </si>
  <si>
    <t>B-192303</t>
  </si>
  <si>
    <t>ICH242030M3-21gm-18KT-YG-24"</t>
  </si>
  <si>
    <t>B-192528</t>
  </si>
  <si>
    <t>B-192528/1</t>
  </si>
  <si>
    <t>B-192529</t>
  </si>
  <si>
    <t>B-192529/1</t>
  </si>
  <si>
    <t>B-192530</t>
  </si>
  <si>
    <t>B-192530/1</t>
  </si>
  <si>
    <t>ICH242030M3-19gm-18KT-YG-22"</t>
  </si>
  <si>
    <t>B-192531/1</t>
  </si>
  <si>
    <t>B-192531</t>
  </si>
  <si>
    <t>ICH10239M3.4-27gm-18KT-YG-22"</t>
  </si>
  <si>
    <t>B-192535</t>
  </si>
  <si>
    <t>ICH23205M3.2-21gm-18KT-RG-22"</t>
  </si>
  <si>
    <t>B-192537</t>
  </si>
  <si>
    <t>ICH25552M3.4-21gm-18KT-YG-24"</t>
  </si>
  <si>
    <t>B-192547/1</t>
  </si>
  <si>
    <t>B-192547</t>
  </si>
  <si>
    <t>ICH4816M4-23.00 GM-18KT-RG-22"</t>
  </si>
  <si>
    <t>B-192548</t>
  </si>
  <si>
    <t>ICH10255M6-27gm-18KT-YG-22"</t>
  </si>
  <si>
    <t>B-192555</t>
  </si>
  <si>
    <t>IGCC23822-14.00 GM-18KT-RG-24</t>
  </si>
  <si>
    <t>B-192557</t>
  </si>
  <si>
    <t>ICH23849-20.00 GM-18KT-YG-24</t>
  </si>
  <si>
    <t>B-192560</t>
  </si>
  <si>
    <t>B-192560/1</t>
  </si>
  <si>
    <t>NPD-TITAN-ORDER-A</t>
  </si>
  <si>
    <t>TQP251788-1.100gm-24KT-YG-NA</t>
  </si>
  <si>
    <t>B-192835</t>
  </si>
  <si>
    <t>TQP251801-2.00gm-24KT-YG-NA</t>
  </si>
  <si>
    <t>B-192836</t>
  </si>
  <si>
    <t>TQP251793-1.20GM-24KT-YG-NA</t>
  </si>
  <si>
    <t>B-192841</t>
  </si>
  <si>
    <t>TQP251800-2.00gm-24KT-YG-NA</t>
  </si>
  <si>
    <t>B-192845</t>
  </si>
  <si>
    <t>TQP251803-3.00gm-24KT-YG-NA</t>
  </si>
  <si>
    <t>B-192850</t>
  </si>
  <si>
    <t>TQP251810-2.00gm-24KT-YG-NA</t>
  </si>
  <si>
    <t>B-192857</t>
  </si>
  <si>
    <t>CR-AB-033-(NO STAMPING)</t>
  </si>
  <si>
    <t>B-193548</t>
  </si>
  <si>
    <t>27YV30DL3-3BOX-HIGHWAY-V-Y-9gm-22KT-YG-MS</t>
  </si>
  <si>
    <t>SO25423B-1(KANAK RATNA)</t>
  </si>
  <si>
    <t>B-193531</t>
  </si>
  <si>
    <t>ARK-SAMPLE ORD.</t>
  </si>
  <si>
    <t>B-194019</t>
  </si>
  <si>
    <t>B-195033</t>
  </si>
  <si>
    <t>CR-AB-037/19(NO STAMP)</t>
  </si>
  <si>
    <t>LF078-SQUARE-SNAKE-6gm-22KT-YG-MS</t>
  </si>
  <si>
    <t>B-195039</t>
  </si>
  <si>
    <t>CO252420(TITAN-CR-TT-046)</t>
  </si>
  <si>
    <t>B-194919</t>
  </si>
  <si>
    <t>TQOK24115-11.16GM-22KT-YG-45 mm x 55 mm</t>
  </si>
  <si>
    <t>B-194922</t>
  </si>
  <si>
    <t>B-194925</t>
  </si>
  <si>
    <t>IBR241326M8-24.00 GM-22KT-YG-8</t>
  </si>
  <si>
    <t>B-194928</t>
  </si>
  <si>
    <t>B-194928/1</t>
  </si>
  <si>
    <t>B-194930</t>
  </si>
  <si>
    <t>TQOK24039-12.40GM-22KT-YG-45 mm x 55 mm</t>
  </si>
  <si>
    <t>B-194932</t>
  </si>
  <si>
    <t>B-194935</t>
  </si>
  <si>
    <t>B-194936</t>
  </si>
  <si>
    <t>B-194939</t>
  </si>
  <si>
    <t>B-194940</t>
  </si>
  <si>
    <t>TQNK24313-6.50gm-22KT-YG-19''</t>
  </si>
  <si>
    <t>B-194942</t>
  </si>
  <si>
    <t>B-194944</t>
  </si>
  <si>
    <t>SR</t>
  </si>
  <si>
    <t>SR-FAC</t>
  </si>
  <si>
    <t>Stock MIS Statement (Without Value)~1 SR</t>
  </si>
  <si>
    <t xml:space="preserve">Item Type : METAL
Item Group : GOLD
From Date : 27/09/2025
To Date : 28/03/2026
Company Name : SR
</t>
  </si>
  <si>
    <t xml:space="preserve">GOLD IN-OUT SUMMARY </t>
  </si>
  <si>
    <t>PARTICULARS</t>
  </si>
  <si>
    <t>Quantity</t>
  </si>
  <si>
    <t>ADD</t>
  </si>
  <si>
    <t>ACCEPTANCE ( DEPARTMENT )</t>
  </si>
  <si>
    <t>DIAMOND AND LAKH WEIGHT ADJUSTMENT</t>
  </si>
  <si>
    <t>GOODS RECEIPT NOTE</t>
  </si>
  <si>
    <t>KARAT CONVERSION</t>
  </si>
  <si>
    <t xml:space="preserve">OPS - </t>
  </si>
  <si>
    <t>TOTAL ADD</t>
  </si>
  <si>
    <t>LESS</t>
  </si>
  <si>
    <t>METAL PURITY ADJUSTMENT</t>
  </si>
  <si>
    <t>MFGR ISSUE</t>
  </si>
  <si>
    <t>MFGR RETURN</t>
  </si>
  <si>
    <t>ON ACCOUNT ISSUE</t>
  </si>
  <si>
    <t>ON ACCOUNT RETURN</t>
  </si>
  <si>
    <t>RETURN SCRAP METAL</t>
  </si>
  <si>
    <t>RETURN W/O BAG</t>
  </si>
  <si>
    <t>SALES INVOICE</t>
  </si>
  <si>
    <t>TRANSFER OUTWARD ( DEPARTMENT )</t>
  </si>
  <si>
    <t>TOTAL LESS</t>
  </si>
  <si>
    <t xml:space="preserve">Balance Stock
</t>
  </si>
  <si>
    <t>STOCK</t>
  </si>
  <si>
    <t>LOK-22-ASSEMBLY-ROOM-8-2F-C</t>
  </si>
  <si>
    <t>TOTAL STOCK</t>
  </si>
  <si>
    <t>TRANSIT</t>
  </si>
  <si>
    <t>TOTAL TRANSIT</t>
  </si>
  <si>
    <t>LOSS DETAIL</t>
  </si>
  <si>
    <t>LOCATION</t>
  </si>
  <si>
    <t>TOTAL LOSS</t>
  </si>
  <si>
    <t>Monthly Loss Report Summary</t>
  </si>
  <si>
    <t>From Date :- 19/08/2025
To Date :- 19/08/2025</t>
  </si>
  <si>
    <t>LOSS RECOVERY</t>
  </si>
  <si>
    <t>LOSS RECOVERY  %</t>
  </si>
  <si>
    <t>AFTER RECOVERY FINAL LOSS</t>
  </si>
  <si>
    <t>AFTER RECOVERY LOSS %</t>
  </si>
  <si>
    <t>A</t>
  </si>
  <si>
    <t>S</t>
  </si>
  <si>
    <t>COMPACTING-WK</t>
  </si>
  <si>
    <t>RETURN % SUMMARY</t>
  </si>
  <si>
    <t>Weekly Summary From : 15.09.2025 To 21.09.2025</t>
  </si>
  <si>
    <t>RECEIPT METAL</t>
  </si>
  <si>
    <t>ISSUE METAL</t>
  </si>
  <si>
    <t>ISSUE</t>
  </si>
  <si>
    <t>RETURN</t>
  </si>
  <si>
    <t>Net Goods issue
 After Return Less</t>
  </si>
  <si>
    <t>NET WT RETURN %</t>
  </si>
  <si>
    <t>PG WT RETURN %</t>
  </si>
  <si>
    <t>24KT-METAL</t>
  </si>
  <si>
    <t>ARIHANT-BULLION</t>
  </si>
  <si>
    <t>ARK CHAINS</t>
  </si>
  <si>
    <t>ASTMANGAL CHAINS PRIVATE LIMITED</t>
  </si>
  <si>
    <t>CASH-SALE</t>
  </si>
  <si>
    <t>MAURH-ENTERPRISES</t>
  </si>
  <si>
    <t>NEW BOMBAY JEWELLERS LLP</t>
  </si>
  <si>
    <t>Nikhil</t>
  </si>
  <si>
    <t>QUALTIY ASSEY &amp; HALLMARKS LLP</t>
  </si>
  <si>
    <t>VIRAJ-SHRINAGAR</t>
  </si>
  <si>
    <t>YAMUNA-BEADS</t>
  </si>
  <si>
    <t>SR-30137/2/2</t>
  </si>
  <si>
    <t>CO252442(SNNEH SIR ORD)</t>
  </si>
  <si>
    <t>COER25175-8gm-18KT-WG-NA</t>
  </si>
  <si>
    <t>B-195500</t>
  </si>
  <si>
    <t>CO252442A(SNNEH SIR ORD)</t>
  </si>
  <si>
    <t>COBR25174-18gm-18KT-WG-6.5"</t>
  </si>
  <si>
    <t>B-195505</t>
  </si>
  <si>
    <t>B-180737/1</t>
  </si>
  <si>
    <t>B-181346/1/1</t>
  </si>
  <si>
    <t>B-192537/1</t>
  </si>
  <si>
    <t>C.C-PATTI-1.00gm-22KT-YG-NA</t>
  </si>
  <si>
    <t>SO25437A(AQUA VIKCY BHAI)</t>
  </si>
  <si>
    <t>B-195825</t>
  </si>
  <si>
    <t>B-195828</t>
  </si>
  <si>
    <t>B-195832</t>
  </si>
  <si>
    <t>B-195836</t>
  </si>
  <si>
    <t>B-195848</t>
  </si>
  <si>
    <t>B-195849</t>
  </si>
  <si>
    <t>B-195853</t>
  </si>
  <si>
    <t>NASIR ORD</t>
  </si>
  <si>
    <t>CASTING-MIX-NA-22KT-YG-NA</t>
  </si>
  <si>
    <t>B-195929</t>
  </si>
  <si>
    <t>SO25461(RC VAAMA EXPORT KANZ)</t>
  </si>
  <si>
    <t>CO252449(ADITYA BIRLA-CR-AB-039/3)</t>
  </si>
  <si>
    <t>B-196556</t>
  </si>
  <si>
    <t>B-196605</t>
  </si>
  <si>
    <t>B-192522/1</t>
  </si>
  <si>
    <t>B-196555</t>
  </si>
  <si>
    <t>IHG-2209251-CS</t>
  </si>
  <si>
    <t>IFO-144-16.50gm-18KT-RG-MS</t>
  </si>
  <si>
    <t>B-196947</t>
  </si>
  <si>
    <t>B-196950</t>
  </si>
  <si>
    <t>RC-10746-EXP-(ONLY 916)</t>
  </si>
  <si>
    <t>CO252458(TITAN-CR-TT-047)</t>
  </si>
  <si>
    <t>B-196871</t>
  </si>
  <si>
    <t>SO25466(RC JIO ORD 19876 SMIJO ORD)</t>
  </si>
  <si>
    <t>B-192535/1</t>
  </si>
  <si>
    <t>B-192520/1</t>
  </si>
  <si>
    <t>B-196870</t>
  </si>
  <si>
    <t>RC-10744-EXP (ONLY 916)</t>
  </si>
  <si>
    <t>B-197517</t>
  </si>
  <si>
    <t>B-196982</t>
  </si>
  <si>
    <t>B-197511</t>
  </si>
  <si>
    <t>SO25437C(AQUA VICKY BHAI) NPD ORD</t>
  </si>
  <si>
    <t>B-197470</t>
  </si>
  <si>
    <t>B-192548/1</t>
  </si>
  <si>
    <t>CO252458B(TITAN-CR-TT-047)</t>
  </si>
  <si>
    <t>TQP25004-2.00gm-22KT-YG-NA</t>
  </si>
  <si>
    <t>B-197231</t>
  </si>
  <si>
    <t>B-192508/1</t>
  </si>
  <si>
    <t>B-192529/1/1</t>
  </si>
  <si>
    <t>RC-10745-ALVI -EXPORT (ONLY916)</t>
  </si>
  <si>
    <t>MVRC-004-20.5gm-22KT-YG-MS</t>
  </si>
  <si>
    <t>B-198092</t>
  </si>
  <si>
    <t>RC-2630/2-CS</t>
  </si>
  <si>
    <t>VRC-165-15.50gm-18KT-RG-MS</t>
  </si>
  <si>
    <t>B-197625</t>
  </si>
  <si>
    <t>22-ASSEMBLE-CHAIN-RHODIUM-A-5gm-22KT-YG-MS</t>
  </si>
  <si>
    <t>ARK-SAMPLE-2609</t>
  </si>
  <si>
    <t>CRYSTAL-SET-11gm-22KT-YG-16"</t>
  </si>
  <si>
    <t>B-198006</t>
  </si>
  <si>
    <t>SO25437D(AQUA VICKY BHAI) NPD ORD</t>
  </si>
  <si>
    <t>B-198593</t>
  </si>
  <si>
    <t>B-198600</t>
  </si>
  <si>
    <t>RC-19988-CS</t>
  </si>
  <si>
    <t>B-199401</t>
  </si>
  <si>
    <t>OMEGA-CHAIN-WK</t>
  </si>
  <si>
    <t>RC-10755-ST (ONLY 916)</t>
  </si>
  <si>
    <t>VRC-161-27.5gm-22KT-YG-MS</t>
  </si>
  <si>
    <t>B-199311</t>
  </si>
  <si>
    <t>VRC-136-16gm-22KT-YG-MS</t>
  </si>
  <si>
    <t>B-199312</t>
  </si>
  <si>
    <t>VRC-114-26.5gm-22KT-YG-MS</t>
  </si>
  <si>
    <t>B-199314</t>
  </si>
  <si>
    <t>VRC-080-19gm-22KT-YG-MS</t>
  </si>
  <si>
    <t>B-199316</t>
  </si>
  <si>
    <t>VRC-127-17gm-22KT-YG-MS</t>
  </si>
  <si>
    <t>B-199317</t>
  </si>
  <si>
    <t>VRC-150-34gm-22KT-YG-MS</t>
  </si>
  <si>
    <t>B-199318</t>
  </si>
  <si>
    <t>VRC-074-20gm-22KT-YG-MS</t>
  </si>
  <si>
    <t>B-199322</t>
  </si>
  <si>
    <t>VRC-075-21gm-22KT-YG-MS</t>
  </si>
  <si>
    <t>B-199323</t>
  </si>
  <si>
    <t>VRC-078-18gm-22KT-YG-MS</t>
  </si>
  <si>
    <t>B-199324</t>
  </si>
  <si>
    <t>VRC-104-21gm-22KT-YG-MS</t>
  </si>
  <si>
    <t>B-199325</t>
  </si>
  <si>
    <t>RC-10756-ST (ONLY 916)</t>
  </si>
  <si>
    <t>VRC-176-14.5gm-22KT-YG-MS</t>
  </si>
  <si>
    <t>B-199257</t>
  </si>
  <si>
    <t>VRC-146-17.5gm-22KT-YG-MS</t>
  </si>
  <si>
    <t>B-199258</t>
  </si>
  <si>
    <t>VRC-159-26.5gm-22KT-YG-MS</t>
  </si>
  <si>
    <t>B-199259</t>
  </si>
  <si>
    <t>VRC-149-26gm-22KT-YG-MS</t>
  </si>
  <si>
    <t>B-199260</t>
  </si>
  <si>
    <t>CR-AB-041/11(NO-STAMP)*</t>
  </si>
  <si>
    <t>ILM068-ROUND-SNAKE-6gm-18KT-YG-MS</t>
  </si>
  <si>
    <t>PHOTOGRAPHY-10741</t>
  </si>
  <si>
    <t>ASDKY433YW-10gm-22KT-YG-MS</t>
  </si>
  <si>
    <t>B-199364</t>
  </si>
  <si>
    <t>22-AS097YW-12gm-22KT-YG-MS</t>
  </si>
  <si>
    <t>CO252505(TITAN-CR-TT-050)</t>
  </si>
  <si>
    <t>B-198915</t>
  </si>
  <si>
    <t>ITALIAN LAZER MACHINE CHAINS-5gm-18KT-RG-MS</t>
  </si>
  <si>
    <t>22YPA60L-60CABLE-PRESS-PLAIN-PAVE-YP-6gm-18KT-YG-MS</t>
  </si>
  <si>
    <t>ILM056-GOLD-FINGER-PAVE-9gm-18KT-YG-MS</t>
  </si>
  <si>
    <t>CO252507(TITAN-22KT-URGENT ORD)</t>
  </si>
  <si>
    <t>TQER251815-3.50gm-22KT-YG-NA</t>
  </si>
  <si>
    <t>SR-30750</t>
  </si>
  <si>
    <t>B-199203</t>
  </si>
  <si>
    <t>TQNK251815-13gm-22KT-YG-18"</t>
  </si>
  <si>
    <t>B-199207</t>
  </si>
  <si>
    <t>TQNK251814-14gm-22KT-YG-18"</t>
  </si>
  <si>
    <t>B-199211</t>
  </si>
  <si>
    <t>TQER251816-4gm-22KT-YG-NA</t>
  </si>
  <si>
    <t>B-199219</t>
  </si>
  <si>
    <t>TQER251814-3.00gm-22KT-YG-NA</t>
  </si>
  <si>
    <t>B-199223</t>
  </si>
  <si>
    <t>TQNK251817-15gm-22KT-YG-18"</t>
  </si>
  <si>
    <t>B-199224</t>
  </si>
  <si>
    <t>TQNK251816-5gm-22KT-YG-18"</t>
  </si>
  <si>
    <t>B-199225</t>
  </si>
  <si>
    <t>TQER251822-5gm-22KT-YG-NA</t>
  </si>
  <si>
    <t>SR-30749</t>
  </si>
  <si>
    <t>B-199205</t>
  </si>
  <si>
    <t>TQNK251820-4gm-22KT-YG-18"</t>
  </si>
  <si>
    <t>B-199208</t>
  </si>
  <si>
    <t>TQER251825-35.500GM-22KT-YG-NA</t>
  </si>
  <si>
    <t>B-199209</t>
  </si>
  <si>
    <t>TQER251818-6gm-22KT-YG-NA</t>
  </si>
  <si>
    <t>B-199210</t>
  </si>
  <si>
    <t>TQER251823-5.50gm-22KT-YG-NA</t>
  </si>
  <si>
    <t>B-199212</t>
  </si>
  <si>
    <t>TQP251828-5gm-22KT-YG-NA.</t>
  </si>
  <si>
    <t>B-199213</t>
  </si>
  <si>
    <t>TQNK251821-4.50gm-22KT-YG-18"</t>
  </si>
  <si>
    <t>B-199214</t>
  </si>
  <si>
    <t>TQER251819-3.50gm-22KT-YG-NA</t>
  </si>
  <si>
    <t>B-199216</t>
  </si>
  <si>
    <t>TQER251830-4gm-22KT-YG-NA</t>
  </si>
  <si>
    <t>B-199217</t>
  </si>
  <si>
    <t>TQNK251829-2.50gm-22KT-YG-18"</t>
  </si>
  <si>
    <t>B-199220</t>
  </si>
  <si>
    <t>TQER251824-3.50gm-22KT-YG-NA</t>
  </si>
  <si>
    <t>B-199222</t>
  </si>
  <si>
    <t>TQER251826-23gm-22KT-YG-NA</t>
  </si>
  <si>
    <t>B-199226</t>
  </si>
  <si>
    <t>TQOK251575-8gm-22KT-YG-2.4-ANNI</t>
  </si>
  <si>
    <t>B-199215</t>
  </si>
  <si>
    <t>TQOK251585-8gm-22KT-YG-2.4-ANNI</t>
  </si>
  <si>
    <t>B-199218</t>
  </si>
  <si>
    <t>TQOK251574-8gm-22KT-YG-2.4-ANNI</t>
  </si>
  <si>
    <t>B-199221</t>
  </si>
  <si>
    <t>RC-10207-ST</t>
  </si>
  <si>
    <t>B-199728</t>
  </si>
  <si>
    <t>B-199730</t>
  </si>
  <si>
    <t>CO252530(RC-19972)</t>
  </si>
  <si>
    <t>SO25437E(AQUA VICKY BHAI) NPD ORD</t>
  </si>
  <si>
    <t>B-199780</t>
  </si>
  <si>
    <t>IBR25507-20gm-22KT-YG-8"</t>
  </si>
  <si>
    <t>SR-SOR-EXT-71101</t>
  </si>
  <si>
    <t>INDO-001-R2-1.50gm-22KT-YG-ROLL</t>
  </si>
  <si>
    <t>B-199932</t>
  </si>
  <si>
    <t>VRC-015-24gm-22KT-YG-18"</t>
  </si>
  <si>
    <t>RFN-374-22gm-22KT-YG-MS</t>
  </si>
  <si>
    <t>RFN-378-19gm-22KT-YG-MS</t>
  </si>
  <si>
    <t>RFN-380-22gm-22KT-YG-MS</t>
  </si>
  <si>
    <t>RFN-376-18.5gm-22KT-YG-MS</t>
  </si>
  <si>
    <t>B-200642</t>
  </si>
  <si>
    <t>B-198745/1</t>
  </si>
  <si>
    <t>CO252507A(TITAN-22KT-URGENT ORD)</t>
  </si>
  <si>
    <t>TQOK251573-8gm-22KT-YG-2.4-ANNI</t>
  </si>
  <si>
    <t>B-200647</t>
  </si>
  <si>
    <t>TQOK251582-8gm-22KT-YG-2.4-ANNI</t>
  </si>
  <si>
    <t>B-200648</t>
  </si>
  <si>
    <t>NPD-0725422</t>
  </si>
  <si>
    <t>PACS-1536-1gm-22KT-YG-NA</t>
  </si>
  <si>
    <t>B-200586</t>
  </si>
  <si>
    <t>B-180731/2</t>
  </si>
  <si>
    <t>SHREY /ORD/</t>
  </si>
  <si>
    <t>SAR-11001-2.00gm-18KT-YG-NA</t>
  </si>
  <si>
    <t>B-200560</t>
  </si>
  <si>
    <t>B-192535/1/1</t>
  </si>
  <si>
    <t>RC-2681-CS</t>
  </si>
  <si>
    <t>VRC-093-18gm-18KT-RG-MS</t>
  </si>
  <si>
    <t>B-201437</t>
  </si>
  <si>
    <t>VRC-119-21.50gm-18KT-RG-MS</t>
  </si>
  <si>
    <t>B-201439</t>
  </si>
  <si>
    <t>VRC-088-28gm-18KT-RG-MS</t>
  </si>
  <si>
    <t>B-201454</t>
  </si>
  <si>
    <t>VRC-098-34gm-18KT-RG-MS</t>
  </si>
  <si>
    <t>B-201457</t>
  </si>
  <si>
    <t>VRC-170-21gm-18KT-RG-MS</t>
  </si>
  <si>
    <t>B-201461</t>
  </si>
  <si>
    <t>VRC-175-26gm-18KT-RG-MS</t>
  </si>
  <si>
    <t>B-201463</t>
  </si>
  <si>
    <t>VRC-053-39gm-18KT-RG-24"</t>
  </si>
  <si>
    <t>B-201466</t>
  </si>
  <si>
    <t>ILM071-SKODA-PAVE-4gm-18KT-RG-MS</t>
  </si>
  <si>
    <t>AB-FG-HOD</t>
  </si>
  <si>
    <t>AB-FG-HOD Total</t>
  </si>
  <si>
    <t>ITALIAN LAZER MACHINE CHAINS PAVE-5gm-18KT-RG-MS</t>
  </si>
  <si>
    <t>AJ-399-ST-</t>
  </si>
  <si>
    <t>VRC-160-32.000GM-22KT-YG-18"</t>
  </si>
  <si>
    <t>VRC-162-34.00GM-22KT-YG-MS</t>
  </si>
  <si>
    <t>B-201811</t>
  </si>
  <si>
    <t>VRC-163-26.200GM-22KT-YG-MS</t>
  </si>
  <si>
    <t>VRC-026B-32.50gm-22KT-YG-18"</t>
  </si>
  <si>
    <t>B-201813</t>
  </si>
  <si>
    <t>VRC-035B-31.50gm-22KT-YG-MS</t>
  </si>
  <si>
    <t>B-201817</t>
  </si>
  <si>
    <t>ILM056-GOLD-FINGER-PAVE-3.00gm-18KT-RG-MS</t>
  </si>
  <si>
    <t>CR-AB-1736/1-CS (NO-STAMP)</t>
  </si>
  <si>
    <t>12B4CL1-1.2MM-BARREL-CHAIN-SPIRAL-CUT-PAVE-3.00gm-18KT-RG-MS</t>
  </si>
  <si>
    <t>B-202611</t>
  </si>
  <si>
    <t>CR-AB-1736/17-CS (NO-STAMP)</t>
  </si>
  <si>
    <t>B-202607</t>
  </si>
  <si>
    <t>CR-AB-1736/8-CS (NO-STAMP)</t>
  </si>
  <si>
    <t>B-202617</t>
  </si>
  <si>
    <t>GOLD-REPAIR-HOD</t>
  </si>
  <si>
    <t>GOLD-REPAIR-HOD Total</t>
  </si>
  <si>
    <t>SR-31438</t>
  </si>
  <si>
    <t>GOLD-REPAIR-WK</t>
  </si>
  <si>
    <t>TT-FG-HOD</t>
  </si>
  <si>
    <t>TT-FG-HOD Total</t>
  </si>
  <si>
    <t>LFP025-MARUTI-CURB-SUNDARI-PAVE-8gm-22KT-YG-MS</t>
  </si>
  <si>
    <t>ICH24473M4-31.00 GM-22KT-YG-20</t>
  </si>
  <si>
    <t>CO252597(RC-MALABAR-CORPORATE ORD-CR-M-073)</t>
  </si>
  <si>
    <t>ICH10104M6B-40.5gm-22KT-YG-22" INCHES</t>
  </si>
  <si>
    <t>VED-ST-251517-22gm-18KT-RG-NA.</t>
  </si>
  <si>
    <t>VED-ST-251518-24gm-18KT-RG-NA.</t>
  </si>
  <si>
    <t>VED-ST-251506-14gm-18KT-RG-NA.</t>
  </si>
  <si>
    <t>VED-ST-251509-15gm-18KT-RG-NA.</t>
  </si>
  <si>
    <t>VED-ST-251516-16gm-18KT-RG-NA.</t>
  </si>
  <si>
    <t>VED-ST-251510-16gm-18KT-RG-NA.</t>
  </si>
  <si>
    <t>VED-ST-251514-17.5gm-18KT-RG-NA.</t>
  </si>
  <si>
    <t>VED-PN-251517-4gm-18KT-RG-NA.</t>
  </si>
  <si>
    <t>VED-PN-251514-5gm-18KT-RG-NA.</t>
  </si>
  <si>
    <t>VED-PN-251515-4gm-18KT-RG-NA.</t>
  </si>
  <si>
    <t>VED-BC-251509-5gm-18KT-RG-6.5"</t>
  </si>
  <si>
    <t>VED-PN-251506-4gm-18KT-RG-NA.</t>
  </si>
  <si>
    <t>VED-PN-251509-4gm-18KT-RG-NA.</t>
  </si>
  <si>
    <t>VED-PN-251757-4gm-18KT-RG-NA.</t>
  </si>
  <si>
    <t>RC-EXTRA-ST-0610/1</t>
  </si>
  <si>
    <t>B-202451</t>
  </si>
  <si>
    <t>B-202452</t>
  </si>
  <si>
    <t>B-202454</t>
  </si>
  <si>
    <t>RC-10229-CS VERO-</t>
  </si>
  <si>
    <t>MVRC-088-15.50gm-18KT-RG-MS</t>
  </si>
  <si>
    <t>B-202588</t>
  </si>
  <si>
    <t>MVRC-017A-21gm-18KT-RG-MS</t>
  </si>
  <si>
    <t>B-202592</t>
  </si>
  <si>
    <t>MVRC-060-7.50gm-18KT-RG-MS</t>
  </si>
  <si>
    <t>B-202594</t>
  </si>
  <si>
    <t>VRC-034-30gm-18KT-RG-MS</t>
  </si>
  <si>
    <t>B-202595</t>
  </si>
  <si>
    <t>RC-EXTRA-ST-0610/3</t>
  </si>
  <si>
    <t>ROSARIO+SAT-CHAINS-PLAIN+RHODIUM-2.50gm-18KT-RG-MS</t>
  </si>
  <si>
    <t>B-202483</t>
  </si>
  <si>
    <t>B-202484</t>
  </si>
  <si>
    <t>RC-EXTRA-ST-0610/4</t>
  </si>
  <si>
    <t>B-202489</t>
  </si>
  <si>
    <t>22YV200K-20BOX-FANCY-CHECKS+BORDER-Y-18gm-22KT-YG-MS</t>
  </si>
  <si>
    <t>ITALIAN LAZER MACHINE CHAINS PAVE-5gm-18KT-YG-MS</t>
  </si>
  <si>
    <t>LFP019-KHALNAYAK-PAVE-12gm-22KT-YG-MS</t>
  </si>
  <si>
    <t>RC-10232-CS*</t>
  </si>
  <si>
    <t>ICH9864-5MM-36.00 GM-22KT-YG-20</t>
  </si>
  <si>
    <t>KROWN JEW ORD 4 TH LOT</t>
  </si>
  <si>
    <t>SR-31104/1</t>
  </si>
  <si>
    <t>B-204782/1</t>
  </si>
  <si>
    <t>SR-SOR-EXT-72852</t>
  </si>
  <si>
    <t>BDC-002-CAPSULE-DISCO-CUT-PLAIN-0.55gm-22KT-YG-4x10</t>
  </si>
  <si>
    <t>SR-31135</t>
  </si>
  <si>
    <t>B-203134</t>
  </si>
  <si>
    <t>PACS-1632-5gm-18KT-YG-NA</t>
  </si>
  <si>
    <t>SACS-665-1.50gm-18KT-RG-NA</t>
  </si>
  <si>
    <t>CH003-OMEGA-9HIGHWAY-16.50gm-18KT-RG-MS</t>
  </si>
  <si>
    <t>B-202934</t>
  </si>
  <si>
    <t>RC-EXTRA-ST-0710/1</t>
  </si>
  <si>
    <t>B-202807</t>
  </si>
  <si>
    <t>B-202810</t>
  </si>
  <si>
    <t>CO252598(ADITYA BIRLA ORD-CR-AB-1844)</t>
  </si>
  <si>
    <t>B-203737</t>
  </si>
  <si>
    <t>B-203738</t>
  </si>
  <si>
    <t>B-203736</t>
  </si>
  <si>
    <t>CR-AB-1714/4 (NO STAMP)</t>
  </si>
  <si>
    <t>22-IMA017YW-8.50gm-22KT-YG-MS</t>
  </si>
  <si>
    <t>B-203920</t>
  </si>
  <si>
    <t>CR-AB-1751 (NO STAMPING)</t>
  </si>
  <si>
    <t>B-203751</t>
  </si>
  <si>
    <t>B-203755</t>
  </si>
  <si>
    <t>CR-AB-1714/10 (NO-STAMP)</t>
  </si>
  <si>
    <t>B-204031</t>
  </si>
  <si>
    <t>ADITYA BIRLA ORDER/CR-B-933</t>
  </si>
  <si>
    <t>CBR23514M13A-20gm-18KT-YG-8.07"</t>
  </si>
  <si>
    <t>B-204042</t>
  </si>
  <si>
    <t>CBR23514M11A-15gm-18KT-YG-7.48''</t>
  </si>
  <si>
    <t>B-204043</t>
  </si>
  <si>
    <t>CR-AB-1714/9 (NO-STAMP)</t>
  </si>
  <si>
    <t>22-AS148Y-6gm-22KT-YG-MS</t>
  </si>
  <si>
    <t>B-204036</t>
  </si>
  <si>
    <t>RFN-393-36.5gm-22KT-YG-MS</t>
  </si>
  <si>
    <t>CR-M-083/5(ONLY 916)</t>
  </si>
  <si>
    <t>B-204309</t>
  </si>
  <si>
    <t>NPD-1025584</t>
  </si>
  <si>
    <t>B-204464</t>
  </si>
  <si>
    <t>YASH BHAI/ ORD</t>
  </si>
  <si>
    <t>COBR25217-25gm-18KT-WG-6.25''</t>
  </si>
  <si>
    <t>B-204690</t>
  </si>
  <si>
    <t>MALABAR-CR-M-085</t>
  </si>
  <si>
    <t>B-205050</t>
  </si>
  <si>
    <t>SO25477A(SR-STOCK-ORD)</t>
  </si>
  <si>
    <t>SACS-740-5.50gm-22KT-YG-6.50MM</t>
  </si>
  <si>
    <t>B-205988</t>
  </si>
  <si>
    <t>B-205991</t>
  </si>
  <si>
    <t>CR-M-086/5 (ONLY-916)</t>
  </si>
  <si>
    <t>MVRC-111-7.50gm-22KT-YG-MS</t>
  </si>
  <si>
    <t>B-206477</t>
  </si>
  <si>
    <t>TESTING GOLD DEPT Total</t>
  </si>
  <si>
    <t>KNR-1510251-CS</t>
  </si>
  <si>
    <t>B-206743</t>
  </si>
  <si>
    <t>STAMPING-WK</t>
  </si>
  <si>
    <t>MIX-ITEMS-50gm-22KT-YG-NA</t>
  </si>
  <si>
    <t>RC-2709-CS</t>
  </si>
  <si>
    <t>25B2EL1AC-2.5MM-BALL+OVAL-ALT-MOON-1+1-WHITE-RH-9gm-18KT-RG-MS</t>
  </si>
  <si>
    <t>B-207929</t>
  </si>
  <si>
    <t>AJ-990-STOCK ORD.</t>
  </si>
  <si>
    <t>VRC-030B-26gm-22KT-YG-18"</t>
  </si>
  <si>
    <t>B-208962</t>
  </si>
  <si>
    <t>VRC-014B-14.5gm-22KT-YG-18"</t>
  </si>
  <si>
    <t>B-208963</t>
  </si>
  <si>
    <t>VRC-034-30gm-22KT-YG-MS</t>
  </si>
  <si>
    <t>B-208964</t>
  </si>
  <si>
    <t>VRC-064-23gm-22KT-YG-MS</t>
  </si>
  <si>
    <t>B-208965</t>
  </si>
  <si>
    <t>VRC-062-39gm-22KT-YG-MS</t>
  </si>
  <si>
    <t>B-208966</t>
  </si>
  <si>
    <t>VRC-028A-37gm-22KT-YG-20"</t>
  </si>
  <si>
    <t>B-208967</t>
  </si>
  <si>
    <t>VRC-047-46gm-22KT-YG-22"</t>
  </si>
  <si>
    <t>B-208968</t>
  </si>
  <si>
    <t>VRC-087-35gm-22KT-YG-MS</t>
  </si>
  <si>
    <t>B-208969</t>
  </si>
  <si>
    <t>VRC-066-23gm-22KT-YG-MS</t>
  </si>
  <si>
    <t>B-208970</t>
  </si>
  <si>
    <t>B-208971</t>
  </si>
  <si>
    <t>B-208972</t>
  </si>
  <si>
    <t>B-208973</t>
  </si>
  <si>
    <t>VRC-051-33.5gm-22KT-YG-MS</t>
  </si>
  <si>
    <t>B-208974</t>
  </si>
  <si>
    <t>B-208975</t>
  </si>
  <si>
    <t>B-208976</t>
  </si>
  <si>
    <t>B-208977</t>
  </si>
  <si>
    <t>VRC-095-20gm-22KT-YG-MS</t>
  </si>
  <si>
    <t>B-208978</t>
  </si>
  <si>
    <t>VRC-027-33gm-22KT-YG-18"</t>
  </si>
  <si>
    <t>B-208979</t>
  </si>
  <si>
    <t>VRC-029A-40gm-22KT-YG-18"</t>
  </si>
  <si>
    <t>B-208980</t>
  </si>
  <si>
    <t>B-208981</t>
  </si>
  <si>
    <t>VRC-128-23gm-22KT-YG-MS</t>
  </si>
  <si>
    <t>B-208982</t>
  </si>
  <si>
    <t>B-208983</t>
  </si>
  <si>
    <t>B-208984</t>
  </si>
  <si>
    <t>VRC-048-35gm-22KT-YG-MS</t>
  </si>
  <si>
    <t>B-208985</t>
  </si>
  <si>
    <t>VRC-084-39gm-22KT-YG-MS</t>
  </si>
  <si>
    <t>B-208986</t>
  </si>
  <si>
    <t>B-208987</t>
  </si>
  <si>
    <t>VRC-050A-26gm-22KT-YG-MS</t>
  </si>
  <si>
    <t>B-208988</t>
  </si>
  <si>
    <t>VRC-174-24gm-22KT-YG-MS</t>
  </si>
  <si>
    <t>B-208989</t>
  </si>
  <si>
    <t>CR-AB-1751-(NO-STAMP)</t>
  </si>
  <si>
    <t>30YC40CL4-40LRK-FIGARO-NAYAK-5+5-ICE-Y-13gm-22KT-YG-MS</t>
  </si>
  <si>
    <t>B-208791</t>
  </si>
  <si>
    <t>NPD-1025584.</t>
  </si>
  <si>
    <t>PACS-1631-2.50gm-18KT-YG-NA</t>
  </si>
  <si>
    <t>B-208783</t>
  </si>
  <si>
    <t>PACS-1627-5gm-18KT-YG-NA</t>
  </si>
  <si>
    <t>B-208785</t>
  </si>
  <si>
    <t>PACS-1630-2.50gm-18KT-YG-NA</t>
  </si>
  <si>
    <t>B-208786</t>
  </si>
  <si>
    <t>PACS-1628-2.50gm-18KT-YG-NA</t>
  </si>
  <si>
    <t>B-208790</t>
  </si>
  <si>
    <t>AJ-989-STOCK ORD.</t>
  </si>
  <si>
    <t>MVRC-081-12gm-22KT-YG-MS</t>
  </si>
  <si>
    <t>MVRC-038-9.50gm-22KT-YG-MS</t>
  </si>
  <si>
    <t>B-208996</t>
  </si>
  <si>
    <t>MVRC-031A-8gm-22KT-YG-16"</t>
  </si>
  <si>
    <t>B-209000</t>
  </si>
  <si>
    <t>SR-SOR-EXT-76695</t>
  </si>
  <si>
    <t>SILKY-ROPE-CHAIN-10gm-22KT-YG-ROLL</t>
  </si>
  <si>
    <t>SR-31618/1</t>
  </si>
  <si>
    <t>B-209127</t>
  </si>
  <si>
    <t>FBCH-169-12gm-18KT-RG-MS</t>
  </si>
  <si>
    <t>NPD-0825486</t>
  </si>
  <si>
    <t>IMP-BR-034-3.00gm-22KT-YG-6.5"</t>
  </si>
  <si>
    <t>B-209169</t>
  </si>
  <si>
    <t>IMP-BR-025-3.50gm-22KT-YG-6.5"</t>
  </si>
  <si>
    <t>B-209171</t>
  </si>
  <si>
    <t>IMP-BR-030-3.50gm-22KT-YG-6.5"</t>
  </si>
  <si>
    <t>B-209180</t>
  </si>
  <si>
    <t>IMP-BR-026-4gm-22KT-YG-6.5"</t>
  </si>
  <si>
    <t>B-209184</t>
  </si>
  <si>
    <t>IMP-BR-033-3.50gm-22KT-YG-6.5"</t>
  </si>
  <si>
    <t>B-209186</t>
  </si>
  <si>
    <t>IMP-BR-031-3.00gm-22KT-YG-6.5"</t>
  </si>
  <si>
    <t>B-209189</t>
  </si>
  <si>
    <t>IMP-BR-028-3.50gm-22KT-YG-6.5"</t>
  </si>
  <si>
    <t>B-209192</t>
  </si>
  <si>
    <t>IMP-BR-036-3.00gm-22KT-YG-6.5"</t>
  </si>
  <si>
    <t>B-209200</t>
  </si>
  <si>
    <t>PACS-1500-1.50gm-22KT-YG-NA</t>
  </si>
  <si>
    <t>B-209174</t>
  </si>
  <si>
    <t>PACS-1504-4.50gm-22KT-YG-NA</t>
  </si>
  <si>
    <t>B-209175</t>
  </si>
  <si>
    <t>PACS-1506-3.50gm-22KT-YG-NA</t>
  </si>
  <si>
    <t>B-209177</t>
  </si>
  <si>
    <t>PACS-1489-2.00gm-22KT-YG-NA</t>
  </si>
  <si>
    <t>B-209179</t>
  </si>
  <si>
    <t>PACS-1487-3.00gm-22KT-YG-NA</t>
  </si>
  <si>
    <t>B-209197</t>
  </si>
  <si>
    <t>PACS-1498-0.900gm-22KT-YG-NA</t>
  </si>
  <si>
    <t>B-209204</t>
  </si>
  <si>
    <t>PACS-1509-6gm-22KT-YG-NA</t>
  </si>
  <si>
    <t>B-209191</t>
  </si>
  <si>
    <t>1F-HAND-CUTTING-HOD</t>
  </si>
  <si>
    <t>1F-HAND-CUTTING-WK</t>
  </si>
  <si>
    <t>1F-HAND-CUTTING-HOD Total</t>
  </si>
  <si>
    <t>VED-PN-251510-4.50gm-18KT-RG-18"</t>
  </si>
  <si>
    <t>VED-PN-251512-4gm-18KT-RG-18"</t>
  </si>
  <si>
    <t>RC-10778-VAAMA-MGM-(ONLY-916)</t>
  </si>
  <si>
    <t>ASPB075Y-8gm-22KT-YG-MS</t>
  </si>
  <si>
    <t>B-210202</t>
  </si>
  <si>
    <t>NASIR-ORD-2810</t>
  </si>
  <si>
    <t>MM25510-0.500gm-22KT-YG-NA</t>
  </si>
  <si>
    <t>B-210126</t>
  </si>
  <si>
    <t>MM25509-0.500gm-22KT-YG-NA</t>
  </si>
  <si>
    <t>B-210127</t>
  </si>
  <si>
    <t>SURESH SIR TRIAL NPD-0825486</t>
  </si>
  <si>
    <t>PACS-1643-3.00gm-18KT-YG-NA</t>
  </si>
  <si>
    <t>B-210410</t>
  </si>
  <si>
    <t>RC-9264-ST.</t>
  </si>
  <si>
    <t>NPD-SURESH SIR</t>
  </si>
  <si>
    <t>B-210777</t>
  </si>
  <si>
    <t>ARK/3010/2-(STOCK ORD)</t>
  </si>
  <si>
    <t>22-IMPP033Y-15.50gm-22KT-YG-MS</t>
  </si>
  <si>
    <t>B-211095</t>
  </si>
  <si>
    <t>RC-2720/1-CS</t>
  </si>
  <si>
    <t>11YPVV3S2C-FANCY-BOX-3GM-V-YG-SIMLA-1+1-SPIRAL-WG-3.00gm-18KT-YG-MS</t>
  </si>
  <si>
    <t>B-210682</t>
  </si>
  <si>
    <t>YPSS25W3A-SQUARE-SNAKE-3GM-YG-LANCER-3+3-WG-3.50gm-22KT-YG-MS</t>
  </si>
  <si>
    <t>B-211133</t>
  </si>
  <si>
    <t>YSS25W3A-SQUARE-SNAKE-3GM-YG-LANCER-3+3-YG-3.50gm-22KT-YG-MS</t>
  </si>
  <si>
    <t>B-211135</t>
  </si>
  <si>
    <t>PHOTOGRAPHY-3010</t>
  </si>
  <si>
    <t>B-210703</t>
  </si>
  <si>
    <t>SR-SOR-EXT-77553</t>
  </si>
  <si>
    <t>YPSS25W3A-SQUARE-SNAKE-3GM-YG-LANCER-3+3-WG-3.50gm-22KT-YG-ROLL</t>
  </si>
  <si>
    <t>B-211193</t>
  </si>
  <si>
    <t>YSS25W3A-SQUARE-SNAKE-3GM-YG-LANCER-3+3-YG-3.50gm-22KT-YG-ROLL</t>
  </si>
  <si>
    <t>B-211194</t>
  </si>
  <si>
    <t>AJ-712-CS*</t>
  </si>
  <si>
    <t>MVRC-022B-13gm-22KT-YG-MS</t>
  </si>
  <si>
    <t>B-211279</t>
  </si>
  <si>
    <t>MVRC-023-12gm-22KT-YG-MS</t>
  </si>
  <si>
    <t>B-211280</t>
  </si>
  <si>
    <t>ADITYA BIRLA-CR-AB-1001/CUST/ORD</t>
  </si>
  <si>
    <t>CBR24661M13-37gm-18KT-YG-7.5"</t>
  </si>
  <si>
    <t>B-211309</t>
  </si>
  <si>
    <t>RC-9244-ST</t>
  </si>
  <si>
    <t>22-IMPP189Y-19gm-22KT-YG-MS</t>
  </si>
  <si>
    <t>B-211251</t>
  </si>
  <si>
    <t>KNR-0111251-CS</t>
  </si>
  <si>
    <t>B-211567</t>
  </si>
  <si>
    <t>ICH25699M3-20.00 GM-22KT-YG-20</t>
  </si>
  <si>
    <t>RC -EXHIBITION-STOCK-ORD</t>
  </si>
  <si>
    <t>B-211782</t>
  </si>
  <si>
    <t>REP/ORD/ADITYA BIRLA</t>
  </si>
  <si>
    <t>B-211500</t>
  </si>
  <si>
    <t>NPD-1025598-AJ-988</t>
  </si>
  <si>
    <t>JT-NPD-1-1gm-22KT-YG-NA</t>
  </si>
  <si>
    <t>B-211610</t>
  </si>
  <si>
    <t>SURESH SIR-NPD ORD-TRAIL PCS</t>
  </si>
  <si>
    <t>SILKY-ROPE-CHAIN-4.00gm-18KT-YG-MS</t>
  </si>
  <si>
    <t>AJ-716-CS</t>
  </si>
  <si>
    <t>VRC-012A-22gm-22KT-YG-MS</t>
  </si>
  <si>
    <t>B-211921</t>
  </si>
  <si>
    <t>22-IMBH066Y-18.5gm-22KT-YG-MS</t>
  </si>
  <si>
    <t>RC-20326-ST</t>
  </si>
  <si>
    <t>B-212689</t>
  </si>
  <si>
    <t>RC-10787-RELIANCE ORD.</t>
  </si>
  <si>
    <t>22-IMB014T-1-18.5gm-22KT-YG-MS</t>
  </si>
  <si>
    <t>B-211831</t>
  </si>
  <si>
    <t>BRACELET-15gm-22KT-YG-MS</t>
  </si>
  <si>
    <t>B-211891</t>
  </si>
  <si>
    <t>ROUND-BOX-WK</t>
  </si>
  <si>
    <t>RC-2810251-ST*</t>
  </si>
  <si>
    <t>HL-28RGTR65OS7-TRIANGLE-HOLLOW-ROLO-NO-CUT-1+1-RG-2.00gm-18KT-RG-MS</t>
  </si>
  <si>
    <t>B-212818</t>
  </si>
  <si>
    <t>CR-M-091/17 (ONLY-916)</t>
  </si>
  <si>
    <t>INITFC-211-BR-7gm-22KT-YG-8"</t>
  </si>
  <si>
    <t>B-212708</t>
  </si>
  <si>
    <t>CR-M-091/19 (ONLY-916)</t>
  </si>
  <si>
    <t>INIT-047-BR-10gm-22KT-YG-8"</t>
  </si>
  <si>
    <t>B-212703</t>
  </si>
  <si>
    <t>INIT-047-BR-9gm-22KT-YG-7"</t>
  </si>
  <si>
    <t>B-212704</t>
  </si>
  <si>
    <t>NPD-NEW-CATLOG-ORDER</t>
  </si>
  <si>
    <t>CHOCO-MIX-NA-22KT-YG-NA</t>
  </si>
  <si>
    <t>B-212699</t>
  </si>
  <si>
    <t>SR-31878/3</t>
  </si>
  <si>
    <t>B-213508/3</t>
  </si>
  <si>
    <t>CHOCO-MIX-NA-18KT-RG-NA</t>
  </si>
  <si>
    <t>SR-31879</t>
  </si>
  <si>
    <t>B-212700</t>
  </si>
  <si>
    <t>SR-31879/1</t>
  </si>
  <si>
    <t>B-215780/1</t>
  </si>
  <si>
    <t>CR-M-091/14 (ONLY-916)</t>
  </si>
  <si>
    <t>INIT-101-BR-14.5gm-22KT-YG-8"</t>
  </si>
  <si>
    <t>B-212709</t>
  </si>
  <si>
    <t>INIT-101-BR-12.50gm-22KT-YG-7"</t>
  </si>
  <si>
    <t>B-212710</t>
  </si>
  <si>
    <t>INIT-101-BR-14gm-22KT-YG-7.5"</t>
  </si>
  <si>
    <t>B-212711</t>
  </si>
  <si>
    <t>SR-SOR-EXT-78250</t>
  </si>
  <si>
    <t>YABR-029-PLAIN-1.10mm-Hole-0.060gm-22KT-YG-2.5mm</t>
  </si>
  <si>
    <t>SR-31925</t>
  </si>
  <si>
    <t>B-212372</t>
  </si>
  <si>
    <t>22-VN-K-045Y-12gm-22KT-YG-MS</t>
  </si>
  <si>
    <t>VR-K-217-10gm-22KT-YG-MS</t>
  </si>
  <si>
    <t>NPD-NEW-CATLOGUE-ORDER</t>
  </si>
  <si>
    <t>LF008-CROSS-ROAD-8gm-22KT-YG-MS</t>
  </si>
  <si>
    <t>B-212927</t>
  </si>
  <si>
    <t>LFP006-SKODA-PAVE-4gm-22KT-YG-MS</t>
  </si>
  <si>
    <t>B-212935</t>
  </si>
  <si>
    <t>RC-2751-CS</t>
  </si>
  <si>
    <t>VRC-173-12.50gm-18KT-RG-MS</t>
  </si>
  <si>
    <t>B-213026</t>
  </si>
  <si>
    <t>TITAN-24KT ORD</t>
  </si>
  <si>
    <t>TQER251800-2.00gm-24KT-YG-NA</t>
  </si>
  <si>
    <t>SR-31947</t>
  </si>
  <si>
    <t>B-212970</t>
  </si>
  <si>
    <t>TQP251902-2.00gm-24KT-YG-NA</t>
  </si>
  <si>
    <t>SR-31947/3</t>
  </si>
  <si>
    <t>B-212971</t>
  </si>
  <si>
    <t>TQP25905-1.20GM-24KT-YG-NA</t>
  </si>
  <si>
    <t>B-212972</t>
  </si>
  <si>
    <t>TQER251802-2.50gm-24KT-YG-NA</t>
  </si>
  <si>
    <t>B-212973</t>
  </si>
  <si>
    <t>TQER251807-1.40gm-24KT-YG-NA</t>
  </si>
  <si>
    <t>B-212974</t>
  </si>
  <si>
    <t>TQER251788-1.40gm-24KT-YG-NA</t>
  </si>
  <si>
    <t>B-212975</t>
  </si>
  <si>
    <t>TQP25887-0.900gm-24KT-YG-NA</t>
  </si>
  <si>
    <t>B-212976</t>
  </si>
  <si>
    <t>TQP25878-2.00gm-24KT-YG-NA</t>
  </si>
  <si>
    <t>B-212977</t>
  </si>
  <si>
    <t>TQER251799-2.50gm-24KT-YG-NA</t>
  </si>
  <si>
    <t>B-212978</t>
  </si>
  <si>
    <t>TQP251030-2.50gm-24KT-YG-NA</t>
  </si>
  <si>
    <t>B-212979</t>
  </si>
  <si>
    <t>TQER251811-1.50gm-24KT-YG-NA</t>
  </si>
  <si>
    <t>B-212980</t>
  </si>
  <si>
    <t>TQER251030-3.00gm-24KT-YG-NA</t>
  </si>
  <si>
    <t>B-212981</t>
  </si>
  <si>
    <t>TQP25876-1.100gm-24KT-YG-NA</t>
  </si>
  <si>
    <t>SR-31947/1</t>
  </si>
  <si>
    <t>B-212982</t>
  </si>
  <si>
    <t>TQER251810-2.00gm-24KT-YG-NA</t>
  </si>
  <si>
    <t>B-212983</t>
  </si>
  <si>
    <t>TQER251801-1.34GM-24KT-YG-NA</t>
  </si>
  <si>
    <t>B-212984</t>
  </si>
  <si>
    <t>TQER251032-4.50gm-24KT-YG-NA</t>
  </si>
  <si>
    <t>B-212985</t>
  </si>
  <si>
    <t>TQP25902-1.40gm-24KT-YG-NA</t>
  </si>
  <si>
    <t>SR-31947/2</t>
  </si>
  <si>
    <t>B-212986</t>
  </si>
  <si>
    <t>RC-2752-CS</t>
  </si>
  <si>
    <t>18-IMBH025RW-13.5gm-18KT-RG-MS</t>
  </si>
  <si>
    <t>B-213025</t>
  </si>
  <si>
    <t>IHG-0511251-CS</t>
  </si>
  <si>
    <t>OMEGA-CH126-11.50gm-18KT-RG-MS</t>
  </si>
  <si>
    <t>B-213311</t>
  </si>
  <si>
    <t>CH003-OMEGA-4SADAK-8gm-18KT-RG-MS</t>
  </si>
  <si>
    <t>B-213312</t>
  </si>
  <si>
    <t>RC-2752-ST</t>
  </si>
  <si>
    <t>B-213024</t>
  </si>
  <si>
    <t>RC-2750-CS</t>
  </si>
  <si>
    <t>PK-001-19gm-18KT-YG-2.8A</t>
  </si>
  <si>
    <t>B-213289</t>
  </si>
  <si>
    <t>PK-012-17.5gm-18KT-YG-2.8A</t>
  </si>
  <si>
    <t>B-213290</t>
  </si>
  <si>
    <t>AJ-10305-ST.</t>
  </si>
  <si>
    <t>RFBR-049-21gm-22KT-YG-MS</t>
  </si>
  <si>
    <t>B-213279</t>
  </si>
  <si>
    <t>RFBR-052-17.5gm-22KT-YG-MS</t>
  </si>
  <si>
    <t>B-213280</t>
  </si>
  <si>
    <t>RFBR-047-18.5gm-22KT-YG-MS</t>
  </si>
  <si>
    <t>B-213281</t>
  </si>
  <si>
    <t>RFBR-051-17.5gm-22KT-YG-MS</t>
  </si>
  <si>
    <t>B-213282</t>
  </si>
  <si>
    <t>RFBR-053-20gm-22KT-YG-MS</t>
  </si>
  <si>
    <t>B-213283</t>
  </si>
  <si>
    <t>RFBR-046-21.50gm-22KT-YG-MS</t>
  </si>
  <si>
    <t>B-213284</t>
  </si>
  <si>
    <t>RFBR-054-21gm-22KT-YG-MS</t>
  </si>
  <si>
    <t>B-213285</t>
  </si>
  <si>
    <t>RFBR-048-17.5gm-22KT-YG-MS</t>
  </si>
  <si>
    <t>B-213286</t>
  </si>
  <si>
    <t>DVM-AQUA-URGENT-ORD</t>
  </si>
  <si>
    <t>VED-LR-251519-2.50gm-18KT-RG-NA.</t>
  </si>
  <si>
    <t>B-213346</t>
  </si>
  <si>
    <t>VED-LR-251512-2.50gm-18KT-RG-NA.</t>
  </si>
  <si>
    <t>B-213351</t>
  </si>
  <si>
    <t>VED-LR-251510-3.00gm-18KT-RG-NA.</t>
  </si>
  <si>
    <t>B-213358</t>
  </si>
  <si>
    <t>AJ-10306-ST.</t>
  </si>
  <si>
    <t>RFN-397-36.5gm-22KT-YG-MS</t>
  </si>
  <si>
    <t>B-214411</t>
  </si>
  <si>
    <t>RFN-395-32gm-22KT-YG-MS</t>
  </si>
  <si>
    <t>B-214412</t>
  </si>
  <si>
    <t>RFN-371-30gm-22KT-YG-MS</t>
  </si>
  <si>
    <t>B-214413</t>
  </si>
  <si>
    <t>RFN-396-38gm-22KT-YG-MS</t>
  </si>
  <si>
    <t>B-214414</t>
  </si>
  <si>
    <t>B-214416</t>
  </si>
  <si>
    <t>RFN-394-32gm-22KT-YG-MS</t>
  </si>
  <si>
    <t>B-214417</t>
  </si>
  <si>
    <t>RFN-398-37.5gm-22KT-YG-MS</t>
  </si>
  <si>
    <t>B-214418</t>
  </si>
  <si>
    <t>AJ-720-MGM</t>
  </si>
  <si>
    <t>B-214400</t>
  </si>
  <si>
    <t>B-214407</t>
  </si>
  <si>
    <t>EARRING-6gm-18KT-RG-NA</t>
  </si>
  <si>
    <t>05725</t>
  </si>
  <si>
    <t>RC-9275-ST</t>
  </si>
  <si>
    <t>ABHU BHAI -ORD</t>
  </si>
  <si>
    <t>B-214107</t>
  </si>
  <si>
    <t>AJ-10309-ST.</t>
  </si>
  <si>
    <t>VERONA CHAIN-20gm-22KT-YG-18"</t>
  </si>
  <si>
    <t>B-214148</t>
  </si>
  <si>
    <t>ASDKY112YW-8.50gm-22KT-YG-MS</t>
  </si>
  <si>
    <t>B-214193</t>
  </si>
  <si>
    <t>ASDKY112Y-8.50gm-22KT-YG-MS</t>
  </si>
  <si>
    <t>B-214180</t>
  </si>
  <si>
    <t>AJ-10307-ST.*</t>
  </si>
  <si>
    <t>B-214419</t>
  </si>
  <si>
    <t>22-VN-K-047YW-11gm-22KT-YG-MS</t>
  </si>
  <si>
    <t>B-214421</t>
  </si>
  <si>
    <t>22-AS209Y-23gm-22KT-YG-MS</t>
  </si>
  <si>
    <t>ARK/0711/3 (CORPORATE ORDER)</t>
  </si>
  <si>
    <t>B-214200</t>
  </si>
  <si>
    <t>CN-166-15gm-22KT-YG-MS</t>
  </si>
  <si>
    <t>AJ-10310-ST</t>
  </si>
  <si>
    <t>B-214127</t>
  </si>
  <si>
    <t>CN-171-32gm-22KT-YG-MS</t>
  </si>
  <si>
    <t>B-214130</t>
  </si>
  <si>
    <t>CN-173-31gm-22KT-YG-MS</t>
  </si>
  <si>
    <t>B-214128</t>
  </si>
  <si>
    <t>ASDKY411Y-14gm-22KT-YG-MS</t>
  </si>
  <si>
    <t>B-214183</t>
  </si>
  <si>
    <t>DVM-AQUA-0811</t>
  </si>
  <si>
    <t>RFN-375-23gm-18KT-RG-MS</t>
  </si>
  <si>
    <t>B-214178</t>
  </si>
  <si>
    <t>RFN-377-17.5gm-18KT-RG-MS</t>
  </si>
  <si>
    <t>B-214169</t>
  </si>
  <si>
    <t>RFN-378-18.5gm-18KT-RG-MS</t>
  </si>
  <si>
    <t>B-214171</t>
  </si>
  <si>
    <t>RFN-380-21.50gm-18KT-RG-MS</t>
  </si>
  <si>
    <t>B-214177</t>
  </si>
  <si>
    <t>22-VN-K-071Y-17gm-22KT-YG-MS</t>
  </si>
  <si>
    <t>B-214420</t>
  </si>
  <si>
    <t>CN-172-16gm-22KT-YG-MS</t>
  </si>
  <si>
    <t>B-214125</t>
  </si>
  <si>
    <t>CN-168-22gm-22KT-YG-MS</t>
  </si>
  <si>
    <t>B-214124</t>
  </si>
  <si>
    <t>CN-180-27.5gm-22KT-YG-MS</t>
  </si>
  <si>
    <t>B-214121</t>
  </si>
  <si>
    <t>RFN-382-25gm-18KT-RG-MS</t>
  </si>
  <si>
    <t>B-214170</t>
  </si>
  <si>
    <t>CN-177-15gm-22KT-YG-MS</t>
  </si>
  <si>
    <t>B-214129</t>
  </si>
  <si>
    <t>CN-169-26gm-22KT-YG-MS</t>
  </si>
  <si>
    <t>B-214136</t>
  </si>
  <si>
    <t>CN-165-32.50gm-22KT-YG-MS</t>
  </si>
  <si>
    <t>B-214122</t>
  </si>
  <si>
    <t>RFN-376-18gm-18KT-RG-MS</t>
  </si>
  <si>
    <t>B-214175</t>
  </si>
  <si>
    <t>CN-167-27gm-22KT-YG-MS</t>
  </si>
  <si>
    <t>B-214126</t>
  </si>
  <si>
    <t>RFN-381-22.50gm-18KT-RG-MS</t>
  </si>
  <si>
    <t>B-214176</t>
  </si>
  <si>
    <t>RFN-373-18gm-18KT-RG-MS</t>
  </si>
  <si>
    <t>B-214174</t>
  </si>
  <si>
    <t>RFN-374-21.50gm-18KT-RG-MS</t>
  </si>
  <si>
    <t>B-214173</t>
  </si>
  <si>
    <t>RFN-379-27gm-18KT-RG-MS</t>
  </si>
  <si>
    <t>B-214172</t>
  </si>
  <si>
    <t>RFN-383-23gm-18KT-RG-MS</t>
  </si>
  <si>
    <t>B-214179</t>
  </si>
  <si>
    <t>ASDKY411YW-14gm-22KT-YG-MS</t>
  </si>
  <si>
    <t>B-214197</t>
  </si>
  <si>
    <t>AJ-10311-ST.</t>
  </si>
  <si>
    <t>RFN-425-20.5gm-22KT-YG-MS</t>
  </si>
  <si>
    <t>B-214147</t>
  </si>
  <si>
    <t>RFN-416-21.50gm-22KT-YG-MS</t>
  </si>
  <si>
    <t>B-214139</t>
  </si>
  <si>
    <t>RFN-417-29gm-22KT-YG-MS</t>
  </si>
  <si>
    <t>B-214137</t>
  </si>
  <si>
    <t>RFN-422-21gm-22KT-YG-MS</t>
  </si>
  <si>
    <t>B-214146</t>
  </si>
  <si>
    <t>RFN-419-21.50gm-22KT-YG-MS</t>
  </si>
  <si>
    <t>B-214142</t>
  </si>
  <si>
    <t>RFN-423-22gm-22KT-YG-MS</t>
  </si>
  <si>
    <t>B-214144</t>
  </si>
  <si>
    <t>RFN-415-31gm-22KT-YG-MS</t>
  </si>
  <si>
    <t>B-214145</t>
  </si>
  <si>
    <t>RFN-424-29.5gm-22KT-YG-MS</t>
  </si>
  <si>
    <t>B-214141</t>
  </si>
  <si>
    <t>RFN-418-34gm-22KT-YG-MS</t>
  </si>
  <si>
    <t>B-214138</t>
  </si>
  <si>
    <t>RFN-420-20gm-22KT-YG-MS</t>
  </si>
  <si>
    <t>B-214140</t>
  </si>
  <si>
    <t>RFN-421-22gm-22KT-YG-MS</t>
  </si>
  <si>
    <t>B-214143</t>
  </si>
  <si>
    <t>RC-EXHIBITION-ORD-2ND LOT</t>
  </si>
  <si>
    <t>KANAK RATNA -ST-1011</t>
  </si>
  <si>
    <t>SAT-CHAIN-WK</t>
  </si>
  <si>
    <t>RC -MGM SAMPLE-9285</t>
  </si>
  <si>
    <t>RC MGM SAMPLE 9273 ORDER</t>
  </si>
  <si>
    <t>RC-10791-VAAMA MGM (ONLY916)</t>
  </si>
  <si>
    <t>AALISHAN/ORD/10321-3</t>
  </si>
  <si>
    <t>ASHS132Y-14gm-22KT-YG-MS</t>
  </si>
  <si>
    <t>22-AS374Y-5.50gm-22KT-YG-MS</t>
  </si>
  <si>
    <t>ASPB076YW-10gm-22KT-YG-18"</t>
  </si>
  <si>
    <t>GOLD-DULL-HOD</t>
  </si>
  <si>
    <t>RC-10793-VAAMA MGM (ONLY916)</t>
  </si>
  <si>
    <t>RC-10795-VAAMA MGM (ONLY916)</t>
  </si>
  <si>
    <t>ASTMANGAL STOCK ORD1211</t>
  </si>
  <si>
    <t>AALISHAN/ORD/10326</t>
  </si>
  <si>
    <t>ONKS25143A-11gm-22KT-YG-8"</t>
  </si>
  <si>
    <t>AALISHAN -ORD</t>
  </si>
  <si>
    <t>OER252006-2.50gm-22KT-YG-NA</t>
  </si>
  <si>
    <t>14YV100K-10BOX-FANCY-CHECKS+BORDER-Y-7gm-22KT-YG-MS</t>
  </si>
  <si>
    <t>JEW-NA-99.50K-YG</t>
  </si>
  <si>
    <t>C.C-PATTI-1.00gm-18KT-RG-NA</t>
  </si>
  <si>
    <t>NPD-TRAIL-PCS-11-11</t>
  </si>
  <si>
    <t>GOK251969-32gm-22KT-YG-2.8A</t>
  </si>
  <si>
    <t>B-215215</t>
  </si>
  <si>
    <t>GOK251969-30gm-18KT-RG-2.8A</t>
  </si>
  <si>
    <t>B-215216</t>
  </si>
  <si>
    <t>RC-20417-(STAMPING DIE ORD.)</t>
  </si>
  <si>
    <t>STAMPING-DIE-NO-322-RIJ-0.600GM-22KT-YG-STRIP-0.25MM</t>
  </si>
  <si>
    <t>B-215221</t>
  </si>
  <si>
    <t>CR-AB-1613 (NO-STAMP.)</t>
  </si>
  <si>
    <t>18-AS030RW-1-9gm-18KT-RG-MS</t>
  </si>
  <si>
    <t>B-216676</t>
  </si>
  <si>
    <t>IBR242075M13-38gm-22KT-YG-8.5''</t>
  </si>
  <si>
    <t>B-216215</t>
  </si>
  <si>
    <t>ARK/1211/4 CORPORATE ORD.)</t>
  </si>
  <si>
    <t>B-216625</t>
  </si>
  <si>
    <t>RC-2781-CS</t>
  </si>
  <si>
    <t>VR-K-244-11gm-18KT-RG-MS</t>
  </si>
  <si>
    <t>B-216666</t>
  </si>
  <si>
    <t>B-216667</t>
  </si>
  <si>
    <t>RC-2779-CS</t>
  </si>
  <si>
    <t>B-215238</t>
  </si>
  <si>
    <t>KARIGAR-SAMPLE-ORDX</t>
  </si>
  <si>
    <t>SR-32592</t>
  </si>
  <si>
    <t>B-215267/1/1/1/1/1/1/1/1/1/1/1/1/1/1/1/1/1/1</t>
  </si>
  <si>
    <t>B-215267/1/1/1/1/1/1/1/1/1/1/1/1/1/1/1/1/1/1/1/1/1/1/1/1/1</t>
  </si>
  <si>
    <t>SR-32274</t>
  </si>
  <si>
    <t>B-215267/1</t>
  </si>
  <si>
    <t>NPD-0925506.</t>
  </si>
  <si>
    <t>OLR252016-5gm-18KT-YG-R12</t>
  </si>
  <si>
    <t>SR-32396</t>
  </si>
  <si>
    <t>B-215840</t>
  </si>
  <si>
    <t>OLR252017-3.50gm-18KT-YG-R12</t>
  </si>
  <si>
    <t>B-215841</t>
  </si>
  <si>
    <t>OLR252014-3.50gm-18KT-YG-R12</t>
  </si>
  <si>
    <t>B-215842</t>
  </si>
  <si>
    <t>OLR252015-3.00gm-18KT-YG-R12</t>
  </si>
  <si>
    <t>B-215843</t>
  </si>
  <si>
    <t>OLR252013-3.50gm-18KT-YG-R12</t>
  </si>
  <si>
    <t>B-215844</t>
  </si>
  <si>
    <t>CBR24662M9C-16.00 GM-22KT-YG-8</t>
  </si>
  <si>
    <t>CBR24661M10-18.00 GM-22KT-YG-8</t>
  </si>
  <si>
    <t>SR-32438</t>
  </si>
  <si>
    <t>B-215906</t>
  </si>
  <si>
    <t>B-215910</t>
  </si>
  <si>
    <t>CBR24663M9B-15.00 GM-22KT-YG-8</t>
  </si>
  <si>
    <t>B-215913</t>
  </si>
  <si>
    <t>B-215922</t>
  </si>
  <si>
    <t>CR-AB-1211/22 (NO-STAMP)</t>
  </si>
  <si>
    <t>B-220246</t>
  </si>
  <si>
    <t>CR-AB-1211/19 (NO-STAMP)</t>
  </si>
  <si>
    <t>B-220244</t>
  </si>
  <si>
    <t>CR-AB-1211/4 (NO STAMP)</t>
  </si>
  <si>
    <t>ASHS033Y-11.50gm-22KT-YG-MS</t>
  </si>
  <si>
    <t>B-220243</t>
  </si>
  <si>
    <t>CR-AB-1211/17 (NO-STAMP)</t>
  </si>
  <si>
    <t>23YPC30RL4-30CURB-NAYAK-ICE+FLAT-PAVE-YP-8gm-22KT-YG-MS</t>
  </si>
  <si>
    <t>B-220240</t>
  </si>
  <si>
    <t>CR-AB-1211/10 (NOSTAMP)</t>
  </si>
  <si>
    <t>22-AS046Y-6.00gm-22KT-YG-MS</t>
  </si>
  <si>
    <t>B-220238</t>
  </si>
  <si>
    <t>CR-AB-1211/12 (NO STAMP)</t>
  </si>
  <si>
    <t>22-AS002Y-5.50gm-22KT-YG-MS</t>
  </si>
  <si>
    <t>B-216131</t>
  </si>
  <si>
    <t>CR-AB-1211/8 (NO STAMP)</t>
  </si>
  <si>
    <t>22-IMBH026T-14.5gm-22KT-YG-MS</t>
  </si>
  <si>
    <t>B-216132</t>
  </si>
  <si>
    <t>CR-AB-1211/14 (NO STAMP)</t>
  </si>
  <si>
    <t>ASHS005YW-13gm-22KT-YG-MS</t>
  </si>
  <si>
    <t>B-220234</t>
  </si>
  <si>
    <t>RC-2777-CS</t>
  </si>
  <si>
    <t>15B1DL1AC-1.5MM-BALLCHAIN-ALT-MOON-CUT-PAVE-3.00gm-18KT-YG-MS</t>
  </si>
  <si>
    <t>B-216635</t>
  </si>
  <si>
    <t>RC-20431-CS</t>
  </si>
  <si>
    <t>22-AS005YW-11gm-22KT-YG-MS</t>
  </si>
  <si>
    <t>B-216672</t>
  </si>
  <si>
    <t>AJ-10308-ST.</t>
  </si>
  <si>
    <t>RFN-381-23gm-22KT-YG-MS</t>
  </si>
  <si>
    <t>B-215929</t>
  </si>
  <si>
    <t>HL-111125</t>
  </si>
  <si>
    <t>SR-32162</t>
  </si>
  <si>
    <t>B-214949</t>
  </si>
  <si>
    <t>RC-2776-CS</t>
  </si>
  <si>
    <t>YP30C5CD-R-30CURB-ROUND-SNAKE-SPRING-SPIRAL-YP-4gm-18KT-YG-PARTY-ROLL</t>
  </si>
  <si>
    <t>B-216636</t>
  </si>
  <si>
    <t>RC-20431-ST</t>
  </si>
  <si>
    <t>22-AS005Y-10.5gm-22KT-YG-MS</t>
  </si>
  <si>
    <t>B-216673</t>
  </si>
  <si>
    <t>B-216674</t>
  </si>
  <si>
    <t>NASIR-URG-ORD-SR</t>
  </si>
  <si>
    <t>PACS-1460-23gm-22KT-YG-NA</t>
  </si>
  <si>
    <t>B-216190</t>
  </si>
  <si>
    <t>PACS-1458-22gm-22KT-YG-NA</t>
  </si>
  <si>
    <t>B-216191</t>
  </si>
  <si>
    <t>B-216686</t>
  </si>
  <si>
    <t>22-IMPP025Y-20gm-22KT-YG-MS</t>
  </si>
  <si>
    <t>B-216689</t>
  </si>
  <si>
    <t>22-IMPP020Y-19gm-22KT-YG-MS</t>
  </si>
  <si>
    <t>B-216691</t>
  </si>
  <si>
    <t>RC-10792-VAAMA MGM (ONLY916)</t>
  </si>
  <si>
    <t>ASPB029Y-8gm-22KT-YG-MS</t>
  </si>
  <si>
    <t>B-216614</t>
  </si>
  <si>
    <t>B-216616</t>
  </si>
  <si>
    <t>22-IMA030T-1-10gm-22KT-YG-MS</t>
  </si>
  <si>
    <t>B-216618</t>
  </si>
  <si>
    <t>ASDKY221T-11gm-22KT-YG-MS</t>
  </si>
  <si>
    <t>B-216620</t>
  </si>
  <si>
    <t>ASPB015T-9gm-22KT-YG-MS</t>
  </si>
  <si>
    <t>B-216621</t>
  </si>
  <si>
    <t>22-AS040Y-1-9gm-22KT-YG-MS</t>
  </si>
  <si>
    <t>B-216622</t>
  </si>
  <si>
    <t>ASPB046T-9gm-22KT-YG-MS</t>
  </si>
  <si>
    <t>B-216623</t>
  </si>
  <si>
    <t>22-IMAH002T-22gm-22KT-YG-MS</t>
  </si>
  <si>
    <t>B-216624</t>
  </si>
  <si>
    <t>IBR9529-22.50gm-18KT-RG-8"</t>
  </si>
  <si>
    <t>B-216207</t>
  </si>
  <si>
    <t>22-IMPP074Y-21.50gm-22KT-YG-MS</t>
  </si>
  <si>
    <t>B-216684</t>
  </si>
  <si>
    <t>MANOJI-KADA-ORD</t>
  </si>
  <si>
    <t>ASPB032YW-8gm-22KT-YG-MS</t>
  </si>
  <si>
    <t>B-216645</t>
  </si>
  <si>
    <t>22-AS388Y-7gm-22KT-YG-MS</t>
  </si>
  <si>
    <t>B-216649</t>
  </si>
  <si>
    <t>AJ-10312-ST.</t>
  </si>
  <si>
    <t>VR-K-216-9.50gm-22KT-YG-MS</t>
  </si>
  <si>
    <t>B-214382</t>
  </si>
  <si>
    <t>RFK-027-9.00GM-22KT-YG-MS</t>
  </si>
  <si>
    <t>B-214383</t>
  </si>
  <si>
    <t>RFK-094-11gm-22KT-YG-MS</t>
  </si>
  <si>
    <t>B-214386</t>
  </si>
  <si>
    <t>B-214390</t>
  </si>
  <si>
    <t>RFK-186-10.5gm-22KT-YG-MS</t>
  </si>
  <si>
    <t>B-214391</t>
  </si>
  <si>
    <t>RFK-187-11gm-22KT-YG-MS</t>
  </si>
  <si>
    <t>B-214392</t>
  </si>
  <si>
    <t>VR-K-218-12gm-22KT-YG-MS</t>
  </si>
  <si>
    <t>B-214393</t>
  </si>
  <si>
    <t>RFK-033-11gm-22KT-YG-MS</t>
  </si>
  <si>
    <t>B-214394</t>
  </si>
  <si>
    <t>RFK-022-10gm-22KT-YG-MS</t>
  </si>
  <si>
    <t>B-214395</t>
  </si>
  <si>
    <t>DVM-AQUA-URGENT-ORD-02</t>
  </si>
  <si>
    <t>VED-LR-251753-2.00gm-18KT-RG-NA.</t>
  </si>
  <si>
    <t>B-214428</t>
  </si>
  <si>
    <t>AALISHAN -ORD-10321-2</t>
  </si>
  <si>
    <t>CP-056-5gm-18KT-RG-18"</t>
  </si>
  <si>
    <t>B-215287</t>
  </si>
  <si>
    <t>EBBR-002-2.00gm-18KT-RG-5"</t>
  </si>
  <si>
    <t>SR-32213</t>
  </si>
  <si>
    <t>B-215295</t>
  </si>
  <si>
    <t>CP-056-5gm-18KT-YG-18"</t>
  </si>
  <si>
    <t>B-215296</t>
  </si>
  <si>
    <t>EBBR-002-2.00gm-18KT-YG-5"</t>
  </si>
  <si>
    <t>SR-32214</t>
  </si>
  <si>
    <t>B-215300</t>
  </si>
  <si>
    <t>CR-AB-1613(NO-STAMP),</t>
  </si>
  <si>
    <t>ILM011-BOOMER-PLAIN-CUT-6gm-18KT-RG-MS</t>
  </si>
  <si>
    <t>B-215932</t>
  </si>
  <si>
    <t>OOK241225-9.00 GM-22KT-YG-2.5</t>
  </si>
  <si>
    <t>SR-32337</t>
  </si>
  <si>
    <t>B-216278</t>
  </si>
  <si>
    <t>OOK24675-10.00 GM-22KT-YG-2.5</t>
  </si>
  <si>
    <t>B-216279</t>
  </si>
  <si>
    <t>OOK241227-19.00 GM-22KT-YG-2.5</t>
  </si>
  <si>
    <t>B-216281</t>
  </si>
  <si>
    <t>OOK241224-9.00 GM-22KT-YG-2.5</t>
  </si>
  <si>
    <t>B-216285</t>
  </si>
  <si>
    <t>OOK241221-9.00 GM-22KT-YG-2.5</t>
  </si>
  <si>
    <t>B-216289</t>
  </si>
  <si>
    <t>RC-CUST-2763</t>
  </si>
  <si>
    <t>CBR24662M18B-42gm-18KT-RG-7.75" INCHES</t>
  </si>
  <si>
    <t>B-215928</t>
  </si>
  <si>
    <t>CR-AB-1211/21 (NO-STAMP)</t>
  </si>
  <si>
    <t>21YV40JL2-4BOX-SADAK-V+BORDER-Y-8gm-22KT-YG-MS</t>
  </si>
  <si>
    <t>B-220245</t>
  </si>
  <si>
    <t>CR-AB-1211/1 (NO-STAMP)</t>
  </si>
  <si>
    <t>B-220241</t>
  </si>
  <si>
    <t>CR-AB-1211/9 (NO-STAMP)</t>
  </si>
  <si>
    <t>22-AS009YW-2-7gm-22KT-YG-MS</t>
  </si>
  <si>
    <t>B-220235</t>
  </si>
  <si>
    <t>22-AS009YW-3-7gm-22KT-YG-MS</t>
  </si>
  <si>
    <t>B-220236</t>
  </si>
  <si>
    <t>AJ-10323-ST</t>
  </si>
  <si>
    <t>B-216138</t>
  </si>
  <si>
    <t>B-216139</t>
  </si>
  <si>
    <t>RFN-363-32.50gm-22KT-YG-MS</t>
  </si>
  <si>
    <t>B-216140</t>
  </si>
  <si>
    <t>RFN-372-48gm-22KT-YG-MS</t>
  </si>
  <si>
    <t>B-216141</t>
  </si>
  <si>
    <t>B-216142</t>
  </si>
  <si>
    <t>DVM-AQUA-CARITER ORD</t>
  </si>
  <si>
    <t>MM25601L-5.50gm-18KT-YG-R16</t>
  </si>
  <si>
    <t>MM25601M-7.50gm-18KT-YG-R22</t>
  </si>
  <si>
    <t>ARK/1211/5(CORPORATE ORDER)</t>
  </si>
  <si>
    <t>ASHS122Y-1-16gm-22KT-YG-MS</t>
  </si>
  <si>
    <t>B-216627</t>
  </si>
  <si>
    <t>TITAN 24KT ORDER LADIES RING</t>
  </si>
  <si>
    <t>ECB252010F-2.50gm-24KT-YG-R12</t>
  </si>
  <si>
    <t>SR-32286</t>
  </si>
  <si>
    <t>B-216157</t>
  </si>
  <si>
    <t>ECB252011F-3.00gm-24KT-YG-R12</t>
  </si>
  <si>
    <t>B-216158</t>
  </si>
  <si>
    <t>ECB252008F-2.50gm-24KT-YG-R12</t>
  </si>
  <si>
    <t>B-216159</t>
  </si>
  <si>
    <t>ECB252009F-2.50gm-24KT-YG-R12</t>
  </si>
  <si>
    <t>B-216160</t>
  </si>
  <si>
    <t>ECB252007F-2.50gm-24KT-YG-R12</t>
  </si>
  <si>
    <t>B-216161</t>
  </si>
  <si>
    <t>ARK/1211/2(CORPORATE ORDER)</t>
  </si>
  <si>
    <t>B-216626</t>
  </si>
  <si>
    <t>22-AS370T-6.50gm-22KT-YG-MS</t>
  </si>
  <si>
    <t>B-216637</t>
  </si>
  <si>
    <t>B-216641</t>
  </si>
  <si>
    <t>RPA25S2C-25CABLE-NO-CUT-RG-SIMLA-1+1-SPIRAL-WG-3.00gm-18KT-RG-MS</t>
  </si>
  <si>
    <t>B-216659</t>
  </si>
  <si>
    <t>RC-2781-ST</t>
  </si>
  <si>
    <t>VR-K-226-11gm-18KT-RG-MS</t>
  </si>
  <si>
    <t>B-216668</t>
  </si>
  <si>
    <t>VR-K-216-9.50gm-18KT-RG-MS</t>
  </si>
  <si>
    <t>B-216669</t>
  </si>
  <si>
    <t>B-216670</t>
  </si>
  <si>
    <t>VR-K-218-12gm-18KT-RG-MS</t>
  </si>
  <si>
    <t>B-216671</t>
  </si>
  <si>
    <t>RC-2782-CS</t>
  </si>
  <si>
    <t>10YPC25S2C-25-CURB-NO-CUT-YG-SIMLA-SPIRAL-1+1-WG-2.00gm-18KT-YG-MS</t>
  </si>
  <si>
    <t>B-216664</t>
  </si>
  <si>
    <t>10YPC25S2C-25-CURB-NO-CUT-YG-SIMLA-SPIRAL-1+1-WG-2.00gm-18KT-YG-PARTY-ROLL</t>
  </si>
  <si>
    <t>B-216665</t>
  </si>
  <si>
    <t>AJ-1011-ST</t>
  </si>
  <si>
    <t>B-215254</t>
  </si>
  <si>
    <t>RFN-383-23gm-22KT-YG-MS</t>
  </si>
  <si>
    <t>B-215255</t>
  </si>
  <si>
    <t>RFN-377-18.5gm-22KT-YG-MS</t>
  </si>
  <si>
    <t>B-215256</t>
  </si>
  <si>
    <t>RFN-373-18.5gm-22KT-YG-MS</t>
  </si>
  <si>
    <t>B-215257</t>
  </si>
  <si>
    <t>RFN-379-28gm-22KT-YG-MS</t>
  </si>
  <si>
    <t>B-215258</t>
  </si>
  <si>
    <t>B-215259</t>
  </si>
  <si>
    <t>B-215260</t>
  </si>
  <si>
    <t>RFN-382-25.5gm-22KT-YG-MS</t>
  </si>
  <si>
    <t>B-215261</t>
  </si>
  <si>
    <t>RFN-375-23.5gm-22KT-YG-MS</t>
  </si>
  <si>
    <t>B-215262</t>
  </si>
  <si>
    <t>B-215263</t>
  </si>
  <si>
    <t>B-215264</t>
  </si>
  <si>
    <t>AALISHAN/ORD/10314</t>
  </si>
  <si>
    <t>PGP-030-15gm-22KT-YG-NA</t>
  </si>
  <si>
    <t>B-215123</t>
  </si>
  <si>
    <t>SR-31894/1/1/1</t>
  </si>
  <si>
    <t>EBBR-001-2.00gm-18KT-RG-5"</t>
  </si>
  <si>
    <t>B-215403</t>
  </si>
  <si>
    <t>EBBR-005-2.50gm-18KT-RG-5"</t>
  </si>
  <si>
    <t>B-215405</t>
  </si>
  <si>
    <t>EBBR-011-2.50gm-18KT-RG-5"</t>
  </si>
  <si>
    <t>B-215408</t>
  </si>
  <si>
    <t>EBBR-004-2.50gm-18KT-YG-5"</t>
  </si>
  <si>
    <t>B-215410</t>
  </si>
  <si>
    <t>EBBR-006-2.00gm-18KT-YG-5"</t>
  </si>
  <si>
    <t>B-215417</t>
  </si>
  <si>
    <t>EBBR-010-2.00gm-18KT-RG-5"</t>
  </si>
  <si>
    <t>B-215433</t>
  </si>
  <si>
    <t>EBBR-001-2.00gm-18KT-YG-5"</t>
  </si>
  <si>
    <t>B-215441</t>
  </si>
  <si>
    <t>EBBR-009-2.50gm-18KT-YG-5"</t>
  </si>
  <si>
    <t>B-215442</t>
  </si>
  <si>
    <t>EBBR-007-2.00gm-18KT-YG-5"</t>
  </si>
  <si>
    <t>B-215453</t>
  </si>
  <si>
    <t>EBBR-007-2.00gm-18KT-RG-5"</t>
  </si>
  <si>
    <t>B-215456</t>
  </si>
  <si>
    <t>EBBR-003-2.50gm-18KT-YG-5"</t>
  </si>
  <si>
    <t>B-215457</t>
  </si>
  <si>
    <t>EBBR-005-2.50gm-18KT-YG-5"</t>
  </si>
  <si>
    <t>B-215470</t>
  </si>
  <si>
    <t>EBBR-010-2.00gm-18KT-YG-5"</t>
  </si>
  <si>
    <t>B-215479</t>
  </si>
  <si>
    <t>EBBR-004-2.50gm-18KT-RG-5"</t>
  </si>
  <si>
    <t>B-215481</t>
  </si>
  <si>
    <t>EBBR-006-2.00gm-18KT-RG-5"</t>
  </si>
  <si>
    <t>B-215485</t>
  </si>
  <si>
    <t>EBBR-008-2.00gm-18KT-RG-5"</t>
  </si>
  <si>
    <t>B-215486</t>
  </si>
  <si>
    <t>EBBR-003-2.50gm-18KT-RG-5"</t>
  </si>
  <si>
    <t>B-215310</t>
  </si>
  <si>
    <t>EBBR-011-2.50gm-18KT-YG-5"</t>
  </si>
  <si>
    <t>B-215312</t>
  </si>
  <si>
    <t>EBBR-009-2.50gm-18KT-RG-5"</t>
  </si>
  <si>
    <t>B-215318</t>
  </si>
  <si>
    <t>RC-20369-ST</t>
  </si>
  <si>
    <t>22-IMPP220Y-11gm-22KT-YG-MS</t>
  </si>
  <si>
    <t>B-215498</t>
  </si>
  <si>
    <t>CR-AB-1613 (NO-STAMP)</t>
  </si>
  <si>
    <t>YP25R4C30CS-30CURB-YG+2.5-CUBE-WG-SLASH-PAVE-R15-5gm-18KT-YG-MS</t>
  </si>
  <si>
    <t>B-215959</t>
  </si>
  <si>
    <t>B-215962</t>
  </si>
  <si>
    <t>16RPA25CS5-25CABLE-AZGAR-ICE-PAVE-RP-7gm-18KT-RG-MS</t>
  </si>
  <si>
    <t>B-215968</t>
  </si>
  <si>
    <t>RC-2771-CS</t>
  </si>
  <si>
    <t>18-VN-K-010RW-8.50gm-18KT-RG-MS</t>
  </si>
  <si>
    <t>B-215981</t>
  </si>
  <si>
    <t>18-VN-K-041RW-20.5gm-18KT-RG-MS</t>
  </si>
  <si>
    <t>B-215982</t>
  </si>
  <si>
    <t>18-VN-K-012RW-12gm-18KT-RG-MS</t>
  </si>
  <si>
    <t>B-215983</t>
  </si>
  <si>
    <t>OMEGA-CH042-11gm-18KT-RG-MS</t>
  </si>
  <si>
    <t>B-215953</t>
  </si>
  <si>
    <t>ICH24474M4.5-34.00 GM-22KT-YG-20</t>
  </si>
  <si>
    <t>B-215859</t>
  </si>
  <si>
    <t>CUCH24663M7B-26.00 GM-22KT-YG-20</t>
  </si>
  <si>
    <t>B-215881</t>
  </si>
  <si>
    <t>CR-AB-1613(NO-STAMP),,</t>
  </si>
  <si>
    <t>RW53PC11-7.50gm-18KT-RG-18"</t>
  </si>
  <si>
    <t>B-215940</t>
  </si>
  <si>
    <t>RG5PC12-9.50gm-18KT-RG-18"</t>
  </si>
  <si>
    <t>B-215941</t>
  </si>
  <si>
    <t>RW5PC15-6.50gm-18KT-RG-18"</t>
  </si>
  <si>
    <t>B-215942/1</t>
  </si>
  <si>
    <t>CR-AB-1211/7 (NO STAMP)</t>
  </si>
  <si>
    <t>22-AS140YW-14.5gm-22KT-YG-MS</t>
  </si>
  <si>
    <t>B-216136</t>
  </si>
  <si>
    <t>CR-AB-2125/5 (NO-STAMP)</t>
  </si>
  <si>
    <t>B-216125</t>
  </si>
  <si>
    <t>SR-SOR-EXT-80140</t>
  </si>
  <si>
    <t>ILM011-BOOMER-PLAIN-CUT-6gm-18KT-RG-ROLL</t>
  </si>
  <si>
    <t>SR-32302</t>
  </si>
  <si>
    <t>B-216080</t>
  </si>
  <si>
    <t>CR-AB-1211/3 (NO-STAMP)</t>
  </si>
  <si>
    <t>22-AS037Y-12gm-22KT-YG-MS</t>
  </si>
  <si>
    <t>B-216134</t>
  </si>
  <si>
    <t>CR-AB-1211/13 (NO STAMP)</t>
  </si>
  <si>
    <t>22-AS214YW-12gm-22KT-YG-MS</t>
  </si>
  <si>
    <t>B-220239</t>
  </si>
  <si>
    <t>18-AS006RW-7gm-18KT-RG-MS</t>
  </si>
  <si>
    <t>B-215958</t>
  </si>
  <si>
    <t>B-215956</t>
  </si>
  <si>
    <t>B-215244</t>
  </si>
  <si>
    <t>B-215245</t>
  </si>
  <si>
    <t>B-215246</t>
  </si>
  <si>
    <t>B-215247</t>
  </si>
  <si>
    <t>B-215248</t>
  </si>
  <si>
    <t>B-215249</t>
  </si>
  <si>
    <t>B-215250</t>
  </si>
  <si>
    <t>B-215251</t>
  </si>
  <si>
    <t>B-215252</t>
  </si>
  <si>
    <t>B-215253</t>
  </si>
  <si>
    <t>RC-20304-CS</t>
  </si>
  <si>
    <t>INIT-102-57gm-22KT-YG-ROLL</t>
  </si>
  <si>
    <t>B-215148</t>
  </si>
  <si>
    <t>INIT-102-60gm-22KT-YG-ROLL</t>
  </si>
  <si>
    <t>B-215149</t>
  </si>
  <si>
    <t>IBR10375M9.5A-22gm-22KT-YG-8"</t>
  </si>
  <si>
    <t>SR-32329/1</t>
  </si>
  <si>
    <t>B-215175</t>
  </si>
  <si>
    <t>IBR23740M12-28.00 GM-22KT-YG-8</t>
  </si>
  <si>
    <t>SR-32330/1</t>
  </si>
  <si>
    <t>B-215190</t>
  </si>
  <si>
    <t>RC-20369-CS</t>
  </si>
  <si>
    <t>B-215497</t>
  </si>
  <si>
    <t>RC-20458-CS</t>
  </si>
  <si>
    <t>INDO-MIX-NA-18KT-RG-NA</t>
  </si>
  <si>
    <t>B-216215/1</t>
  </si>
  <si>
    <t>B-215267/1/1/1/1/1/1/1/1/1/1/1/1/1/1/1/1/1/1/1/1/1/1/1/1/1/1/1</t>
  </si>
  <si>
    <t>SR-32733/2</t>
  </si>
  <si>
    <t>B-221390/3</t>
  </si>
  <si>
    <t>SR-32736</t>
  </si>
  <si>
    <t>SR-32312/2</t>
  </si>
  <si>
    <t>B-221346/2</t>
  </si>
  <si>
    <t>AALISHAN/ORD/10327</t>
  </si>
  <si>
    <t>BBR-043-2.00gm-22KT-YG-NA</t>
  </si>
  <si>
    <t>SR-32372</t>
  </si>
  <si>
    <t>B-216470</t>
  </si>
  <si>
    <t>BBR-095-2.00gm-22KT-YG-4.5"</t>
  </si>
  <si>
    <t>B-216471</t>
  </si>
  <si>
    <t>BBR-041-2.00gm-22KT-YG-NA</t>
  </si>
  <si>
    <t>B-216472</t>
  </si>
  <si>
    <t>BBR-004-2.45GM-22KT-YG-4.5"</t>
  </si>
  <si>
    <t>B-216473</t>
  </si>
  <si>
    <t>BBR-017-2.00gm-22KT-YG-NA</t>
  </si>
  <si>
    <t>B-216474</t>
  </si>
  <si>
    <t>BBR-092-2.470GM-22KT-YG-4.5"</t>
  </si>
  <si>
    <t>B-216475</t>
  </si>
  <si>
    <t>BBR-016-2.00gm-22KT-YG-NA</t>
  </si>
  <si>
    <t>B-216476</t>
  </si>
  <si>
    <t>BBR-109-1.50gm-22KT-YG-4.5"</t>
  </si>
  <si>
    <t>B-216477</t>
  </si>
  <si>
    <t>BBR-093-1.50gm-22KT-YG-4.5"</t>
  </si>
  <si>
    <t>B-216478</t>
  </si>
  <si>
    <t>BBR-029-2.00gm-22KT-YG-NA</t>
  </si>
  <si>
    <t>B-216479</t>
  </si>
  <si>
    <t>BBR-094-2.50gm-22KT-YG-4.5"</t>
  </si>
  <si>
    <t>B-216480</t>
  </si>
  <si>
    <t>BBR-112-2.00gm-22KT-YG-4.5"</t>
  </si>
  <si>
    <t>B-216481</t>
  </si>
  <si>
    <t>BBR-019-2.00gm-22KT-YG-NA</t>
  </si>
  <si>
    <t>B-216482</t>
  </si>
  <si>
    <t>BBR-018-2.00gm-22KT-YG-NA</t>
  </si>
  <si>
    <t>B-216483</t>
  </si>
  <si>
    <t>BBR-056-2.00gm-22KT-YG-NA</t>
  </si>
  <si>
    <t>B-216484</t>
  </si>
  <si>
    <t>BBR-024-2.00gm-22KT-YG-4.5"</t>
  </si>
  <si>
    <t>B-216485</t>
  </si>
  <si>
    <t>BBR-108-3.600gm-22KT-YG-4.5"</t>
  </si>
  <si>
    <t>B-216486</t>
  </si>
  <si>
    <t>BBR-027-2.00gm-22KT-YG-NA</t>
  </si>
  <si>
    <t>B-216487</t>
  </si>
  <si>
    <t>BBR-001-1.46GM-22KT-YG-4.5"</t>
  </si>
  <si>
    <t>B-216488</t>
  </si>
  <si>
    <t>IHG-1311251-CS</t>
  </si>
  <si>
    <t>IFO-057-32.50gm-18KT-RG-MS</t>
  </si>
  <si>
    <t>B-216629</t>
  </si>
  <si>
    <t>CR-M-098/3 (ONLY 750)</t>
  </si>
  <si>
    <t>27RPRB2C-PENTAGON-6GM-ICE-PAVE-RP-6.50gm-18KT-RG-MS</t>
  </si>
  <si>
    <t>B-216521</t>
  </si>
  <si>
    <t>IFO-075-54.5gm-18KT-RG-MS</t>
  </si>
  <si>
    <t>CR-M-097/1-(ONLY 916)</t>
  </si>
  <si>
    <t>ASPB039Y-8gm-22KT-YG-MS</t>
  </si>
  <si>
    <t>B-216527</t>
  </si>
  <si>
    <t>IHG-1311255-CS</t>
  </si>
  <si>
    <t>IFO-200-23.5gm-18KT-RG-MS</t>
  </si>
  <si>
    <t>B-216697</t>
  </si>
  <si>
    <t>B-216698</t>
  </si>
  <si>
    <t>B-216699</t>
  </si>
  <si>
    <t>IHG-1311256-CS</t>
  </si>
  <si>
    <t>IFO-212-37.5gm-18KT-RG-MS</t>
  </si>
  <si>
    <t>B-216682</t>
  </si>
  <si>
    <t>B-216683</t>
  </si>
  <si>
    <t>BBR-115-2.00gm-22KT-YG-4.5"</t>
  </si>
  <si>
    <t>B-216462</t>
  </si>
  <si>
    <t>BBR-116-2.00gm-22KT-YG-4.5"</t>
  </si>
  <si>
    <t>B-216464</t>
  </si>
  <si>
    <t>BBR-106-2.00gm-22KT-YG-4.5"</t>
  </si>
  <si>
    <t>B-216467</t>
  </si>
  <si>
    <t>BBR-119-2.00gm-22KT-YG-4.5"</t>
  </si>
  <si>
    <t>B-216468</t>
  </si>
  <si>
    <t>NPD-TRAIL-PCS</t>
  </si>
  <si>
    <t>B-216498</t>
  </si>
  <si>
    <t>IHG-1311259-CS</t>
  </si>
  <si>
    <t>IFO-116-48gm-18KT-RG-MS</t>
  </si>
  <si>
    <t>B-216708</t>
  </si>
  <si>
    <t>AJ-10307-.ST</t>
  </si>
  <si>
    <t>22-VN-K-075YW-20gm-22KT-YG-MS</t>
  </si>
  <si>
    <t>B-216630</t>
  </si>
  <si>
    <t>22-VN-K-076YW-14gm-22KT-YG-MS</t>
  </si>
  <si>
    <t>B-216631</t>
  </si>
  <si>
    <t>22-VN-K-074YW-12gm-22KT-YG-MS</t>
  </si>
  <si>
    <t>B-216632</t>
  </si>
  <si>
    <t>RC-20370-CS</t>
  </si>
  <si>
    <t>ASDKY382Y-8gm-22KT-YG-MS</t>
  </si>
  <si>
    <t>B-216634</t>
  </si>
  <si>
    <t>CR-M-097 (ONLY-916)</t>
  </si>
  <si>
    <t>22-AS340T-9gm-22KT-YG-MS</t>
  </si>
  <si>
    <t>B-216526</t>
  </si>
  <si>
    <t>SURESH SIR-NPD ORD-TRAIL PCS-A</t>
  </si>
  <si>
    <t>BRACELET-15gm-18KT-RG-MS</t>
  </si>
  <si>
    <t>B-216417</t>
  </si>
  <si>
    <t>ADITYA BIRLA-CR-AB-1155</t>
  </si>
  <si>
    <t>CUBR23514-13MM-20gm-22KT-YG-7.5"</t>
  </si>
  <si>
    <t>B-216421</t>
  </si>
  <si>
    <t>CR-M-096/9-(ONLY 916)</t>
  </si>
  <si>
    <t>INIT-084-17gm-22KT-YG-MS</t>
  </si>
  <si>
    <t>B-216500</t>
  </si>
  <si>
    <t>B-216428/1</t>
  </si>
  <si>
    <t>ONKS25148A-12.50gm-22KT-YG-8"</t>
  </si>
  <si>
    <t>ONKS25149A-19.00 GM-22KT-YG-8</t>
  </si>
  <si>
    <t>B-216434/1</t>
  </si>
  <si>
    <t>RC-20373-CS</t>
  </si>
  <si>
    <t>INIT-046-15gm-22KT-YG-ROLL</t>
  </si>
  <si>
    <t>SR-32460/1</t>
  </si>
  <si>
    <t>INIT-046-10gm-22KT-YG-ROLL</t>
  </si>
  <si>
    <t>B-217924</t>
  </si>
  <si>
    <t>B-217925</t>
  </si>
  <si>
    <t>IHG-1311254-CS</t>
  </si>
  <si>
    <t>IFO-064-25.5gm-18KT-RG-MS</t>
  </si>
  <si>
    <t>B-216700</t>
  </si>
  <si>
    <t>B-216701</t>
  </si>
  <si>
    <t>IHG-1311258-CS</t>
  </si>
  <si>
    <t>IFO-202-22.50gm-18KT-RG-MS</t>
  </si>
  <si>
    <t>B-216707</t>
  </si>
  <si>
    <t>CR-M-097/2 (ONLY 916)</t>
  </si>
  <si>
    <t>MVRC-091-17.5gm-22KT-YG-MS</t>
  </si>
  <si>
    <t>B-216528</t>
  </si>
  <si>
    <t>CR-M-097/3 (ONLY-916)</t>
  </si>
  <si>
    <t>22-AS339YW-6gm-22KT-YG-MS</t>
  </si>
  <si>
    <t>B-216529</t>
  </si>
  <si>
    <t>CR-M-096/4  (ONLY 916)</t>
  </si>
  <si>
    <t>INITFC-012-25gm-22KT-YG-ROLL</t>
  </si>
  <si>
    <t>SR-32388</t>
  </si>
  <si>
    <t>B-216504</t>
  </si>
  <si>
    <t>IHG-1311252-CS</t>
  </si>
  <si>
    <t>IFO-210-36gm-18KT-RG-MS</t>
  </si>
  <si>
    <t>B-216660</t>
  </si>
  <si>
    <t>B-216661</t>
  </si>
  <si>
    <t>B-216662</t>
  </si>
  <si>
    <t>IHG-1311253-CS</t>
  </si>
  <si>
    <t>B-216702</t>
  </si>
  <si>
    <t>B-216703</t>
  </si>
  <si>
    <t>B-216704</t>
  </si>
  <si>
    <t>B-216705</t>
  </si>
  <si>
    <t>B-216706</t>
  </si>
  <si>
    <t>IGP25140-12.00 GM-22KT-YG-NA.</t>
  </si>
  <si>
    <t>SR-32600</t>
  </si>
  <si>
    <t>B-216441</t>
  </si>
  <si>
    <t>IGP25135-12.00 GM-22KT-YG-NA.</t>
  </si>
  <si>
    <t>B-216444</t>
  </si>
  <si>
    <t>IGP25625-6.00 GM-22KT-YG-NA.</t>
  </si>
  <si>
    <t>SR-32568/1</t>
  </si>
  <si>
    <t>B-216445</t>
  </si>
  <si>
    <t>IGP25630-10.00 GM-22KT-YG-NA.</t>
  </si>
  <si>
    <t>B-216446</t>
  </si>
  <si>
    <t>IGP25137-10.00 GM-22KT-YG-NA.</t>
  </si>
  <si>
    <t>B-216447</t>
  </si>
  <si>
    <t>IGP25129-11.00 GM-22KT-YG-NA.</t>
  </si>
  <si>
    <t>B-216449</t>
  </si>
  <si>
    <t>IGP25119-12.00 GM-22KT-YG-NA.</t>
  </si>
  <si>
    <t>B-216451</t>
  </si>
  <si>
    <t>IGP25118-13.00 GM-22KT-YG-NA.</t>
  </si>
  <si>
    <t>B-216454</t>
  </si>
  <si>
    <t>IGP25615-8.00 GM-22KT-YG-NA.</t>
  </si>
  <si>
    <t>B-216456</t>
  </si>
  <si>
    <t>IGP25132-15.00 GM-22KT-YG-NA.</t>
  </si>
  <si>
    <t>B-216457</t>
  </si>
  <si>
    <t>IGP25629-8.00 GM-22KT-YG-NA.</t>
  </si>
  <si>
    <t>B-216458</t>
  </si>
  <si>
    <t>IGP25123-15.00 GM-22KT-YG-NA.</t>
  </si>
  <si>
    <t>B-216460</t>
  </si>
  <si>
    <t>IGP25116-16.00 GM-22KT-YG-NA.</t>
  </si>
  <si>
    <t>B-216461</t>
  </si>
  <si>
    <t>IHG-13112510-CS</t>
  </si>
  <si>
    <t>IFO-130-1-25.5gm-18KT-RG-MS</t>
  </si>
  <si>
    <t>B-216709</t>
  </si>
  <si>
    <t>B-216710</t>
  </si>
  <si>
    <t>B-216711</t>
  </si>
  <si>
    <t>ICH23945-15.50gm-18KT-RG-20"</t>
  </si>
  <si>
    <t>HL-Rope-MachineWk</t>
  </si>
  <si>
    <t>RC-10803-CS (RELIANCE)-(ONLY-916)</t>
  </si>
  <si>
    <t>SR-32782</t>
  </si>
  <si>
    <t>SR-32782/1</t>
  </si>
  <si>
    <t>B-221509/2</t>
  </si>
  <si>
    <t>SR-32790</t>
  </si>
  <si>
    <t>B-215267/1/1/1/1/1/1/1/1/1/1/1/1/1/1/1/1/1/1/1/1/1/1/1/1/1/1/1/1</t>
  </si>
  <si>
    <t>SR-32312/3</t>
  </si>
  <si>
    <t>B-221505/3</t>
  </si>
  <si>
    <t>B-216113/1</t>
  </si>
  <si>
    <t>B-216117/1</t>
  </si>
  <si>
    <t>B-215940/1</t>
  </si>
  <si>
    <t>KANAKRATNA-STOCK</t>
  </si>
  <si>
    <t>K-CH-062-2.50gm-18KT-YG-16"</t>
  </si>
  <si>
    <t>SR-32428</t>
  </si>
  <si>
    <t>B-217514</t>
  </si>
  <si>
    <t>K-CH-020-3.00gm-18KT-RG-16"</t>
  </si>
  <si>
    <t>SR-32421</t>
  </si>
  <si>
    <t>B-217515</t>
  </si>
  <si>
    <t>EK-CH-011-4.200G-18KT-YG-16"</t>
  </si>
  <si>
    <t>SR-32422</t>
  </si>
  <si>
    <t>B-217516</t>
  </si>
  <si>
    <t>K-CH-010-2.00gm-18KT-YG-16"</t>
  </si>
  <si>
    <t>B-217517</t>
  </si>
  <si>
    <t>EK-CH-004-4.200G-18KT-YG-16"</t>
  </si>
  <si>
    <t>B-217518</t>
  </si>
  <si>
    <t>EK-CH-003-4.200G-18KT-RG-16"</t>
  </si>
  <si>
    <t>SR-32419</t>
  </si>
  <si>
    <t>B-217519</t>
  </si>
  <si>
    <t>K-CH-059-3.070gm-18KT-YG-16"</t>
  </si>
  <si>
    <t>B-217520</t>
  </si>
  <si>
    <t>K-CH-010-2.00gm-18KT-RG-16"</t>
  </si>
  <si>
    <t>B-217521</t>
  </si>
  <si>
    <t>K-CH-055-2.50gm-18KT-RG-16"</t>
  </si>
  <si>
    <t>B-217522</t>
  </si>
  <si>
    <t>K-CH-008-3.300G-18KT-YG-16"</t>
  </si>
  <si>
    <t>B-217523</t>
  </si>
  <si>
    <t>K-CH-003-3.00gm-18KT-YG-16"</t>
  </si>
  <si>
    <t>B-217524</t>
  </si>
  <si>
    <t>K-CH-023-3.00gm-18KT-RG-16"</t>
  </si>
  <si>
    <t>B-217525</t>
  </si>
  <si>
    <t>K-CH-060-2.50gm-18KT-RG-16"</t>
  </si>
  <si>
    <t>B-217526</t>
  </si>
  <si>
    <t>EK-CH-002-4.200G-18KT-YG-16"</t>
  </si>
  <si>
    <t>B-217527</t>
  </si>
  <si>
    <t>EK-CH-005-4.200G-18KT-YG-16"</t>
  </si>
  <si>
    <t>B-217528</t>
  </si>
  <si>
    <t>K-CH-051-2.65GMS-18KT-YG-16"</t>
  </si>
  <si>
    <t>B-217530</t>
  </si>
  <si>
    <t>K-CH-059-3.070gm-18KT-RG-16"</t>
  </si>
  <si>
    <t>B-217531</t>
  </si>
  <si>
    <t>EK-CH-004-4.200G-18KT-RG-16"</t>
  </si>
  <si>
    <t>B-217532</t>
  </si>
  <si>
    <t>K-CH-063-2.00gm-18KT-YG-16"</t>
  </si>
  <si>
    <t>B-217533</t>
  </si>
  <si>
    <t>EK-CH-009-4.72GM-18KT-YG-16"</t>
  </si>
  <si>
    <t>B-217534</t>
  </si>
  <si>
    <t>EK-CH-010-4.400gm-18KT-YG-16"</t>
  </si>
  <si>
    <t>B-217535</t>
  </si>
  <si>
    <t>K-CH-008-3.300G-18KT-RG-16"</t>
  </si>
  <si>
    <t>B-217536</t>
  </si>
  <si>
    <t>K-CH-057-2.50gm-18KT-RG-16"</t>
  </si>
  <si>
    <t>B-217537</t>
  </si>
  <si>
    <t>K-CH-060-2.50gm-18KT-YG-16"</t>
  </si>
  <si>
    <t>B-217538</t>
  </si>
  <si>
    <t>K-CH-063-2.00gm-18KT-RG-16"</t>
  </si>
  <si>
    <t>B-217539</t>
  </si>
  <si>
    <t>EK-CH-009-4.72GM-18KT-RG-16"</t>
  </si>
  <si>
    <t>B-217540</t>
  </si>
  <si>
    <t>K-CH-062-2.50gm-18KT-RG-16"</t>
  </si>
  <si>
    <t>B-217541</t>
  </si>
  <si>
    <t>K-CH-029-2.50gm-18KT-YG-16"</t>
  </si>
  <si>
    <t>B-217542</t>
  </si>
  <si>
    <t>EK-CH-006-4.200G-18KT-YG-16"</t>
  </si>
  <si>
    <t>B-217543</t>
  </si>
  <si>
    <t>K-CH-051-2.65GMS-18KT-RG-16"</t>
  </si>
  <si>
    <t>B-217544</t>
  </si>
  <si>
    <t>EK-CH-011-4.200G-18KT-RG-16"</t>
  </si>
  <si>
    <t>B-217545</t>
  </si>
  <si>
    <t>EK-CH-008-4.200G-18KT-YG-16"</t>
  </si>
  <si>
    <t>B-217546</t>
  </si>
  <si>
    <t>EK-CH-003-4.200G-18KT-YG-16"</t>
  </si>
  <si>
    <t>B-217547</t>
  </si>
  <si>
    <t>K-CH-029-2.50gm-18KT-RG-16"</t>
  </si>
  <si>
    <t>B-217548</t>
  </si>
  <si>
    <t>EK-CH-001-4.200G-18KT-YG-16"</t>
  </si>
  <si>
    <t>B-217549</t>
  </si>
  <si>
    <t>K-CH-042-2.50gm-18KT-YG-16"</t>
  </si>
  <si>
    <t>B-217550</t>
  </si>
  <si>
    <t>K-CH-003-3.00gm-18KT-RG-16"</t>
  </si>
  <si>
    <t>B-217551</t>
  </si>
  <si>
    <t>EK-CH-008-4.200G-18KT-RG-16"</t>
  </si>
  <si>
    <t>B-217552</t>
  </si>
  <si>
    <t>K-CH-006-2.80GM-18KT-YG-16"</t>
  </si>
  <si>
    <t>B-217553</t>
  </si>
  <si>
    <t>K-CH-002-2.50gm-18KT-RG-16"</t>
  </si>
  <si>
    <t>B-217554</t>
  </si>
  <si>
    <t>K-CH-027-4.50gm-18KT-YG-16"</t>
  </si>
  <si>
    <t>B-217556</t>
  </si>
  <si>
    <t>K-CH-020-3.00gm-18KT-YG-16"</t>
  </si>
  <si>
    <t>B-217557</t>
  </si>
  <si>
    <t>EK-CH-002-4.200G-18KT-RG-16"</t>
  </si>
  <si>
    <t>B-217558</t>
  </si>
  <si>
    <t>K-CH-002-2.50gm-18KT-YG-16"</t>
  </si>
  <si>
    <t>B-217559</t>
  </si>
  <si>
    <t>EK-CH-006-4.200G-18KT-RG-16"</t>
  </si>
  <si>
    <t>B-217560</t>
  </si>
  <si>
    <t>K-CH-061-3.180G-18KT-YG-16"</t>
  </si>
  <si>
    <t>B-217561</t>
  </si>
  <si>
    <t>CR-AB-1008 (NO-STAMP)</t>
  </si>
  <si>
    <t>MENS-060-5gm-18KT-RG-ROLL</t>
  </si>
  <si>
    <t>SR-32509</t>
  </si>
  <si>
    <t>B-218870</t>
  </si>
  <si>
    <t>B-218871</t>
  </si>
  <si>
    <t>RC-20374-CS</t>
  </si>
  <si>
    <t>JT-NPD-3-1gm-22KT-YG-MS</t>
  </si>
  <si>
    <t>B-217668</t>
  </si>
  <si>
    <t>RC-20375-CS</t>
  </si>
  <si>
    <t>JT-NPD-2-1gm-22KT-YG-MS</t>
  </si>
  <si>
    <t>B-217667</t>
  </si>
  <si>
    <t>CR-AB-1008/3 (NO-STAMP)</t>
  </si>
  <si>
    <t>MENS-002-7gm-18KT-RG-ROLL</t>
  </si>
  <si>
    <t>B-218872</t>
  </si>
  <si>
    <t>CR-AB-1008/4 (NO-STAMP)</t>
  </si>
  <si>
    <t>MENS-156-15.50gm-18KT-RG-ROLL</t>
  </si>
  <si>
    <t>B-218873</t>
  </si>
  <si>
    <t>CR-AB-1008/2 (NO-STAMP)</t>
  </si>
  <si>
    <t>MENS-035-22gm-18KT-RG-ROLL</t>
  </si>
  <si>
    <t>B-218874</t>
  </si>
  <si>
    <t>MENS-035-17gm-18KT-RG-ROLL</t>
  </si>
  <si>
    <t>B-218875</t>
  </si>
  <si>
    <t>KANAK RATNA-STOCK-</t>
  </si>
  <si>
    <t>B-217592</t>
  </si>
  <si>
    <t>B-217595</t>
  </si>
  <si>
    <t>B-217597</t>
  </si>
  <si>
    <t>B-217600</t>
  </si>
  <si>
    <t>B-217601</t>
  </si>
  <si>
    <t>B-217605</t>
  </si>
  <si>
    <t>B-217606</t>
  </si>
  <si>
    <t>B-217611</t>
  </si>
  <si>
    <t>B-217612</t>
  </si>
  <si>
    <t>B-217613</t>
  </si>
  <si>
    <t>B-217617</t>
  </si>
  <si>
    <t>B-217618</t>
  </si>
  <si>
    <t>K-CH-057-2.50gm-18KT-YG-16"</t>
  </si>
  <si>
    <t>B-217622</t>
  </si>
  <si>
    <t>B-217623</t>
  </si>
  <si>
    <t>B-217625</t>
  </si>
  <si>
    <t>B-217626</t>
  </si>
  <si>
    <t>K-CH-055-2.50gm-18KT-YG-16"</t>
  </si>
  <si>
    <t>B-217627</t>
  </si>
  <si>
    <t>CR-AB-1008/1 (NO-STAMP)</t>
  </si>
  <si>
    <t>B-218878</t>
  </si>
  <si>
    <t>CR-AB-1008/6 (NO-STAMP)</t>
  </si>
  <si>
    <t>SR-32509/1</t>
  </si>
  <si>
    <t>B-218869</t>
  </si>
  <si>
    <t>RC-20332-CS</t>
  </si>
  <si>
    <t>AQUA-STOCK1511</t>
  </si>
  <si>
    <t>VED-ER-251756-5gm-18KT-RG-NA.</t>
  </si>
  <si>
    <t>B-217644</t>
  </si>
  <si>
    <t>VED-ER-251755-3.00gm-18KT-RG-NA.</t>
  </si>
  <si>
    <t>B-217645</t>
  </si>
  <si>
    <t>VED-ER-251390-6.50gm-18KT-RG-NA.</t>
  </si>
  <si>
    <t>B-217646</t>
  </si>
  <si>
    <t>VED-ER-251391-5gm-18KT-RG-NA.</t>
  </si>
  <si>
    <t>B-217647</t>
  </si>
  <si>
    <t>VED-ER-251751-3.00gm-18KT-RG-NA.</t>
  </si>
  <si>
    <t>B-217648</t>
  </si>
  <si>
    <t>VED-ER-251519-4gm-18KT-RG-NA.</t>
  </si>
  <si>
    <t>B-217649</t>
  </si>
  <si>
    <t>YP20R3AI30GS-30CABL-YG+2.0-BAREL-WG-CHEKS-PAVE-R15-3.00gm-22KT-YG-MS</t>
  </si>
  <si>
    <t>B-217666</t>
  </si>
  <si>
    <t>IHG-1511251-CS</t>
  </si>
  <si>
    <t>B-217660</t>
  </si>
  <si>
    <t>ARK/1511/2 (CORPORATE ORDER)</t>
  </si>
  <si>
    <t>INIT-210-16gm-22KT-YG-ROLL</t>
  </si>
  <si>
    <t>B-217945</t>
  </si>
  <si>
    <t>RC-20482-CS</t>
  </si>
  <si>
    <t>RC-10791-VAAMA MGM-(ONLY916)</t>
  </si>
  <si>
    <t>22-AS394Y-5gm-22KT-YG-MS</t>
  </si>
  <si>
    <t>B-217904</t>
  </si>
  <si>
    <t>22-AS384T-6gm-22KT-YG-MS</t>
  </si>
  <si>
    <t>22-AS395T-6.50gm-22KT-YG-MS</t>
  </si>
  <si>
    <t>B-217906</t>
  </si>
  <si>
    <t>22-AS397Y-7.50gm-22KT-YG-MS</t>
  </si>
  <si>
    <t>B-217907</t>
  </si>
  <si>
    <t>22-AS398YW-8gm-22KT-YG-MS</t>
  </si>
  <si>
    <t>B-217908</t>
  </si>
  <si>
    <t>ASPB078Y-7gm-22KT-YG-MS</t>
  </si>
  <si>
    <t>B-217909</t>
  </si>
  <si>
    <t>PHOTOGRAPHY-10791</t>
  </si>
  <si>
    <t>B-217896</t>
  </si>
  <si>
    <t>B-217897</t>
  </si>
  <si>
    <t>B-217898</t>
  </si>
  <si>
    <t>B-217899</t>
  </si>
  <si>
    <t>B-217900</t>
  </si>
  <si>
    <t>B-217901</t>
  </si>
  <si>
    <t>B-217902</t>
  </si>
  <si>
    <t>HM-SILKY-ROPE-CHAIN-20gm-22KT-YG-20"</t>
  </si>
  <si>
    <t>B-217890</t>
  </si>
  <si>
    <t>RC-9292-ST (SAMPLE)</t>
  </si>
  <si>
    <t>INDO-004-E-31gm-22KT-YG-MS</t>
  </si>
  <si>
    <t>B-218882</t>
  </si>
  <si>
    <t>INDO-004-D-21gm-22KT-YG-MS</t>
  </si>
  <si>
    <t>B-218883</t>
  </si>
  <si>
    <t>INDO-004-B-14gm-22KT-YG-MS</t>
  </si>
  <si>
    <t>B-218884</t>
  </si>
  <si>
    <t>INDO-004-F-45gm-22KT-YG-MS</t>
  </si>
  <si>
    <t>B-218885</t>
  </si>
  <si>
    <t>INDO-004-A-11.50gm-22KT-YG-MS</t>
  </si>
  <si>
    <t>B-218886</t>
  </si>
  <si>
    <t>CR-AB-1008/5 (NO-STAMP)</t>
  </si>
  <si>
    <t>MENS-155-7gm-18KT-RG-ROLL</t>
  </si>
  <si>
    <t>B-218876</t>
  </si>
  <si>
    <t>B-218877</t>
  </si>
  <si>
    <t>INIT-118-10gm-22KT-YG-ROLL</t>
  </si>
  <si>
    <t>B-217934</t>
  </si>
  <si>
    <t>22-IMA031T-5gm-22KT-YG-MS</t>
  </si>
  <si>
    <t>B-217653</t>
  </si>
  <si>
    <t>22-IMB008T-15gm-22KT-YG-MS</t>
  </si>
  <si>
    <t>B-217654</t>
  </si>
  <si>
    <t>22-IMB041T-11.50gm-22KT-YG-MS</t>
  </si>
  <si>
    <t>B-217656</t>
  </si>
  <si>
    <t>RC-20393/CUST/ORD</t>
  </si>
  <si>
    <t>ICH25238-X-26.00 GM-22KT-YG-24</t>
  </si>
  <si>
    <t>B-217584</t>
  </si>
  <si>
    <t>IHG-1411254-CS</t>
  </si>
  <si>
    <t>IFO-234-20gm-18KT-RG-MS</t>
  </si>
  <si>
    <t>B-217658</t>
  </si>
  <si>
    <t>B-217659</t>
  </si>
  <si>
    <t>RC-2783-CS</t>
  </si>
  <si>
    <t>RPA25S5C-25CABLE-NO-CUT-RG-SIMLA-2+2-SPIRAL-WG-3.00gm-18KT-RG-MS</t>
  </si>
  <si>
    <t>B-218065</t>
  </si>
  <si>
    <t>YPA25S5C-25CABLE-NO-CUT-YG-SIMLA-2+2-SPIRAL-WG-3.00gm-18KT-YG-MS</t>
  </si>
  <si>
    <t>B-218066</t>
  </si>
  <si>
    <t>ROSARIO-STRIP-MIX-NA-18KT-WG-NA</t>
  </si>
  <si>
    <t>B-218067</t>
  </si>
  <si>
    <t>SR-SOR-EXT-80169</t>
  </si>
  <si>
    <t>RPA25S2C-25CABLE-NO-CUT-RG-SIMLA-1+1-SPIRAL-WG-3.00gm-18KT-RG-ROLL</t>
  </si>
  <si>
    <t>SR-32402/6</t>
  </si>
  <si>
    <t>B-216716</t>
  </si>
  <si>
    <t>SR-SOR-EXT-80398</t>
  </si>
  <si>
    <t>27RPRB2C-PENTAGON-6GM-ICE-PAVE-RP-6.50gm-18KT-RG-ROLL</t>
  </si>
  <si>
    <t>B-216945</t>
  </si>
  <si>
    <t>SR-SOR-EXT-80681</t>
  </si>
  <si>
    <t>25B2EL1AC-2.5MM-BALL+OVAL-ALT-MOON-1+1-WHITE-RH-9gm-18KT-RG-ROLL</t>
  </si>
  <si>
    <t>B-217228</t>
  </si>
  <si>
    <t>K-CH-006-2.80GM-18KT-RG-16"</t>
  </si>
  <si>
    <t>B-217504</t>
  </si>
  <si>
    <t>EK-CH-001-4.200G-18KT-RG-16"</t>
  </si>
  <si>
    <t>B-217505</t>
  </si>
  <si>
    <t>B-217506</t>
  </si>
  <si>
    <t>K-CH-042-2.50gm-18KT-RG-16"</t>
  </si>
  <si>
    <t>B-217507</t>
  </si>
  <si>
    <t>EK-CH-010-4.400gm-18KT-RG-16"</t>
  </si>
  <si>
    <t>B-217508</t>
  </si>
  <si>
    <t>K-CH-027-3.00gm-18KT-RG-16"</t>
  </si>
  <si>
    <t>B-217509</t>
  </si>
  <si>
    <t>B-217511</t>
  </si>
  <si>
    <t>EK-CH-005-4.200G-18KT-RG-16"</t>
  </si>
  <si>
    <t>B-217512</t>
  </si>
  <si>
    <t>K-CH-061-3.180G-18KT-RG-16"</t>
  </si>
  <si>
    <t>B-217513</t>
  </si>
  <si>
    <t>AALISHAN/ORD/10330</t>
  </si>
  <si>
    <t>RC-20464/1/CUST/ORD</t>
  </si>
  <si>
    <t>RC-10794-VAAMA MGM-A (ONLY916)</t>
  </si>
  <si>
    <t>SR-32782/2</t>
  </si>
  <si>
    <t>B-222094/3</t>
  </si>
  <si>
    <t>SR-32876</t>
  </si>
  <si>
    <t>B-215267/1/1/1/1/1/1/1/1/1/1/1/1/1/1/1/1/1/1/1/1/1/1/1/1/1/1/1/1/1/1/1/1/1/1/1</t>
  </si>
  <si>
    <t>SR-32875</t>
  </si>
  <si>
    <t>B-215267/1/1/1/1/1/1/1/1/1/1/1/1/1/1/1/1/1/1/1/1/1/1/1/1/1/1/1/1/1/1/1/1/1/1</t>
  </si>
  <si>
    <t>SR-32509/3</t>
  </si>
  <si>
    <t>SR-32509/2</t>
  </si>
  <si>
    <t>B-221898/1</t>
  </si>
  <si>
    <t>SR-32509/1/1</t>
  </si>
  <si>
    <t>B-221901/1</t>
  </si>
  <si>
    <t>SR-32464/4</t>
  </si>
  <si>
    <t>SR-32460/2/1</t>
  </si>
  <si>
    <t>SR-32874</t>
  </si>
  <si>
    <t>CUCH24662M12-50.00 GM-22KT-YG-20</t>
  </si>
  <si>
    <t>LOK-22-ASSEMBLY-ROOM-8-2F-B</t>
  </si>
  <si>
    <t>RCM-629-ST (MANISH SUTHAR)</t>
  </si>
  <si>
    <t>ILM054-SPARK-CHAIN-10gm-18KT-YG-MS</t>
  </si>
  <si>
    <t>B-218851</t>
  </si>
  <si>
    <t>SR-32736/1</t>
  </si>
  <si>
    <t>B-222130/2</t>
  </si>
  <si>
    <t>SR-32592/2</t>
  </si>
  <si>
    <t>B-222357/3</t>
  </si>
  <si>
    <t>SR-32592/3</t>
  </si>
  <si>
    <t>B-222398/4</t>
  </si>
  <si>
    <t>B-220243/1</t>
  </si>
  <si>
    <t>SR-32915</t>
  </si>
  <si>
    <t>SR-32509/5</t>
  </si>
  <si>
    <t>B-222436/1</t>
  </si>
  <si>
    <t>SR-32509/4/1</t>
  </si>
  <si>
    <t>SR-32509/3/1</t>
  </si>
  <si>
    <t>B-222437/1</t>
  </si>
  <si>
    <t>SR-32509/4</t>
  </si>
  <si>
    <t>SR-32509/1/2</t>
  </si>
  <si>
    <t>B-222194/2</t>
  </si>
  <si>
    <t>RC-2792-CS</t>
  </si>
  <si>
    <t>15B5DL1-1.5MM-BALL+BARREL-CHAIN-MOON-CUT-PAVE-4gm-18KT-RG-MS</t>
  </si>
  <si>
    <t>B-218068</t>
  </si>
  <si>
    <t>AALISHAN -STOCK-ORD-10329</t>
  </si>
  <si>
    <t>SBRL-054-12.50gm-22KT-YG-7"</t>
  </si>
  <si>
    <t>SR-32456</t>
  </si>
  <si>
    <t>B-217850</t>
  </si>
  <si>
    <t>SBRL-051-8gm-22KT-YG-7"</t>
  </si>
  <si>
    <t>B-217851</t>
  </si>
  <si>
    <t>SBRL-052-8gm-22KT-YG-7"</t>
  </si>
  <si>
    <t>B-217854</t>
  </si>
  <si>
    <t>SBRL-048-8gm-22KT-YG-7"</t>
  </si>
  <si>
    <t>B-217857</t>
  </si>
  <si>
    <t>SBRL-046-11gm-22KT-YG-7"</t>
  </si>
  <si>
    <t>B-217858</t>
  </si>
  <si>
    <t>SBRL-042-8gm-22KT-YG-7"</t>
  </si>
  <si>
    <t>B-217860</t>
  </si>
  <si>
    <t>SBRL-053-8gm-22KT-YG-7"</t>
  </si>
  <si>
    <t>B-217861</t>
  </si>
  <si>
    <t>SBRL-043-8gm-22KT-YG-7"</t>
  </si>
  <si>
    <t>B-217862</t>
  </si>
  <si>
    <t>SBRL-055-8gm-22KT-YG-7"</t>
  </si>
  <si>
    <t>B-217863</t>
  </si>
  <si>
    <t>SBRL-045-3.50gm-22KT-YG-7"</t>
  </si>
  <si>
    <t>B-217868</t>
  </si>
  <si>
    <t>SBRL-039-12gm-22KT-YG-7"</t>
  </si>
  <si>
    <t>B-217869</t>
  </si>
  <si>
    <t>SBRL-036-9gm-22KT-YG-7"</t>
  </si>
  <si>
    <t>B-217870</t>
  </si>
  <si>
    <t>SBRL-038-8gm-22KT-YG-7"</t>
  </si>
  <si>
    <t>B-217871</t>
  </si>
  <si>
    <t>SBRL-049-30gm-22KT-YG-7"</t>
  </si>
  <si>
    <t>B-217873</t>
  </si>
  <si>
    <t>SBRL-057-12gm-22KT-YG-7"</t>
  </si>
  <si>
    <t>B-217874</t>
  </si>
  <si>
    <t>SBRL-041-12gm-22KT-YG-7"</t>
  </si>
  <si>
    <t>B-217876</t>
  </si>
  <si>
    <t>SBRL-040-7gm-22KT-YG-7"</t>
  </si>
  <si>
    <t>B-217877</t>
  </si>
  <si>
    <t>SBRL-035-9gm-22KT-YG-7"</t>
  </si>
  <si>
    <t>B-217879</t>
  </si>
  <si>
    <t>SBRL-034-10gm-22KT-YG-7"</t>
  </si>
  <si>
    <t>B-217880</t>
  </si>
  <si>
    <t>SBRL-056-8.50gm-22KT-YG-7"</t>
  </si>
  <si>
    <t>B-217882</t>
  </si>
  <si>
    <t>RC-2793-CS</t>
  </si>
  <si>
    <t>20B1DL1AC-2MM-BALLCHAIN-ALT-MOON-CUT-PAVE-6gm-18KT-RG-MS</t>
  </si>
  <si>
    <t>B-218064</t>
  </si>
  <si>
    <t>RC-2786/CUST/ORD</t>
  </si>
  <si>
    <t>B-217893</t>
  </si>
  <si>
    <t>RC-20429/CUST/ORD-1</t>
  </si>
  <si>
    <t>CUCH24662M8-30gm-22KT-YG-19''</t>
  </si>
  <si>
    <t>B-217911</t>
  </si>
  <si>
    <t>ARK/1711/SAMPLE DOKYA ORDER</t>
  </si>
  <si>
    <t>ASDKY453YW-10.5gm-22KT-YG-MS</t>
  </si>
  <si>
    <t>B-218072</t>
  </si>
  <si>
    <t>ASDKY452YW-10.5gm-22KT-YG-MS</t>
  </si>
  <si>
    <t>B-218073</t>
  </si>
  <si>
    <t>ASDKY457Y-9gm-22KT-YG-MS</t>
  </si>
  <si>
    <t>B-218074</t>
  </si>
  <si>
    <t>ASDKY451YW-10.5gm-22KT-YG-MS</t>
  </si>
  <si>
    <t>B-218075</t>
  </si>
  <si>
    <t>ASDKY458Y-8gm-22KT-YG-MS</t>
  </si>
  <si>
    <t>B-218076</t>
  </si>
  <si>
    <t>ASDKY456YW-8.50gm-22KT-YG-MS</t>
  </si>
  <si>
    <t>B-218077</t>
  </si>
  <si>
    <t>ASDKY454YW-8.50gm-22KT-YG-MS</t>
  </si>
  <si>
    <t>B-218078</t>
  </si>
  <si>
    <t>ASDKY459Y-8.50gm-22KT-YG-MS</t>
  </si>
  <si>
    <t>B-218079</t>
  </si>
  <si>
    <t>ASDKY455YW-8.50gm-22KT-YG-MS</t>
  </si>
  <si>
    <t>B-218080</t>
  </si>
  <si>
    <t>ASDKY432YW-9gm-22KT-YG-MS</t>
  </si>
  <si>
    <t>B-218043</t>
  </si>
  <si>
    <t>ASDKY434Y-9gm-22KT-YG-MS</t>
  </si>
  <si>
    <t>B-218044</t>
  </si>
  <si>
    <t>22-IMPP124Y-9.50gm-22KT-YG-MS</t>
  </si>
  <si>
    <t>B-218045</t>
  </si>
  <si>
    <t>22-AS023YW-10gm-22KT-YG-MS</t>
  </si>
  <si>
    <t>B-218046</t>
  </si>
  <si>
    <t>22-IMA039T-9gm-22KT-YG-MS</t>
  </si>
  <si>
    <t>B-218047</t>
  </si>
  <si>
    <t>22-IMPP072Y-24.5gm-22KT-YG-MS</t>
  </si>
  <si>
    <t>B-218048</t>
  </si>
  <si>
    <t>B-218050</t>
  </si>
  <si>
    <t>22-IMPP068Y-22gm-22KT-YG-MS</t>
  </si>
  <si>
    <t>B-218051</t>
  </si>
  <si>
    <t>ARK/1711/1 (CORPORATE ORDER)</t>
  </si>
  <si>
    <t>INDO-FANCY-MIX-NA-22KT-YG-NA</t>
  </si>
  <si>
    <t>SR-32464/2</t>
  </si>
  <si>
    <t>B-217943</t>
  </si>
  <si>
    <t>RC-20432/CUST/ORD</t>
  </si>
  <si>
    <t>B-217973</t>
  </si>
  <si>
    <t>RC-20468/1-CS</t>
  </si>
  <si>
    <t>22-AS034YW-7.50gm-22KT-YG-MS</t>
  </si>
  <si>
    <t>B-218081</t>
  </si>
  <si>
    <t>ICH4796M6A-50gm-22KT-YG-25"</t>
  </si>
  <si>
    <t>B-217971</t>
  </si>
  <si>
    <t>SR-32460/2/1/1</t>
  </si>
  <si>
    <t>B-222438/1</t>
  </si>
  <si>
    <t>RC-2791-CS</t>
  </si>
  <si>
    <t>18-IMBH096RW-1-9gm-18KT-RG-MS</t>
  </si>
  <si>
    <t>B-218062</t>
  </si>
  <si>
    <t>RC-2791-ST</t>
  </si>
  <si>
    <t>B-218061</t>
  </si>
  <si>
    <t>RC-2794-CS</t>
  </si>
  <si>
    <t>B-218058</t>
  </si>
  <si>
    <t>B-218059</t>
  </si>
  <si>
    <t>RC-20466-CS</t>
  </si>
  <si>
    <t>ASHS037Y-14gm-22KT-YG-MS</t>
  </si>
  <si>
    <t>B-218056</t>
  </si>
  <si>
    <t>RC-20468/2-CS</t>
  </si>
  <si>
    <t>22-AS105T-7gm-22KT-YG-MS</t>
  </si>
  <si>
    <t>B-218060</t>
  </si>
  <si>
    <t>RC-2794/1-CS</t>
  </si>
  <si>
    <t>MVRC-103-16.50gm-18KT-YG-MS</t>
  </si>
  <si>
    <t>B-218054</t>
  </si>
  <si>
    <t>B-218055</t>
  </si>
  <si>
    <t>TITAN -22KT ORD</t>
  </si>
  <si>
    <t>OLR252013-4gm-22KT-YG-R12</t>
  </si>
  <si>
    <t>SR-32566</t>
  </si>
  <si>
    <t>B-217992</t>
  </si>
  <si>
    <t>FCK-604YW-8.50gm-22KT-YG-2.4A</t>
  </si>
  <si>
    <t>B-217993</t>
  </si>
  <si>
    <t>OLR252017-3.00gm-22KT-YG-R12</t>
  </si>
  <si>
    <t>B-217994</t>
  </si>
  <si>
    <t>OLR252016-4gm-22KT-YG-R12</t>
  </si>
  <si>
    <t>B-217995</t>
  </si>
  <si>
    <t>OER252000-4.50gm-22KT-YG-NA</t>
  </si>
  <si>
    <t>B-217996</t>
  </si>
  <si>
    <t>B-217997</t>
  </si>
  <si>
    <t>FCK-603YW-8gm-22KT-YG-2.4A</t>
  </si>
  <si>
    <t>B-217998</t>
  </si>
  <si>
    <t>OER252003-3.50gm-22KT-YG-NA</t>
  </si>
  <si>
    <t>B-217999</t>
  </si>
  <si>
    <t>OLR252014-4gm-22KT-YG-R12</t>
  </si>
  <si>
    <t>B-218000</t>
  </si>
  <si>
    <t>FCK-608YW-8.50gm-22KT-YG-2.4A</t>
  </si>
  <si>
    <t>B-218001</t>
  </si>
  <si>
    <t>FCK-606YW-6.50gm-22KT-YG-2.4A</t>
  </si>
  <si>
    <t>B-218002</t>
  </si>
  <si>
    <t>OER252005-2.50gm-22KT-YG-NA</t>
  </si>
  <si>
    <t>SR-32567</t>
  </si>
  <si>
    <t>B-218003</t>
  </si>
  <si>
    <t>OER252002-2.50gm-22KT-YG-NA</t>
  </si>
  <si>
    <t>B-218004</t>
  </si>
  <si>
    <t>FCK-605YW-5gm-22KT-YG-2.4A</t>
  </si>
  <si>
    <t>B-218005</t>
  </si>
  <si>
    <t>OLR251999-4.50gm-22KT-YG-R12</t>
  </si>
  <si>
    <t>B-218006</t>
  </si>
  <si>
    <t>OLR252012-4gm-22KT-YG-R12</t>
  </si>
  <si>
    <t>B-218007</t>
  </si>
  <si>
    <t>OER252004-2.50gm-22KT-YG-NA</t>
  </si>
  <si>
    <t>B-218008</t>
  </si>
  <si>
    <t>OLR252015-3.50gm-22KT-YG-R12</t>
  </si>
  <si>
    <t>B-218009</t>
  </si>
  <si>
    <t>OER252001-2.50gm-22KT-YG-NA</t>
  </si>
  <si>
    <t>B-218010</t>
  </si>
  <si>
    <t>FCK-607YW-10.50GM-22KT-YG-2.4A</t>
  </si>
  <si>
    <t>B-218011</t>
  </si>
  <si>
    <t>FCK-609YW-9gm-22KT-YG-2.4A</t>
  </si>
  <si>
    <t>B-218012</t>
  </si>
  <si>
    <t>RC-10795-VAAMA MGM (ONLY916)*</t>
  </si>
  <si>
    <t>22-IMB083YW-9gm-22KT-YG-MS</t>
  </si>
  <si>
    <t>B-218036</t>
  </si>
  <si>
    <t>B-218037</t>
  </si>
  <si>
    <t>22-AS397YW-7.50gm-22KT-YG-MS</t>
  </si>
  <si>
    <t>B-218033</t>
  </si>
  <si>
    <t>NPD-1125635</t>
  </si>
  <si>
    <t>PACS-1662-15gm-22KT-YG-NA</t>
  </si>
  <si>
    <t>SR-32685</t>
  </si>
  <si>
    <t>B-218014</t>
  </si>
  <si>
    <t>PACS-1664-16.50gm-22KT-YG-NA</t>
  </si>
  <si>
    <t>B-218015</t>
  </si>
  <si>
    <t>PACS-1663-16gm-22KT-YG-NA</t>
  </si>
  <si>
    <t>B-218016</t>
  </si>
  <si>
    <t>PACS-1661-14gm-22KT-YG-NA</t>
  </si>
  <si>
    <t>B-218017</t>
  </si>
  <si>
    <t>PACS-1666-15.50gm-22KT-YG-NA</t>
  </si>
  <si>
    <t>B-218018</t>
  </si>
  <si>
    <t>PACS-1665-14.5gm-22KT-YG-NA</t>
  </si>
  <si>
    <t>B-218019</t>
  </si>
  <si>
    <t>PHOTOGRAPHY-10795</t>
  </si>
  <si>
    <t>B-218039</t>
  </si>
  <si>
    <t>NISHANT-SIR -SAMPLE-ORD(URG)</t>
  </si>
  <si>
    <t>SR-32507</t>
  </si>
  <si>
    <t>B-218030</t>
  </si>
  <si>
    <t>RC-9294-ST</t>
  </si>
  <si>
    <t>CHOCO-247-13.5gm-22KT-YG-8"</t>
  </si>
  <si>
    <t>B-218819</t>
  </si>
  <si>
    <t>RC-10273-ST</t>
  </si>
  <si>
    <t>ILM011-BOOMER-PLAIN-CUT-6gm-18KT-YG-MS</t>
  </si>
  <si>
    <t>B-218847</t>
  </si>
  <si>
    <t>27YRB2C-PENTAGON-6GM-ICE-PLAIN-Y-6gm-18KT-YG-MS</t>
  </si>
  <si>
    <t>B-218849</t>
  </si>
  <si>
    <t>ILM083-SKODA-8gm-18KT-YG-MS</t>
  </si>
  <si>
    <t>B-218850</t>
  </si>
  <si>
    <t>SR-32885</t>
  </si>
  <si>
    <t>ILM050-BOX-CHAIN-PLAIN-1gm-18KT-YG-MS</t>
  </si>
  <si>
    <t>B-218852</t>
  </si>
  <si>
    <t>ONKS25158A-15gm-22KT-YG-8"</t>
  </si>
  <si>
    <t>SAMPLE-ORD-FOR-KARIGAR</t>
  </si>
  <si>
    <t>SAMPLE-PCS-10gm-18KT-YG-NA</t>
  </si>
  <si>
    <t>SR-32897</t>
  </si>
  <si>
    <t>B-222300</t>
  </si>
  <si>
    <t>BAPI-22KT-JW</t>
  </si>
  <si>
    <t>HL-Rope-Vollex-Empty-wk</t>
  </si>
  <si>
    <t>RC-10797-VAAMA MGM (ONLY916)</t>
  </si>
  <si>
    <t>RC STOCK -9293</t>
  </si>
  <si>
    <t>SR-32782/1/2</t>
  </si>
  <si>
    <t>B-222463/2</t>
  </si>
  <si>
    <t>SR-32782/1/1</t>
  </si>
  <si>
    <t>B-222462/1</t>
  </si>
  <si>
    <t>SR-32592/4</t>
  </si>
  <si>
    <t>B-222475/5</t>
  </si>
  <si>
    <t>BAPI-22KT-JW-A</t>
  </si>
  <si>
    <t>B-215267/1/1/1/1/1/1/1/1/1/1/1/1/1/1/1/1/1/1/1/1/1/1/1/1/1/1/1/1/1/1/1/1/1/1/1/1/1/1</t>
  </si>
  <si>
    <t>B-220238/1</t>
  </si>
  <si>
    <t>SR-32509/5/1</t>
  </si>
  <si>
    <t>B-222478/1</t>
  </si>
  <si>
    <t>SR-32464/2/1</t>
  </si>
  <si>
    <t>B-222460/1</t>
  </si>
  <si>
    <t>HAND-CUTTING-HOD</t>
  </si>
  <si>
    <t>CR-M-100/1  (ONLY- 916)</t>
  </si>
  <si>
    <t>B-218915</t>
  </si>
  <si>
    <t>CR-M-100/6 (ONLY- 916)</t>
  </si>
  <si>
    <t>22-IMBL024T-22.50gm-22KT-YG-MS</t>
  </si>
  <si>
    <t>B-218909</t>
  </si>
  <si>
    <t>RCM1-1811-ST</t>
  </si>
  <si>
    <t>20YV40DS4-4BOX-ROADKING-V-Y-17gm-22KT-YG-MS</t>
  </si>
  <si>
    <t>B-219134</t>
  </si>
  <si>
    <t>24YV20DR8-2BOX-SUNDARI-V-Y-16gm-22KT-YG-MS</t>
  </si>
  <si>
    <t>B-219136</t>
  </si>
  <si>
    <t>19YV10DR8-1BOX-SUNDARI-V-Y-10.50GM-22KT-YG-MS</t>
  </si>
  <si>
    <t>B-219137</t>
  </si>
  <si>
    <t>31YV40DL3-4BOX-HIGHWAY-V-Y-12.50gm-22KT-YG-MS</t>
  </si>
  <si>
    <t>B-219138</t>
  </si>
  <si>
    <t>14YV20JL2-2BOX-SADAK-V+BORDER-Y-4.50gm-22KT-YG-MS</t>
  </si>
  <si>
    <t>B-219139</t>
  </si>
  <si>
    <t>14YV20DS4-2BOX-ROADKING-V-Y-8gm-22KT-YG-MS</t>
  </si>
  <si>
    <t>B-219142</t>
  </si>
  <si>
    <t>IBR242075M11-31.00 GM-22KT-YG-8</t>
  </si>
  <si>
    <t>SR-32902</t>
  </si>
  <si>
    <t>SR-32887</t>
  </si>
  <si>
    <t>10YPC25S2C-25-CURB-NO-CUT-YG-SIMLA-SPIRAL-1+1-WG-2.00gm-18KT-YG-ROLL</t>
  </si>
  <si>
    <t>ICH241326M5-29.00 GM-22KT-YG-22</t>
  </si>
  <si>
    <t>B-218826</t>
  </si>
  <si>
    <t>B-218832</t>
  </si>
  <si>
    <t>IBR242075M15-45.00 GM-22KT-YG-8</t>
  </si>
  <si>
    <t>B-218833</t>
  </si>
  <si>
    <t>B-218842/1</t>
  </si>
  <si>
    <t>CR-M-100 (ONLY- 916)</t>
  </si>
  <si>
    <t>B-218916</t>
  </si>
  <si>
    <t>B-218861/1</t>
  </si>
  <si>
    <t>B-218865</t>
  </si>
  <si>
    <t>B-218866</t>
  </si>
  <si>
    <t>CR-M-100/2 (ONLY 916)</t>
  </si>
  <si>
    <t>22-AS174Y-5gm-22KT-YG-MS</t>
  </si>
  <si>
    <t>B-218914</t>
  </si>
  <si>
    <t>CR-M-100/7 (ONLY- 916)</t>
  </si>
  <si>
    <t>19YVR1S2C-ROADKING-4GM-YG-SIMLA-SPIRAL-1+1-YG-6gm-22KT-YG-MS</t>
  </si>
  <si>
    <t>B-218907</t>
  </si>
  <si>
    <t>SIMLA-STRIP-MIX-1gm-22KT-YG-NA</t>
  </si>
  <si>
    <t>B-218908</t>
  </si>
  <si>
    <t>CR-M-100/3 (ONLY-916)</t>
  </si>
  <si>
    <t>22-IMA001T-1-8.00gm-22KT-YG-MS</t>
  </si>
  <si>
    <t>B-218913</t>
  </si>
  <si>
    <t>CR-M-101/6-(ONLY 916)</t>
  </si>
  <si>
    <t>INIT-231-20gm-22KT-YG-ROLL</t>
  </si>
  <si>
    <t>SR-32522/3</t>
  </si>
  <si>
    <t>B-218917</t>
  </si>
  <si>
    <t>CR-M-100/4 (ONLY- 916)</t>
  </si>
  <si>
    <t>ASHS037YW/MA-BAR-14gm-22KT-YG-MS</t>
  </si>
  <si>
    <t>B-218912</t>
  </si>
  <si>
    <t>CR-M-100/5( ONLY- 916)</t>
  </si>
  <si>
    <t>22-AS228T-8.50gm-22KT-YG-MS</t>
  </si>
  <si>
    <t>B-218911</t>
  </si>
  <si>
    <t>CR-M-101/8-(ONLY 916)</t>
  </si>
  <si>
    <t>INIT-063-24gm-22KT-YG-ROLL</t>
  </si>
  <si>
    <t>SR-32522/2</t>
  </si>
  <si>
    <t>B-218918</t>
  </si>
  <si>
    <t>CR-M-100/8 (ONLY- 916)</t>
  </si>
  <si>
    <t>ASPB073Y-8gm-22KT-YG-MS</t>
  </si>
  <si>
    <t>B-218906</t>
  </si>
  <si>
    <t>INIT-277-32gm-22KT-YG-ROLL</t>
  </si>
  <si>
    <t>SR-SOR-EXT-81120</t>
  </si>
  <si>
    <t>BDR-001-Plain-Slash-Cut-0.100GM-18KT-RG-2mm</t>
  </si>
  <si>
    <t>B-218099</t>
  </si>
  <si>
    <t>SR-SOR-EXT-81126</t>
  </si>
  <si>
    <t>HR-CLIP-4-RIJ-0.300GM-18KT-WG-NA</t>
  </si>
  <si>
    <t>B-218105</t>
  </si>
  <si>
    <t>SR-SOR-EXT-81179</t>
  </si>
  <si>
    <t>RING-LOCK-AM05-0.150gm-18KT-WG-NA</t>
  </si>
  <si>
    <t>B-218158</t>
  </si>
  <si>
    <t>SR-SOR-EXT-81325</t>
  </si>
  <si>
    <t>SR-32498/2</t>
  </si>
  <si>
    <t>B-218304</t>
  </si>
  <si>
    <t>SR-SOR-EXT-81385</t>
  </si>
  <si>
    <t>RING-LOCK-AM05L-0.100GM-18KT-WG-NA</t>
  </si>
  <si>
    <t>B-218364</t>
  </si>
  <si>
    <t>SR-SOR-EXT-81466</t>
  </si>
  <si>
    <t>YABR-027-PLAIN-NEW-HEERA-CUT-0.200GM-18KT-RG-4mm</t>
  </si>
  <si>
    <t>SR-32636</t>
  </si>
  <si>
    <t>B-218445</t>
  </si>
  <si>
    <t>CR-M-101-(ONLY 916)</t>
  </si>
  <si>
    <t>INIT-007-74gm-22KT-YG-ROLL</t>
  </si>
  <si>
    <t>B-222074/1</t>
  </si>
  <si>
    <t>SR-32522</t>
  </si>
  <si>
    <t>B-218922</t>
  </si>
  <si>
    <t>CR-M-101/5-(ONLY 916)</t>
  </si>
  <si>
    <t>INIT-215-18gm-22KT-YG-ROLL</t>
  </si>
  <si>
    <t>B-218930</t>
  </si>
  <si>
    <t>CR-M-100/10 (ONLY- 916)</t>
  </si>
  <si>
    <t>22-IMPP256Y-15gm-22KT-YG-MS</t>
  </si>
  <si>
    <t>B-218956</t>
  </si>
  <si>
    <t>SR-SOR-EXT-81487</t>
  </si>
  <si>
    <t>YP25R4C30CS-30CURB-YG+2.5-CUBE-WG-SLASH-PAVE-R15-5gm-18KT-YG-ROLL</t>
  </si>
  <si>
    <t>SR-32498/3</t>
  </si>
  <si>
    <t>B-218466</t>
  </si>
  <si>
    <t>SR-SOR-EXT-81625</t>
  </si>
  <si>
    <t>CH003-OMEGA-6SADAK-12gm-18KT-RG-ROLL</t>
  </si>
  <si>
    <t>SR-32497/4</t>
  </si>
  <si>
    <t>B-218604</t>
  </si>
  <si>
    <t>CR-M-100/11 (ONLY- 916)</t>
  </si>
  <si>
    <t>22-IMBL006T-18gm-22KT-YG-MS</t>
  </si>
  <si>
    <t>B-218904</t>
  </si>
  <si>
    <t>NPD-TRAIL-PCS-VED ORD</t>
  </si>
  <si>
    <t>VED-NK-251512-15gm-18KT-RG-16"</t>
  </si>
  <si>
    <t>B-218961</t>
  </si>
  <si>
    <t>RC-9295/1-ST (CHOCO NEW DES)</t>
  </si>
  <si>
    <t>SR-32553</t>
  </si>
  <si>
    <t>B-219158</t>
  </si>
  <si>
    <t>SR-32553/1</t>
  </si>
  <si>
    <t>B-219869/1</t>
  </si>
  <si>
    <t>SR-SOR-EXT-81825</t>
  </si>
  <si>
    <t>INDO-004-R2-1gm-22KT-YG-ROLL</t>
  </si>
  <si>
    <t>SR-32512/2</t>
  </si>
  <si>
    <t>B-222476/2</t>
  </si>
  <si>
    <t>CR-M-101/1-(ONLY 916)</t>
  </si>
  <si>
    <t>INITFC-139-25gm-22KT-YG-ROLL</t>
  </si>
  <si>
    <t>SR-32522/1</t>
  </si>
  <si>
    <t>B-218923</t>
  </si>
  <si>
    <t>INITFC-139-27gm-22KT-YG-ROLL</t>
  </si>
  <si>
    <t>B-218924</t>
  </si>
  <si>
    <t>RC-10798-VAAMA-MGM-(ONLY-916)</t>
  </si>
  <si>
    <t>22-IMPP002Y-15gm-22KT-YG-MS</t>
  </si>
  <si>
    <t>B-218942</t>
  </si>
  <si>
    <t>22-IMB012T-13gm-22KT-YG-MS</t>
  </si>
  <si>
    <t>B-218943</t>
  </si>
  <si>
    <t>22-IMPP045Y-15.50gm-22KT-YG-MS</t>
  </si>
  <si>
    <t>B-218944</t>
  </si>
  <si>
    <t>ASHS097Y-12gm-22KT-YG-MS</t>
  </si>
  <si>
    <t>B-218945</t>
  </si>
  <si>
    <t>22-IMPP023Y-16.50gm-22KT-YG-MS</t>
  </si>
  <si>
    <t>B-218946</t>
  </si>
  <si>
    <t>22-IMBH025T-13gm-22KT-YG-MS</t>
  </si>
  <si>
    <t>B-218947</t>
  </si>
  <si>
    <t>22-IMPP040Y-16.50gm-22KT-YG-MS</t>
  </si>
  <si>
    <t>B-218948</t>
  </si>
  <si>
    <t>22-IMB005YW-15.50gm-22KT-YG-MS</t>
  </si>
  <si>
    <t>B-218949</t>
  </si>
  <si>
    <t>22-IMPP019Y-13.5gm-22KT-YG-MS</t>
  </si>
  <si>
    <t>B-218950</t>
  </si>
  <si>
    <t>22-IMPP032Y-16.50gm-22KT-YG-MS</t>
  </si>
  <si>
    <t>B-218951</t>
  </si>
  <si>
    <t>22-IMPP030Y-17.5gm-22KT-YG-MS</t>
  </si>
  <si>
    <t>B-218952</t>
  </si>
  <si>
    <t>22-AS016T-13gm-22KT-YG-MS</t>
  </si>
  <si>
    <t>B-218953</t>
  </si>
  <si>
    <t>ASHS084Y-16gm-22KT-YG-MS</t>
  </si>
  <si>
    <t>B-218954</t>
  </si>
  <si>
    <t>22-IMPP016Y-14gm-22KT-YG-MS</t>
  </si>
  <si>
    <t>B-218955</t>
  </si>
  <si>
    <t>CR-M-101/10-(ONLY 916)</t>
  </si>
  <si>
    <t>B-218921</t>
  </si>
  <si>
    <t>ARK/1711/1 (DIE ORD.)</t>
  </si>
  <si>
    <t>STAMPING-DIE-NO-319-1gm-22KT-YG-STRIP-0.20MM</t>
  </si>
  <si>
    <t>SR-32510</t>
  </si>
  <si>
    <t>B-218880</t>
  </si>
  <si>
    <t>CR-M-101/2-(ONLY 916)</t>
  </si>
  <si>
    <t>INIT-119-29gm-22KT-YG-ROLL</t>
  </si>
  <si>
    <t>B-218925</t>
  </si>
  <si>
    <t>INIT-119-27gm-22KT-YG-ROLL</t>
  </si>
  <si>
    <t>B-218926</t>
  </si>
  <si>
    <t>CR-M-101/3-(ONLY 916)</t>
  </si>
  <si>
    <t>INITFC-012-30gm-22KT-YG-ROLL</t>
  </si>
  <si>
    <t>B-218927</t>
  </si>
  <si>
    <t>22-AS172T-8gm-22KT-YG-MS</t>
  </si>
  <si>
    <t>B-218967</t>
  </si>
  <si>
    <t>ASHS053YW-10gm-22KT-YG-MS</t>
  </si>
  <si>
    <t>B-218968</t>
  </si>
  <si>
    <t>22-IMB039T-10gm-22KT-YG-MS</t>
  </si>
  <si>
    <t>B-218969</t>
  </si>
  <si>
    <t>22-AS268Y-8gm-22KT-YG-MS</t>
  </si>
  <si>
    <t>B-218970</t>
  </si>
  <si>
    <t>22-IMB043YW-13.5gm-22KT-YG-MS</t>
  </si>
  <si>
    <t>B-218971</t>
  </si>
  <si>
    <t>22-IMBH048T-19gm-22KT-YG-MS</t>
  </si>
  <si>
    <t>B-218972</t>
  </si>
  <si>
    <t>B-218973</t>
  </si>
  <si>
    <t>22-IMBL005T-18.5gm-22KT-YG-MS</t>
  </si>
  <si>
    <t>B-218974</t>
  </si>
  <si>
    <t>22-AS040Y-9gm-22KT-YG-MS</t>
  </si>
  <si>
    <t>B-218975</t>
  </si>
  <si>
    <t>22-IMBH033T-16gm-22KT-YG-MS</t>
  </si>
  <si>
    <t>B-218976</t>
  </si>
  <si>
    <t>22-AS173T-11.50gm-22KT-YG-MS</t>
  </si>
  <si>
    <t>B-218977</t>
  </si>
  <si>
    <t>22-AS036Y-1-12gm-22KT-YG-MS</t>
  </si>
  <si>
    <t>B-218979</t>
  </si>
  <si>
    <t>22-IMBL002YW-22gm-22KT-YG-MS</t>
  </si>
  <si>
    <t>B-218980</t>
  </si>
  <si>
    <t>B-218982</t>
  </si>
  <si>
    <t>CR-M-101/7-(ONLY 916)</t>
  </si>
  <si>
    <t>INIT-304-25gm-22KT-YG-ROLL</t>
  </si>
  <si>
    <t>B-218910</t>
  </si>
  <si>
    <t>CR-M-101/9-(ONLY 916)</t>
  </si>
  <si>
    <t>INIT-047-26gm-22KT-YG-ROLL</t>
  </si>
  <si>
    <t>B-218919</t>
  </si>
  <si>
    <t>B-218920</t>
  </si>
  <si>
    <t>CR-M-101/4-(ONLY 916)</t>
  </si>
  <si>
    <t>INIT-064-13gm-22KT-YG-ROLL</t>
  </si>
  <si>
    <t>B-218928</t>
  </si>
  <si>
    <t>INIT-064-15gm-22KT-YG-ROLL</t>
  </si>
  <si>
    <t>B-218929</t>
  </si>
  <si>
    <t>CR-M-101/11-(ONLY 916)</t>
  </si>
  <si>
    <t>INIT-207-27.00gm-22KT-YG-ROLL</t>
  </si>
  <si>
    <t>B-218931</t>
  </si>
  <si>
    <t>STAMPING Total</t>
  </si>
  <si>
    <t>sr no</t>
  </si>
  <si>
    <t>SR NO</t>
  </si>
  <si>
    <t>CAST GOLD BUFFING HOD</t>
  </si>
  <si>
    <t>CAST GOLD BUFFING HOD Total</t>
  </si>
  <si>
    <t>CAM Total</t>
  </si>
  <si>
    <t>JT-18-ASSEMBLY-ROOM-4-2F Total</t>
  </si>
  <si>
    <t>JT-22-ASSEMBLY-ROOM-1-2F Total</t>
  </si>
  <si>
    <t>NS-18-ASSEMBLY-ROOM-4-2F Total</t>
  </si>
  <si>
    <t>NS-22-ASSEMBLY-ROOM-4-2F Total</t>
  </si>
  <si>
    <t>PJ-18-ASSEMBLY-ROOM-4-2F Total</t>
  </si>
  <si>
    <t>PJ-22-ASSEMBLY-ROOM-4-2F Total</t>
  </si>
  <si>
    <t>PS-18-ASSEMBLY-ROOM-2-2F Total</t>
  </si>
  <si>
    <t>PS-22-ASSEMBLY-ROOM-2-2F Total</t>
  </si>
  <si>
    <t>RB-22-ASSEMBLY-ROOM-6-2F Total</t>
  </si>
  <si>
    <t>SUMAN-18-ASS-ROOM-7-2F Total</t>
  </si>
  <si>
    <t>SUMAN-22-ASS-ROOM-7-2F Total</t>
  </si>
  <si>
    <t>VS-14-ASSEMBLY-ROOM-5-2F Total</t>
  </si>
  <si>
    <t>VS-18-ASSEMBLY-ROOM-5-2F Total</t>
  </si>
  <si>
    <t>VS-22-ASSEMBLY-ROOM-5-2F Total</t>
  </si>
  <si>
    <t>SOLDERING-HOD</t>
  </si>
  <si>
    <t>Groupsales Reports</t>
  </si>
  <si>
    <t>Groupsales</t>
  </si>
  <si>
    <t>HALLMARK Total</t>
  </si>
  <si>
    <t>Stock Report</t>
  </si>
  <si>
    <t>SR-JUST-FOR-ENTRY-WK</t>
  </si>
  <si>
    <t>Trans Type</t>
  </si>
  <si>
    <t>Dest Location</t>
  </si>
  <si>
    <t>Po No</t>
  </si>
  <si>
    <t>Item Type</t>
  </si>
  <si>
    <t>Item Group</t>
  </si>
  <si>
    <t>Metal Fineness</t>
  </si>
  <si>
    <t>Created By</t>
  </si>
  <si>
    <t>Entry Date</t>
  </si>
  <si>
    <t>Catg</t>
  </si>
  <si>
    <t>LAZER MACHINE CHAINS YELLOW GOLD</t>
  </si>
  <si>
    <t>LAZER MACHINE CHAINS YELLOW GOLD Total</t>
  </si>
  <si>
    <t>STAR-JEWELS</t>
  </si>
  <si>
    <t>Reparing-Aditya Birla - Novel Jewels</t>
  </si>
  <si>
    <t>Name</t>
  </si>
  <si>
    <t>Position</t>
  </si>
  <si>
    <t>ABU-SAHABAJ</t>
  </si>
  <si>
    <t>Ankit</t>
  </si>
  <si>
    <t>KALPLAXMI JEWELS PVT. LTD.</t>
  </si>
  <si>
    <t>MY CHAIN</t>
  </si>
  <si>
    <t>SHA UMMEDMAL TILOKCHANDJI</t>
  </si>
  <si>
    <t>SNEH-JAIN</t>
  </si>
  <si>
    <t>CAST-MAGNATIC-HOD</t>
  </si>
  <si>
    <t>MAGNETIC-WK</t>
  </si>
  <si>
    <t>CAST-MAGNATIC-HOD Total</t>
  </si>
  <si>
    <t>GOLD METAL SETTING HOD</t>
  </si>
  <si>
    <t>BOOMING-WK</t>
  </si>
  <si>
    <t>STAMPING-HOD</t>
  </si>
  <si>
    <t>INV</t>
  </si>
  <si>
    <t>STYLE</t>
  </si>
  <si>
    <t>S-HOOK-CUTTING-WK</t>
  </si>
  <si>
    <t>Particulars</t>
  </si>
  <si>
    <t>Net Weight</t>
  </si>
  <si>
    <t>Pure (PG WT)</t>
  </si>
  <si>
    <t>Stock Opening</t>
  </si>
  <si>
    <t>Metal Inward</t>
  </si>
  <si>
    <t>Ornaments Inward</t>
  </si>
  <si>
    <t>Metal Outward</t>
  </si>
  <si>
    <t>Sale Outward_ JEW</t>
  </si>
  <si>
    <t>Loss</t>
  </si>
  <si>
    <t>Recovery</t>
  </si>
  <si>
    <t xml:space="preserve">Gain </t>
  </si>
  <si>
    <t>Status</t>
  </si>
  <si>
    <t>IN</t>
  </si>
  <si>
    <t>OUT</t>
  </si>
  <si>
    <t>ADJ</t>
  </si>
  <si>
    <t xml:space="preserve">Closing Stock </t>
  </si>
  <si>
    <t>STOCK REPORT</t>
  </si>
  <si>
    <t>LAZER MACHINE CHAINS</t>
  </si>
  <si>
    <t>Sale Report
( Pg )</t>
  </si>
  <si>
    <t>Closing Stock
( Pg )</t>
  </si>
  <si>
    <t>Opening Stock 
( Pg )</t>
  </si>
  <si>
    <t>DVM AQUA GOLD PRIVATE LIMITED Total</t>
  </si>
  <si>
    <t>Total Inward</t>
  </si>
  <si>
    <t>Total Outward</t>
  </si>
  <si>
    <t xml:space="preserve">Sale Outward </t>
  </si>
  <si>
    <t>THREE-DIGITS-SR-WK</t>
  </si>
  <si>
    <t>THREE-DIGITS-SR-HOD</t>
  </si>
  <si>
    <t>THREE-DIGITS-SR-HOD Total</t>
  </si>
  <si>
    <t>ARK CHAINS Total</t>
  </si>
  <si>
    <t>CUBAN CHAINS &amp; JEWELLERY-A</t>
  </si>
  <si>
    <t>CUBAN CHAINS &amp; JEWELLERY-A Total</t>
  </si>
  <si>
    <t>Aalishaan Jewels LLP Total</t>
  </si>
  <si>
    <t>karat</t>
  </si>
  <si>
    <t>RC-REFINISHING Total</t>
  </si>
  <si>
    <t>ITALIAN LAZER MACHINE CHAINS</t>
  </si>
  <si>
    <t>ITALIAN LAZER MACHINE CHAINS Total</t>
  </si>
  <si>
    <t>IMP RHODIUM</t>
  </si>
  <si>
    <t>IMP RHODIUM Total</t>
  </si>
  <si>
    <t>CNC-LASER-CUTTING-HOD</t>
  </si>
  <si>
    <t>FACTORY SUMMARY REPORT</t>
  </si>
  <si>
    <t>Gain</t>
  </si>
  <si>
    <t>-</t>
  </si>
  <si>
    <t>Sale Outward</t>
  </si>
  <si>
    <t>Closing Stock</t>
  </si>
  <si>
    <t>FACTORY INWARD VS OUTWARD DETAILS</t>
  </si>
  <si>
    <t>Sr No.</t>
  </si>
  <si>
    <t>CLIENT NAME</t>
  </si>
  <si>
    <t>METAL INWARD</t>
  </si>
  <si>
    <t>PURITY</t>
  </si>
  <si>
    <t>GOODS RETURNED</t>
  </si>
  <si>
    <t>SALE</t>
  </si>
  <si>
    <t>SALE IN PURE</t>
  </si>
  <si>
    <t>TOTAL</t>
  </si>
  <si>
    <t xml:space="preserve">Completed </t>
  </si>
  <si>
    <t>Delayed in Process</t>
  </si>
  <si>
    <t>Count</t>
  </si>
  <si>
    <t>In Process</t>
  </si>
  <si>
    <t>Pending Review</t>
  </si>
  <si>
    <t>Order Summary</t>
  </si>
  <si>
    <t>Assort</t>
  </si>
  <si>
    <t>Indigo Chains</t>
  </si>
  <si>
    <t>NOT APPLICABLE</t>
  </si>
  <si>
    <t>NA</t>
  </si>
  <si>
    <t>INDIGO CHAINS &amp; JEWELLERY PLAIN+RHODIUM</t>
  </si>
  <si>
    <t>Indigo Bracelets</t>
  </si>
  <si>
    <t>NOT APPLICABLE Total</t>
  </si>
  <si>
    <t>INDIGO CHAINS &amp; JEWELLERY PLAIN+RHODIUM Total</t>
  </si>
  <si>
    <t>G-NA-91.80-YG</t>
  </si>
  <si>
    <t>PG-NA-99.50-YG</t>
  </si>
  <si>
    <t>BAPI-22KT-JW-B</t>
  </si>
  <si>
    <t>BAPI-22KT-JW-B Total</t>
  </si>
  <si>
    <t>LOK-18-ASSEMBLY-ROOM-8-2F-A</t>
  </si>
  <si>
    <t>LOK-18-ASSEMBLY-ROOM-8-2F-A Total</t>
  </si>
  <si>
    <t>LOK-22-ASSEMBLY-ROOM-8-2F-C Total</t>
  </si>
  <si>
    <t>VERTICAL COLLECTION</t>
  </si>
  <si>
    <t>VERTICAL COLLECTION Total</t>
  </si>
  <si>
    <t>Closing Stock  _ Date</t>
  </si>
  <si>
    <t>CHAIN-RHODIUM-WK</t>
  </si>
  <si>
    <t>HAMMERING-HOD</t>
  </si>
  <si>
    <t>Ball-Chain</t>
  </si>
  <si>
    <t>ASSEMBLED CHAINS PLAIN</t>
  </si>
  <si>
    <t>Assemble Chains</t>
  </si>
  <si>
    <t>IMP Assemble</t>
  </si>
  <si>
    <t>Ball-Chain Total</t>
  </si>
  <si>
    <t>ASSEMBLED CHAINS PLAIN Total</t>
  </si>
  <si>
    <t>MIX-CHAIN-40.00GM-22KT-YG-NA</t>
  </si>
  <si>
    <t>#N/A</t>
  </si>
  <si>
    <t>RAWA MANI-WK</t>
  </si>
  <si>
    <t>KAMLESH MALI</t>
  </si>
  <si>
    <t>Ball Barrell</t>
  </si>
  <si>
    <t>REFINISHING</t>
  </si>
  <si>
    <t>REFINISHING Total</t>
  </si>
  <si>
    <t>SLIKY ROPE CHAINS PLAIN SOLID-HOLLOW</t>
  </si>
  <si>
    <t>Silky Rope Chains</t>
  </si>
  <si>
    <t>SLIKY ROPE CHAINS PLAIN SOLID-HOLLOW Total</t>
  </si>
  <si>
    <t>AJ-REFINISHING Total</t>
  </si>
  <si>
    <t>MIX-ITEMS-50.00GM-22KT-YG-NA</t>
  </si>
  <si>
    <t>Aditya Birla - Novel Jewels</t>
  </si>
  <si>
    <t>SPRING-LESS-WK</t>
  </si>
  <si>
    <t>MENS ITALIAN CHAINS</t>
  </si>
  <si>
    <t>FRANCO-CHAIN-A</t>
  </si>
  <si>
    <t>MENS ITALIAN CHAINS Total</t>
  </si>
  <si>
    <t>FRANCO-CHAIN-A Total</t>
  </si>
  <si>
    <t>GOLD-ASSEMBLY-HOD</t>
  </si>
  <si>
    <t>ANAND GAIKWAD</t>
  </si>
  <si>
    <t>LAPEL COLLECTION</t>
  </si>
  <si>
    <t>ORANT KADA</t>
  </si>
  <si>
    <t>INDO ITALIAN CHAINS PLAIN</t>
  </si>
  <si>
    <t>Indo Italian Chains</t>
  </si>
  <si>
    <t>SAR-ECO</t>
  </si>
  <si>
    <t>Orant Earrings</t>
  </si>
  <si>
    <t>FUSION JEWELLERY</t>
  </si>
  <si>
    <t>FUSION PENDANTS</t>
  </si>
  <si>
    <t>KAJU-KATLI-CHAIN-A</t>
  </si>
  <si>
    <t>LAPEL COLLECTION Total</t>
  </si>
  <si>
    <t>INDO ITALIAN CHAINS PLAIN Total</t>
  </si>
  <si>
    <t>SAR-ECO Total</t>
  </si>
  <si>
    <t>FUSION JEWELLERY Total</t>
  </si>
  <si>
    <t>KAJU-KATLI-CHAIN-A Total</t>
  </si>
  <si>
    <t>G-NA-91.60-YG</t>
  </si>
  <si>
    <t>CAD</t>
  </si>
  <si>
    <t>CAD Total</t>
  </si>
  <si>
    <t>Kids Bracelets</t>
  </si>
  <si>
    <t/>
  </si>
  <si>
    <t>PG-NA-99.90-YG</t>
  </si>
  <si>
    <t>BRACELET-6.50GM-22KT-YG-NA</t>
  </si>
  <si>
    <t>MIX-CHAIN-40.00GM-18KT-RG-NA</t>
  </si>
  <si>
    <t>RC-EXTRA-ST(NO HUID)</t>
  </si>
  <si>
    <t>RC-MUSTAFA-EXP-ORD-100542</t>
  </si>
  <si>
    <t>MIX-ITEMS-50.00GM-18KT-RG-NA</t>
  </si>
  <si>
    <t>MIX-ITEMS-NA-22KT-YG-NA</t>
  </si>
  <si>
    <t>Open Order Count</t>
  </si>
  <si>
    <t>Total Open Order Weight</t>
  </si>
  <si>
    <t>Delayed Order Count</t>
  </si>
  <si>
    <t>Delayed Total Order Weight</t>
  </si>
  <si>
    <t>SUJIT-THASAL</t>
  </si>
  <si>
    <t>Orant Necklaces</t>
  </si>
  <si>
    <t>ROPE-CHAIN-12.00GM-22KT-YG-MS</t>
  </si>
  <si>
    <t>MALABAR GOLD AND DIAMONDS LIMITED REPARING</t>
  </si>
  <si>
    <t>AUGMOUNT GOLDTECH PRIVATE LIMITED</t>
  </si>
  <si>
    <t>MIX-CHAIN-40.00GM-18KT-YG-NA</t>
  </si>
  <si>
    <t>ENAMEL HOD Total</t>
  </si>
  <si>
    <t>HOLLOW-SCRAP-MELTING-WK</t>
  </si>
  <si>
    <t>TITAN Total</t>
  </si>
  <si>
    <t>MALABAR GOLD AND DIAMONDS LIMITED</t>
  </si>
  <si>
    <t>VACHANARAM-DEWASI</t>
  </si>
  <si>
    <t>IMP-ASSEMBLE-CHAIN</t>
  </si>
  <si>
    <t>PRAKASH-DEWASI</t>
  </si>
  <si>
    <t>AMIT DAVRE</t>
  </si>
  <si>
    <t>CHOCO CHAINS</t>
  </si>
  <si>
    <t>RC-MC-RSO-110626</t>
  </si>
  <si>
    <t>RC-STOCK-ORD-200008</t>
  </si>
  <si>
    <t>MALABAR GOLD AND DIAMONDS LIMITED Total</t>
  </si>
  <si>
    <t>ICH241942M2.25-15.00GM-18KT-YG-20 INCH</t>
  </si>
  <si>
    <t>RC-MC-RSO-110626(NO HUID)</t>
  </si>
  <si>
    <t>CUCH24664M7-31.00GM-22KT-YG-22 INCH</t>
  </si>
  <si>
    <t>CUCH24664M7-29.00GM-22KT-YG-20 INCH</t>
  </si>
  <si>
    <t>RC-STOCK-ORD-200007</t>
  </si>
  <si>
    <t>OOK241611-12.00GM-22KT-YG-2.40 ANNA</t>
  </si>
  <si>
    <t>ASS-PLAIN-NA-22KT-YG-NA</t>
  </si>
  <si>
    <t>IBR251232M10-18.50GM-22KT-YG-8 INCH</t>
  </si>
  <si>
    <t>22-IMP-ASSEMBLE-CHAIN-A-5.00GM-22KT-YG-MS</t>
  </si>
  <si>
    <t>KADA-20.00GM-18KT-YG-NA</t>
  </si>
  <si>
    <t>CAST-MELTING-WK</t>
  </si>
  <si>
    <t>ROSARIO-CHAIN-WK</t>
  </si>
  <si>
    <t>MALABAR-FG-HOD</t>
  </si>
  <si>
    <t>MALABAR-FG-HOD Total</t>
  </si>
  <si>
    <t>TESTING GOLD HOD</t>
  </si>
  <si>
    <t>VERONA COLLECTION</t>
  </si>
  <si>
    <t>Verona Chains</t>
  </si>
  <si>
    <t>KAILASH-KUMAR</t>
  </si>
  <si>
    <t>IMP-HALF-SET</t>
  </si>
  <si>
    <t>VERONA COLLECTION Total</t>
  </si>
  <si>
    <t>STAR-JEWELS Total</t>
  </si>
  <si>
    <t>VR-ER-003-4gm-22KT-YG-NA</t>
  </si>
  <si>
    <t>ARK/2605/2-(CORPORATE ORD.)</t>
  </si>
  <si>
    <t>22-AS101Y-8.00GM-22KT-YG-MS</t>
  </si>
  <si>
    <t>RC STOCK</t>
  </si>
  <si>
    <t>RC-11920-ST(NO HUID)</t>
  </si>
  <si>
    <t>YASH-BHAI-(CORP SAMPLE LINE)(NO HUID)</t>
  </si>
  <si>
    <t>RC-3319/2-CS</t>
  </si>
  <si>
    <t>CNC-CHS-001-13.50GM-18KT-RG-MS</t>
  </si>
  <si>
    <t>RC-11913-ST(NO HUID)</t>
  </si>
  <si>
    <t>RC-11923-ST(NO HUID)</t>
  </si>
  <si>
    <t>CBR24662M18-48.00GM-22KT-YG-8 INCH</t>
  </si>
  <si>
    <t>RC-21969/CUST/ORD</t>
  </si>
  <si>
    <t>PG-NA-24KT-YG</t>
  </si>
  <si>
    <t>CUCH251578M9-36.00GM-22KT-YG-22 INCH</t>
  </si>
  <si>
    <t>CBR24662M7C-14.00GM-22KT-YG-8 INCH</t>
  </si>
  <si>
    <t>CUCH24662M9C-42.00GM-22KT-YG-22 INCH</t>
  </si>
  <si>
    <t>CBR24663M9-15.00GM-22KT-YG-8 INCH</t>
  </si>
  <si>
    <t>CUBR23514-7MM-15.200GM-22KT-YG-8 INCH</t>
  </si>
  <si>
    <t>CUCH24664M7B-31.00GM-22KT-YG-22 INCH</t>
  </si>
  <si>
    <t>CUBR23514-11MM-17.00GM-22KT-YG-8 INCH</t>
  </si>
  <si>
    <t>CUBR251578M9-16.50GM-22KT-YG-8 INCH</t>
  </si>
  <si>
    <t>CUCH24664M7B-29.00GM-22KT-YG-20 INCH</t>
  </si>
  <si>
    <t>CBR24664M13-34.50GM-22KT-YG-8.25 INCH</t>
  </si>
  <si>
    <t>CBR25342M8-15.00GM-22KT-YG-8 INCH</t>
  </si>
  <si>
    <t>CBR24664M9B-19.00GM-22KT-YG-8 INCH</t>
  </si>
  <si>
    <t>CUCH24663M7-26.00GM-22KT-YG-20 INCH</t>
  </si>
  <si>
    <t>CUBR-23514-9MM-19.00GM-22KT-YG-8 INCH</t>
  </si>
  <si>
    <t>CUCH24667M7B-32.00GM-22KT-YG-22 INCH</t>
  </si>
  <si>
    <t>CBR24664M11B-23.00GM-22KT-YG-8 INCH</t>
  </si>
  <si>
    <t>VRC-246-28.50GM-18KT-RG-MS</t>
  </si>
  <si>
    <t>BRACELET-15.00GM-18KT-RG-MS</t>
  </si>
  <si>
    <t>GOLD-REPAIR-ASSEMBLY-WK</t>
  </si>
  <si>
    <t>VENDOR-WK</t>
  </si>
  <si>
    <t>CHOCO CHAINS PLAIN</t>
  </si>
  <si>
    <t>Indo Fancy Chains</t>
  </si>
  <si>
    <t>Vertical Earrings</t>
  </si>
  <si>
    <t>ASSEMBLED CHAINS RHODIUM</t>
  </si>
  <si>
    <t>Cuban Bracelets</t>
  </si>
  <si>
    <t>MGD-SO22-100626144800</t>
  </si>
  <si>
    <t>Cuban Chains</t>
  </si>
  <si>
    <t>RC-11920-ST</t>
  </si>
  <si>
    <t>ITALIAN LAZER MACHINE CHAINS PAVE RHODIUM FW-YP-RP</t>
  </si>
  <si>
    <t>YASH-BHAI-(CORP SAMPLE LINE)</t>
  </si>
  <si>
    <t>Assemble Dokiya</t>
  </si>
  <si>
    <t>VERTICAL CHAIN SETS</t>
  </si>
  <si>
    <t>CR-TT-160526</t>
  </si>
  <si>
    <t>TQ-ORANT</t>
  </si>
  <si>
    <t>LAPEL Bracelets</t>
  </si>
  <si>
    <t>RC-11913-ST</t>
  </si>
  <si>
    <t>SUPER-FINE-BALL-CHAINS</t>
  </si>
  <si>
    <t>RC-11923-ST</t>
  </si>
  <si>
    <t>IMP PLAIN</t>
  </si>
  <si>
    <t>CHOCO CHAINS PLAIN Total</t>
  </si>
  <si>
    <t>ASSEMBLED CHAINS RHODIUM Total</t>
  </si>
  <si>
    <t>ITALIAN LAZER MACHINE CHAINS PAVE RHODIUM FW-YP-RP Total</t>
  </si>
  <si>
    <t>TQ-ORANT Total</t>
  </si>
  <si>
    <t>SUPER-FINE-BALL-CHAINS Total</t>
  </si>
  <si>
    <t>IMP PLAIN Total</t>
  </si>
  <si>
    <t>SR-INV-AST/26-27/2787</t>
  </si>
  <si>
    <t>SLIP NO-12591</t>
  </si>
  <si>
    <t>INDO-134-14.00GM-22KT-YG-ROLL</t>
  </si>
  <si>
    <t>ARK/0906/002(HUID DONE)</t>
  </si>
  <si>
    <t>SLIP NO-12596</t>
  </si>
  <si>
    <t>SLIP NO-12592</t>
  </si>
  <si>
    <t>SLIP NO-12590</t>
  </si>
  <si>
    <t>SR-INV-AST/26-27/2786</t>
  </si>
  <si>
    <t>CFC-P-076-4.00GM-22KT-YG-NA</t>
  </si>
  <si>
    <t>SR-INV-AST/26-27/2785</t>
  </si>
  <si>
    <t>CBR24661M8-14.00GM-22KT-YG-8 INCH</t>
  </si>
  <si>
    <t>CUCH24664M5-20.00GM-22KT-YG-22 INCH</t>
  </si>
  <si>
    <t>CUCH24662M7C-30.00GM-22KT-YG-22 INCH</t>
  </si>
  <si>
    <t>SR-INV-AST/26-27/2784</t>
  </si>
  <si>
    <t>MENS-CH-024-5.00GM-18KT-RG-ROLL</t>
  </si>
  <si>
    <t>MG-03017</t>
  </si>
  <si>
    <t>CH003-OMEGA-4SADAK-8.00GM-18KT-RG-MS</t>
  </si>
  <si>
    <t>MG-03025-STOCK</t>
  </si>
  <si>
    <t>SR-INV-AST/26-27/2783</t>
  </si>
  <si>
    <t>RC-STOCK-13062026</t>
  </si>
  <si>
    <t>SR-INV-AST/26-27/2782</t>
  </si>
  <si>
    <t>SG-104</t>
  </si>
  <si>
    <t>SG-106</t>
  </si>
  <si>
    <t>SR-INV-AST/26-27/2781</t>
  </si>
  <si>
    <t>AQUA SAMPLE(MENS CHAIN)</t>
  </si>
  <si>
    <t>SR-INV-AST/26-27/2780</t>
  </si>
  <si>
    <t>ANBK-011-8.50gm-18KT-YG-1.80 ANNA</t>
  </si>
  <si>
    <t>MY GOLD-MG-DIVESHJI-03043- CUST/ORD</t>
  </si>
  <si>
    <t>SR-INV-AST/26-27/2779</t>
  </si>
  <si>
    <t>RC- EXTRA ( HUID DONE )</t>
  </si>
  <si>
    <t>ITALIAN LAZER MACHINE CHAINS PAVE-5.00GM-18KT-RG-MS</t>
  </si>
  <si>
    <t>RC-EXTRA-ST-1906/2 ( HUID DONE )</t>
  </si>
  <si>
    <t>12YPV70K-7BOX-FANCY-CHECKS+BORDER-YP-5.00GM-18KT-YG-MS</t>
  </si>
  <si>
    <t>RC-11923-ST ( HUID DONE )</t>
  </si>
  <si>
    <t>SR-INV-AST/26-27/2778</t>
  </si>
  <si>
    <t>CUCH24666M6-15.50gm-18KT-YG-17 INCH</t>
  </si>
  <si>
    <t>DVM-AQUA-GOKUL MOLE</t>
  </si>
  <si>
    <t>SR-INV-AST/26-27/2777</t>
  </si>
  <si>
    <t>DVM AQUA/REPAIR-DN-44</t>
  </si>
  <si>
    <t>DVM AQUA/REPAIR -19/06 DN-43</t>
  </si>
  <si>
    <t>SR-INV-AST/26-27/2776</t>
  </si>
  <si>
    <t>MALABAR CHAIN SELECTION</t>
  </si>
  <si>
    <t>SR-INV-AST/26-27/2775</t>
  </si>
  <si>
    <t>OLK262521-7.50gm-18KT-YG-2.40 ANNA</t>
  </si>
  <si>
    <t>GIVE TO YASH BHAI ON MONDAY RETURN  BACK TO FACTORY</t>
  </si>
  <si>
    <t>SAMPLE-PCS-1.00GM-18KT-YG-NA</t>
  </si>
  <si>
    <t>OLK262524-7.50gm-18KT-YG-2.40 ANNA</t>
  </si>
  <si>
    <t>OLK262523-6.00GM-18KT-YG-2.40 ANNA</t>
  </si>
  <si>
    <t>OLK262522-8gm-18KT-YG-2.40 ANNA</t>
  </si>
  <si>
    <t>OLK262525-7gm-18KT-YG-2.40 ANNA</t>
  </si>
  <si>
    <t>OLK262527-7gm-18KT-YG-2.40 ANNA</t>
  </si>
  <si>
    <t>OLK262530-7.50gm-18KT-YG-2.40 ANNA</t>
  </si>
  <si>
    <t>OLK262526-7.00GM-18KT-YG-2.40 ANNA</t>
  </si>
  <si>
    <t>OLK262529-7.50gm-18KT-YG-2.40 ANNA</t>
  </si>
  <si>
    <t>OLK262528-6.50gm-18KT-YG-2.40 ANNA</t>
  </si>
  <si>
    <t>SR-INV-AST/26-27/2774</t>
  </si>
  <si>
    <t>VERONA CHAIN-20.00GM-22KT-YG-MS</t>
  </si>
  <si>
    <t>AJ TO RC  OFFICE</t>
  </si>
  <si>
    <t>SR-INV-AST/26-27/2773</t>
  </si>
  <si>
    <t>30YV500K-50BOX-FANCY-CHECKS+BORDER-Y-42.00GM-22KT-YG-MS</t>
  </si>
  <si>
    <t>ASN 032982</t>
  </si>
  <si>
    <t>22-AS475YW-5.00GM-22KT-YG-18 INCH</t>
  </si>
  <si>
    <t>SR-INV-AST/26-27/2772</t>
  </si>
  <si>
    <t>HL-28RGSR65OSLC-SQUARE-HOLLOW-ROLO-SHORT-LINK-RG-3.50GM-18KT-RG-ROLL</t>
  </si>
  <si>
    <t>RC-3318/2-CS</t>
  </si>
  <si>
    <t>27RPRB2C-PENTAGON-6GM-ICE-PAVE-RP-6.50GM-18KT-RG-MS</t>
  </si>
  <si>
    <t>VRC-182-14.50GM-18KT-RG-18 INCH</t>
  </si>
  <si>
    <t>VRC-234-28.00GM-18KT-RG-MS</t>
  </si>
  <si>
    <t>VRC-146-17.50GM-18KT-RG-MS</t>
  </si>
  <si>
    <t>10B4CT3-1MM-BARREL-CHAIN-SPIRAL-CUT-PAVE-TRIANGLE-7.00GM-18KT-RG-MS</t>
  </si>
  <si>
    <t>10B4CS4-1MM-BARREL-CHAIN-SPIRAL-CUT-PAVE-SQUARE-9.00GM-18KT-RG-MS</t>
  </si>
  <si>
    <t>10B5BR6-1MM-BALL+BARREL-CHAIN-8-CUT-PAVE-6L-ROUND-13.00GM-18KT-YG-MS</t>
  </si>
  <si>
    <t>RC-3335-CS</t>
  </si>
  <si>
    <t>16YV30CL2-3BOX-SHIVA-ICE-Y-6.00GM-18KT-YG-MS</t>
  </si>
  <si>
    <t>KLG-29-4Y-17gm-18KT-YG-MS</t>
  </si>
  <si>
    <t>RC-3339/2-CS</t>
  </si>
  <si>
    <t>10YPV40K-4BOX-FANCY-CHECKS+BORDER-PAVE-YP-3.50GM-18KT-YG-MS</t>
  </si>
  <si>
    <t>CHOCO-MIX-NA-18KT-YG-NA</t>
  </si>
  <si>
    <t>RC-3326-CS</t>
  </si>
  <si>
    <t>PRESS-CHAIN-PAVE-ICE-CUT-4.00GM-18KT-YG-MS</t>
  </si>
  <si>
    <t>RC-11924-ST(NO HUID)</t>
  </si>
  <si>
    <t>ILM083-SKODA-4.00GM-18KT-YG-MS</t>
  </si>
  <si>
    <t>RC-3337-CS</t>
  </si>
  <si>
    <t>PRESS-CHAIN-PAVE-ICE-CUT-5.00GM-18KT-YG-MS</t>
  </si>
  <si>
    <t>15B4RR6-1.5MM-BARREL-CHAIN-ICE-CUT-PAVE-6L-ROUND-25gm-18KT-YG-MS</t>
  </si>
  <si>
    <t>10YV30V-3BOX-V-CUT-Y-2.50GM-18KT-YG-MS</t>
  </si>
  <si>
    <t>RC-11917-ST(NO HUID)</t>
  </si>
  <si>
    <t>HL-28RGTR65OS11-TRIANGLE-HOLLOW-ROLO-NO-CUT-5+1-RG-2.50GM-18KT-RG-ROLL</t>
  </si>
  <si>
    <t>RC-3318/3-CS</t>
  </si>
  <si>
    <t>SR-INV-AST/26-27/2771</t>
  </si>
  <si>
    <t>ASN -033149</t>
  </si>
  <si>
    <t>SR-INV-AST/26-27/2770</t>
  </si>
  <si>
    <t>ASN -033150</t>
  </si>
  <si>
    <t>SR-INV-AST/26-27/2769</t>
  </si>
  <si>
    <t>INITFC-182-20.00GM-22KT-YG-ROLL</t>
  </si>
  <si>
    <t>RC-11204-ST(NO HUID)</t>
  </si>
  <si>
    <t>SR-INV-AST/26-27/2768</t>
  </si>
  <si>
    <t>ASN -032889</t>
  </si>
  <si>
    <t>SR-INV-AST/26-27/2767</t>
  </si>
  <si>
    <t>ASS-PLAIN-NA-18KT-YG-NA</t>
  </si>
  <si>
    <t>ASN -032966</t>
  </si>
  <si>
    <t>SR-INV-AST/26-27/2766</t>
  </si>
  <si>
    <t>INITFC-187-19.00GM-22KT-YG-ROLL</t>
  </si>
  <si>
    <t>RC-200002-ST(NO HUID)</t>
  </si>
  <si>
    <t>SR-INV-AST/26-27/2765</t>
  </si>
  <si>
    <t>SLIP NO-14445</t>
  </si>
  <si>
    <t>ASS-PLAIN--22KT-YG-NA</t>
  </si>
  <si>
    <t>SLIP-14444</t>
  </si>
  <si>
    <t>SLIP NO-14447</t>
  </si>
  <si>
    <t>slip no-14819</t>
  </si>
  <si>
    <t>SLIP-14822</t>
  </si>
  <si>
    <t>SLIP NO-14816</t>
  </si>
  <si>
    <t>SR-INV-AST/26-27/2764</t>
  </si>
  <si>
    <t>22-IMBH215Y-8.50gm-22KT-YG-MS</t>
  </si>
  <si>
    <t>22-AS208YW-8.50GM-22KT-YG-MS</t>
  </si>
  <si>
    <t>RC-200009-ST(HUID DONE)</t>
  </si>
  <si>
    <t>RC-21956-ST(NO HUID)</t>
  </si>
  <si>
    <t>ASDKY660Y-9gm-22KT-YG-MS</t>
  </si>
  <si>
    <t>RC-100534-EXP (ONLY-916)..</t>
  </si>
  <si>
    <t>22-AS208Y-8.50GM-22KT-YG-MS</t>
  </si>
  <si>
    <t>RC-200009-ST(NO HUID)</t>
  </si>
  <si>
    <t>22-IMB048Y-12.50GM-22KT-YG-MS</t>
  </si>
  <si>
    <t>RC-21962-CS</t>
  </si>
  <si>
    <t>22-ASSEMBLE-CHAIN-PLAIN-5.00GM-22KT-YG-MS</t>
  </si>
  <si>
    <t>RC-22035-CS-1806</t>
  </si>
  <si>
    <t>22-ASSEMBLE-CHAIN-RHODIUM-A-5.00GM-22KT-YG-MS</t>
  </si>
  <si>
    <t>RC-EXTRA-ST-1806/3((HUID DONE)</t>
  </si>
  <si>
    <t>ASDKY371Y-6.00GM-22KT-YG-MS</t>
  </si>
  <si>
    <t>RC-200010-ST(NO HUID)</t>
  </si>
  <si>
    <t>RC-ST-1806(NO HUID)</t>
  </si>
  <si>
    <t>22-ASSEMBLE-CHAIN-RHODIUM-B-5.00GM-22KT-YG-MS</t>
  </si>
  <si>
    <t>RC-EXTRA-ST-1806/3(HUID DONE)</t>
  </si>
  <si>
    <t>18YV150K-15BOX-FANCY-CHECKS+BORDER-Y-14.00GM-22KT-YG-MS</t>
  </si>
  <si>
    <t>RC-22004-CS</t>
  </si>
  <si>
    <t>AS-ANK-024-11.00GM-22KT-YG-MS</t>
  </si>
  <si>
    <t>RC-100472-DXB (ONLY 916)</t>
  </si>
  <si>
    <t>22-AS043Y-14.50GM-22KT-YG-MS</t>
  </si>
  <si>
    <t>RC-100199-ST(NO HUID)</t>
  </si>
  <si>
    <t>17YRB11F-BOOMER-6GM-FLAT-CUT-Y-6.00GM-22KT-YG-MS</t>
  </si>
  <si>
    <t>22-AS174Y-5.00GM-22KT-YG-MS</t>
  </si>
  <si>
    <t>RC-200004-ST(NO HUID)</t>
  </si>
  <si>
    <t>RC-EXTRA-ST-1806/3(NO HUID)</t>
  </si>
  <si>
    <t>ASDKY303Y-8.00GM-22KT-YG-MS</t>
  </si>
  <si>
    <t>AS-DKY-320-PLAIN-12.00GM-22KT-YG-MS</t>
  </si>
  <si>
    <t>RC-100544-REL  (ONLY-916)</t>
  </si>
  <si>
    <t>INITFC-193-18.00GM-22KT-YG-ROLL</t>
  </si>
  <si>
    <t>ORD-11204-ST(NO HUID)</t>
  </si>
  <si>
    <t>22-IMBH216Y-8.50gm-22KT-YG-MS</t>
  </si>
  <si>
    <t>22-IMBH216YW-8.50gm-22KT-YG-MS</t>
  </si>
  <si>
    <t>RC-21960-CS</t>
  </si>
  <si>
    <t>22-IMBH211Y-8gm-22KT-YG-MS</t>
  </si>
  <si>
    <t>SR-INV-AST/26-27/2763</t>
  </si>
  <si>
    <t>31YV40DL3-4BOX-HIGHWAY-V-Y-12.50GM-22KT-YG-MS</t>
  </si>
  <si>
    <t>ASN -033136</t>
  </si>
  <si>
    <t>30YC50DR4-50LRK-CURB-SUNDARI-V-CUT-Y-24.00GM-22KT-YG-MS</t>
  </si>
  <si>
    <t>SR-INV-AST/26-27/2762</t>
  </si>
  <si>
    <t>CBR24663M8-12gm-22KT-YG-8.5 INCH</t>
  </si>
  <si>
    <t>RC-22009/CUST/ORD</t>
  </si>
  <si>
    <t>CBR25341M7-12gm-22KT-YG-7.25 INCH</t>
  </si>
  <si>
    <t>RC-21995/CUST/ORD</t>
  </si>
  <si>
    <t>SR-INV-AST/26-27/2761</t>
  </si>
  <si>
    <t>SBRL-017-7.00GM-22KT-YG-7 INCH</t>
  </si>
  <si>
    <t>PRASHANT/REPAIR/S-14816</t>
  </si>
  <si>
    <t>SBRL-030-7.00GM-22KT-YG-7 INCH</t>
  </si>
  <si>
    <t>SR-INV-AST/26-27/2760</t>
  </si>
  <si>
    <t>ICH25552M3.4-17.00GM-18KT-YG-21 INCH</t>
  </si>
  <si>
    <t>DC-NO-ROYL10147  TRANSFER NO- 32386277</t>
  </si>
  <si>
    <t>ICH25552M3.4-17.00GM-18KT-YG-23 INCH</t>
  </si>
  <si>
    <t>ICH242019M3-15.00GM-18KT-YG-19 INCH</t>
  </si>
  <si>
    <t>ICH10335M4-30.00GM-18KT-YG-25 INCH</t>
  </si>
  <si>
    <t>ICH242019M3-15.00GM-18KT-YG-25 INCH</t>
  </si>
  <si>
    <t>SR-INV-AST/26-27/2759</t>
  </si>
  <si>
    <t>RC REPAIR# 16027</t>
  </si>
  <si>
    <t>ICH4803-5MM-53.50GM-22KT-YG-24 INCH</t>
  </si>
  <si>
    <t>SAHIL/REPAIR/S-14818</t>
  </si>
  <si>
    <t>PRASHANT/REPAIR/14816</t>
  </si>
  <si>
    <t>ICH9864-6MM-47.00GM-22KT-YG-22 INCH</t>
  </si>
  <si>
    <t>ICH241326M7-60.00GM-22KT-YG-24 INCH</t>
  </si>
  <si>
    <t>ICH242030M3-20.00GM-22KT-YG-20 INCH</t>
  </si>
  <si>
    <t>OOK241626-11.00GM-22KT-YG-2.50 ANNA</t>
  </si>
  <si>
    <t>ICH25546M3.5-20.00GM-22KT-YG-22 INCH</t>
  </si>
  <si>
    <t>OOK241626-11.00GM-22KT-YG-2.40 ANNA</t>
  </si>
  <si>
    <t>SR-INV-AST/26-27/2758</t>
  </si>
  <si>
    <t>TQNK25182-5.50GM-22KT-YG-21 INCH</t>
  </si>
  <si>
    <t>DC-NO-ROYL10148  TRANSFER NO 32386452</t>
  </si>
  <si>
    <t>TQNK25181-5.50GM-22KT-YG-21 INCH</t>
  </si>
  <si>
    <t>SR-INV-AST/26-27/2757</t>
  </si>
  <si>
    <t>ICH10184-4.5MM-26gm-22KT-YG-24 INCH</t>
  </si>
  <si>
    <t>RC-21972/CUST/ORD</t>
  </si>
  <si>
    <t>SR-INV-AST/26-27/2756</t>
  </si>
  <si>
    <t>CUCH24664M7-29.00GM-22KT-YG-21 INCH</t>
  </si>
  <si>
    <t>ICH23917-17.00GM-22KT-YG-22 INCH</t>
  </si>
  <si>
    <t>RC-STOCK-ORD-200011</t>
  </si>
  <si>
    <t>ICH23916-18.00GM-22KT-YG-20 INCH</t>
  </si>
  <si>
    <t>IBR251231M10-18.00GM-22KT-YG-8 INCH</t>
  </si>
  <si>
    <t>CBR24661M10-18.00GM-22KT-YG-8 INCH</t>
  </si>
  <si>
    <t>IBR241326M5-10.00GM-22KT-YG-8 INCH</t>
  </si>
  <si>
    <t>ICH23917-16.00GM-22KT-YG-20 INCH</t>
  </si>
  <si>
    <t>IBR241326M8-16.00GM-22KT-YG-8 INCH</t>
  </si>
  <si>
    <t>CUCH24664M6-23.00GM-22KT-YG-20 INCH</t>
  </si>
  <si>
    <t>IBR242075M15-45.00GM-22KT-YG-8 INCH</t>
  </si>
  <si>
    <t>CUCH24664M6-24.00GM-22KT-YG-22 INCH</t>
  </si>
  <si>
    <t>SR-INV-AST/26-27/2755</t>
  </si>
  <si>
    <t>TQER24087-4.00GM-22KT-YG-NA</t>
  </si>
  <si>
    <t xml:space="preserve">  (DC-NO-ROYL10140  TRANSF NO -32385829  )</t>
  </si>
  <si>
    <t>SR-INV-AST/26-27/2754</t>
  </si>
  <si>
    <t>ICH23476M2.5-13.00GM-18KT-YG-20 INCH</t>
  </si>
  <si>
    <t>RC-3348/3/CUST/ORD</t>
  </si>
  <si>
    <t>RC-STOCK-13062026 HM DONE</t>
  </si>
  <si>
    <t>CBR25344M7-12.00GM-18KT-YG-8 INCH</t>
  </si>
  <si>
    <t>RC-3349/CUST/ORD</t>
  </si>
  <si>
    <t>ICH4803-3MM-22.00GM-18KT-RG-20 INCH</t>
  </si>
  <si>
    <t>RC-3347/2/CUST/ORD</t>
  </si>
  <si>
    <t>ICH4803-3MM-24.00GM-18KT-RG-22 INCH</t>
  </si>
  <si>
    <t>IGCC23832-21.00GM-18KT-RG-20 INCH</t>
  </si>
  <si>
    <t>RC-3348/CUST/ORD</t>
  </si>
  <si>
    <t>SR-GRN-GRN/26-27/989</t>
  </si>
  <si>
    <t>DVM AQUA/TAX INVOICE NO = SG/26-27/519  = 995 METAL</t>
  </si>
  <si>
    <t>SR-GRN-GRN/26-27/988</t>
  </si>
  <si>
    <t>TITAN/DC NO =500579643/ 995 METAL(ANDHERI)</t>
  </si>
  <si>
    <t>SR-GRN-GRN/26-27/987</t>
  </si>
  <si>
    <t>ARK/ JOB WORK ISSUE / DELIVERY CHALLAN NO-IS/60 / 999 METAL</t>
  </si>
  <si>
    <t>SR-GRN-GRN/26-27/986</t>
  </si>
  <si>
    <t>AJ/DEBIT NOTE NO = DG-19/RETURN /SG-408/D TO OFFICE</t>
  </si>
  <si>
    <t>SR-GRN-GRN/26-27/985</t>
  </si>
  <si>
    <t>TLK-015-7.50GM-22KT-YG-2.40 ANNA</t>
  </si>
  <si>
    <t>AJ/REPAIRING VCH NO = IA-112/SLIP NO = 917/REGULAR RHODIUM KARNA HAI</t>
  </si>
  <si>
    <t>TLK-017-6.50GM-22KT-YG-2.40 ANNA</t>
  </si>
  <si>
    <t>TLK-013-7.00GM-22KT-YG-2.40 ANNA</t>
  </si>
  <si>
    <t>TLK-012-6.50GM-22KT-YG-2.40 ANNA</t>
  </si>
  <si>
    <t>TLK-016-6.00GM-22KT-YG-2.40 ANNA</t>
  </si>
  <si>
    <t>TLK-010-6.00GM-22KT-YG-2.40 ANNA</t>
  </si>
  <si>
    <t>TLK-014-7.00GM-22KT-YG-2.40 ANNA</t>
  </si>
  <si>
    <t>TLK-006-7.00GM-22KT-YG-2.40 ANNA</t>
  </si>
  <si>
    <t>TLK-011-7.00GM-22KT-YG-2.40 ANNA</t>
  </si>
  <si>
    <t>TLK-007-6.50GM-22KT-YG-2.40 ANNA</t>
  </si>
  <si>
    <t>SR-GRN-GRN/26-27/984</t>
  </si>
  <si>
    <t>RC/OG-93</t>
  </si>
  <si>
    <t>SR-GRN-GRN/26-27/983</t>
  </si>
  <si>
    <t>TRNKS251588-14.00GM-22KT-YG-8 INCH</t>
  </si>
  <si>
    <t>AJ/REPAIRING VCH NO = IA-112/SLIP NO= 916/RHODIUM KARNA HAI</t>
  </si>
  <si>
    <t>ONKS25152A-13.00GM-22KT-YG-8 INCH</t>
  </si>
  <si>
    <t>OOK241615-11.00GM-22KT-YG-2.30 ANNA</t>
  </si>
  <si>
    <t>ONKS25147A-13.00GM-22KT-YG-8 INCH</t>
  </si>
  <si>
    <t>OOK241616-11.00GM-22KT-YG-2.30 ANNA</t>
  </si>
  <si>
    <t>OOK241618-12.00GM-22KT-YG-2.30 ANNA</t>
  </si>
  <si>
    <t>SR-GRN-GRN/26-27/982</t>
  </si>
  <si>
    <t>MALABAR/ON APPROVAL DC NO = 10AIR000108763/ SAMPLE RETURN</t>
  </si>
  <si>
    <t>SR-GRN-GRN/26-27/981</t>
  </si>
  <si>
    <t>RC/OG-93/ GIVE TO OMKAR BHAI</t>
  </si>
  <si>
    <t>RC/OG-93/ MELT</t>
  </si>
  <si>
    <t>SR-GRN-GRN/26-27/980</t>
  </si>
  <si>
    <t>DVM AQUA/DEBIT NOTE NO = 44 / LOCK REPAIR KARNA HAI</t>
  </si>
  <si>
    <t>SR-GRN-GRN/26-27/979</t>
  </si>
  <si>
    <t>SCRAP-22KT-NA---NA</t>
  </si>
  <si>
    <t>AJ/REPAIRING VCH NO = IA-110/ RETURN FOR MELT</t>
  </si>
  <si>
    <t>SR-GRN-GRN/26-27/978</t>
  </si>
  <si>
    <t>RC/OG-93/ SHOW TO VIVEK BHAI</t>
  </si>
  <si>
    <t>RC/OG-93/SHOW TO YASH SIR</t>
  </si>
  <si>
    <t>RC/OG-93/ SHOW TO ROHIT BHAI</t>
  </si>
  <si>
    <t>SR-GRN-GRN/26-27/977</t>
  </si>
  <si>
    <t>V-DIA/TAX INVOICE NO = SG-377/ 995 METAL</t>
  </si>
  <si>
    <t>SR-GRN-GRN/26-27/976</t>
  </si>
  <si>
    <t>AB/DC NO =TO-083803/995 METAL (ANDHERI)</t>
  </si>
  <si>
    <t>SR-GRN-GRN/26-27/975</t>
  </si>
  <si>
    <t>FGK-078-15.00GM-18KT-YG-MS</t>
  </si>
  <si>
    <t>RC/OG-93/ SLIP NO-14823/HUID REMOVE KARNA HAI &amp; 750 STAMP LAGANA HAI</t>
  </si>
  <si>
    <t>RC/OG-93/ SLIP NO-16529/ 30" PIPE ASSEMBLE KARNA HAI FULL YELLOW KARNA HAI</t>
  </si>
  <si>
    <t>RC/OG-93/ SLIP NO-14825/HUID REMOVE KARNA HAI &amp; 750 STAMP LAGANA HAI</t>
  </si>
  <si>
    <t>RC/OG-93/ SLIP NO-14450/ REPAIR &amp; POLISH KARNA HAI</t>
  </si>
  <si>
    <t>RC/OG-93/ SLIP NO-14826/HUID REMOVE KARNA HAI &amp; 750 STAMP LAGANA HAI</t>
  </si>
  <si>
    <t>SR-GRN-GRN/26-27/974</t>
  </si>
  <si>
    <t>RC/OG-94/9999 METAL</t>
  </si>
  <si>
    <t>SR-GRN-GRN/26-27/973</t>
  </si>
  <si>
    <t>RC/OG-93/995 METAL</t>
  </si>
  <si>
    <t>RC/OG-93/9999 METAL</t>
  </si>
  <si>
    <t>SR-GRN-GRN/26-27/972</t>
  </si>
  <si>
    <t>MALABAR/REPAIRING DC NO = 10Dcmh000410612 / REPAIR KARNA HAI</t>
  </si>
  <si>
    <t>SR-GRN-GRN/26-27/971</t>
  </si>
  <si>
    <t>MALABAR/TAX INVOICE NO = 10MHSI0000858599  / 995 METAL</t>
  </si>
  <si>
    <t>SR-GRN-GRN/26-27/970</t>
  </si>
  <si>
    <t>INDIGO CHAIN-30.00GM-22KT-YG-NA</t>
  </si>
  <si>
    <t>RC/OG-93/ SLIP NO-14449/ REPAIR &amp; POLISH KARNA HAI</t>
  </si>
  <si>
    <t>RC/OG-93/ SLIP NO-14824/ HUID REMOVE KARNA HAI &amp; 916 STAMP LAGANA HAI</t>
  </si>
  <si>
    <t>RC/OG-93/ SLIP NO-14448/ REPAIR &amp; POLISH KARNA HAI</t>
  </si>
  <si>
    <t>RC/OG-93/ SLIP NO-16028/ LOBSTER HOOK LAGANA HAI</t>
  </si>
  <si>
    <t>SR-GRN-GRN/26-27/969</t>
  </si>
  <si>
    <t>AJ/TAX INVOICE NO = SG-586/ 995 METAL</t>
  </si>
  <si>
    <t>HL-CHATKA-WK</t>
  </si>
  <si>
    <t>JT-SCRAP-WK</t>
  </si>
  <si>
    <t>MKT-METAL-PURITY-DIFF-WK</t>
  </si>
  <si>
    <t>DEPOT-1806-(USE IN ORD NO = RC-3294-CS)</t>
  </si>
  <si>
    <t>SR-42649</t>
  </si>
  <si>
    <t>SILKY-ROPE-CHAIN-10.00GM-18KT-YG-ROLL</t>
  </si>
  <si>
    <t>JUST-FOR-ENTRY</t>
  </si>
  <si>
    <t>change group</t>
  </si>
  <si>
    <t>75.05</t>
  </si>
  <si>
    <t>From Date :- 20/06/2026 To Date :- 21/06/2026</t>
  </si>
  <si>
    <t>Stock Status :- Scrap _ Date : 22-06-2026  Time :  9:40</t>
  </si>
  <si>
    <t>Stock Report  _  Date : 22-06-2026 _ Time : 09:45</t>
  </si>
  <si>
    <t>Date : 21-06-2026</t>
  </si>
  <si>
    <t xml:space="preserve">Date From : 20-06-2026 To 21-06-2026  </t>
  </si>
  <si>
    <t>AB-HALLMARK-HOD</t>
  </si>
  <si>
    <t>AB-HALLMARK-HOD Total</t>
  </si>
  <si>
    <t>Date: 21.06.2026</t>
  </si>
  <si>
    <t>SUSHANT-M</t>
  </si>
  <si>
    <t>AQUA-2005261-ST</t>
  </si>
  <si>
    <t>ITALIAN OMEGAS</t>
  </si>
  <si>
    <t>METAL</t>
  </si>
  <si>
    <t>GOLD</t>
  </si>
  <si>
    <t>ANAMITRA KIDS KADLI'S</t>
  </si>
  <si>
    <t>Kids Kada</t>
  </si>
  <si>
    <t>RC-EXTRA-ST-1906/2</t>
  </si>
  <si>
    <t>DVM AQUA/REPAIR -19/06</t>
  </si>
  <si>
    <t>ORANT-COLLECTION</t>
  </si>
  <si>
    <t>ANAMITRA KIDS COLLECTION</t>
  </si>
  <si>
    <t>KALURAM-DEWASI</t>
  </si>
  <si>
    <t>CR-AB-060626006 (NO-STAMP)</t>
  </si>
  <si>
    <t>CR-AB-MTO8395-(NO STAMPING)</t>
  </si>
  <si>
    <t>KALGARO SETS</t>
  </si>
  <si>
    <t>RC-11924-ST</t>
  </si>
  <si>
    <t>FINE LAZER MACHINE CHAINS YELLOW GOLD</t>
  </si>
  <si>
    <t>RC-11917-ST</t>
  </si>
  <si>
    <t>RC-200002-ST</t>
  </si>
  <si>
    <t>RC-200009-ST</t>
  </si>
  <si>
    <t>RC-21956-ST</t>
  </si>
  <si>
    <t>RC-EXTRA-ST-1806/3</t>
  </si>
  <si>
    <t>RC-200010-ST</t>
  </si>
  <si>
    <t>RC-ST-1806</t>
  </si>
  <si>
    <t>Assemble Anklet</t>
  </si>
  <si>
    <t>RC-100199-ST</t>
  </si>
  <si>
    <t>RC-200004-ST</t>
  </si>
  <si>
    <t>IMP Halfset</t>
  </si>
  <si>
    <t>CR-AB-060626027 (NO-STAMP)</t>
  </si>
  <si>
    <t>ARK/1106/006(CUSTOMER ORDER)</t>
  </si>
  <si>
    <t>ITALIAN OMEGAS Total</t>
  </si>
  <si>
    <t>(blank)</t>
  </si>
  <si>
    <t>(blank) Total</t>
  </si>
  <si>
    <t>ANAMITRA KIDS KADLI'S Total</t>
  </si>
  <si>
    <t>ORANT-COLLECTION Total</t>
  </si>
  <si>
    <t>ANAMITRA KIDS COLLECTION Total</t>
  </si>
  <si>
    <t>FINE LAZER MACHINE CHAINS YELLOW GOLD Total</t>
  </si>
  <si>
    <t>Date From - 20-06-2026 To 21-06-2026</t>
  </si>
  <si>
    <t>Date: 22-06-2026</t>
  </si>
  <si>
    <t>V-DIA JEWELS PRIVATE LIMITED Total</t>
  </si>
  <si>
    <t>MALABAR GOLD AND DIAMONDS LIMITED REPARING Total</t>
  </si>
  <si>
    <t>Aditya Birla - Novel Jewels Total</t>
  </si>
  <si>
    <t xml:space="preserve"> Pg Wt</t>
  </si>
  <si>
    <t>Date From 20-06-2026 To 21-06-2026</t>
  </si>
  <si>
    <t xml:space="preserve"> Net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</si>
</sst>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 * #,##0.00_ ;_ * \-#,##0.00_ ;_ * &quot;-&quot;??_ ;_ @_ "/>
    <numFmt numFmtId="165" formatCode="0.000"/>
    <numFmt numFmtId="166" formatCode="[$-10409]#,##0.00;\(#,##0.00\);&quot;&quot;"/>
    <numFmt numFmtId="167" formatCode="0.000%"/>
    <numFmt numFmtId="168" formatCode="[$-10409]0.000;\(0.000\)"/>
    <numFmt numFmtId="169" formatCode="[$-10409]dd/mm/yyyy"/>
    <numFmt numFmtId="170" formatCode="[$-10409]#,##0.0000;\(#,##0.0000\);&quot;&quot;"/>
    <numFmt numFmtId="171" formatCode="&quot;$&quot;#,##0.00"/>
    <numFmt numFmtId="172" formatCode="[$-10409]hh:mm:ss\ AM/PM"/>
    <numFmt numFmtId="173" formatCode="#,##0.000"/>
  </numFmts>
  <fonts count="7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u/>
      <sz val="8"/>
      <color indexed="8"/>
      <name val="Arial"/>
      <family val="2"/>
    </font>
    <font>
      <b/>
      <sz val="8"/>
      <color indexed="10"/>
      <name val="Arial"/>
      <family val="2"/>
    </font>
    <font>
      <b/>
      <sz val="14"/>
      <color indexed="8"/>
      <name val="Cambria"/>
      <family val="1"/>
    </font>
    <font>
      <b/>
      <sz val="12"/>
      <color rgb="FF000000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6"/>
      <color theme="1"/>
      <name val="Arial"/>
      <family val="2"/>
    </font>
    <font>
      <b/>
      <sz val="16"/>
      <color theme="1"/>
      <name val="Cambria"/>
      <family val="1"/>
    </font>
    <font>
      <b/>
      <sz val="18"/>
      <color theme="1"/>
      <name val="Cambria"/>
      <family val="1"/>
    </font>
    <font>
      <b/>
      <sz val="14"/>
      <name val="Cambria"/>
      <family val="1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mbria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8"/>
      <color indexed="8"/>
      <name val="Cambria"/>
      <family val="1"/>
    </font>
    <font>
      <sz val="10"/>
      <name val="Arial"/>
      <family val="2"/>
    </font>
    <font>
      <sz val="10"/>
      <color theme="1"/>
      <name val="Cambria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24"/>
      <color theme="1"/>
      <name val="Cambria"/>
      <family val="1"/>
    </font>
    <font>
      <b/>
      <sz val="24"/>
      <color theme="1"/>
      <name val="Cambria"/>
      <family val="1"/>
    </font>
    <font>
      <b/>
      <sz val="20"/>
      <color indexed="8"/>
      <name val="Cambria"/>
      <family val="1"/>
    </font>
    <font>
      <sz val="10"/>
      <name val="Arial"/>
      <family val="2"/>
    </font>
    <font>
      <b/>
      <sz val="10"/>
      <color rgb="FF222222"/>
      <name val="Cambria"/>
      <family val="1"/>
    </font>
    <font>
      <b/>
      <sz val="10"/>
      <color rgb="FF222222"/>
      <name val="Arial"/>
      <family val="2"/>
    </font>
    <font>
      <sz val="10"/>
      <color rgb="FF222222"/>
      <name val="Cambria"/>
      <family val="1"/>
    </font>
    <font>
      <sz val="10"/>
      <color rgb="FF222222"/>
      <name val="Arial"/>
      <family val="2"/>
    </font>
    <font>
      <b/>
      <sz val="10"/>
      <name val="Cambria"/>
      <family val="1"/>
    </font>
    <font>
      <sz val="10"/>
      <name val="Arial"/>
      <family val="2"/>
    </font>
    <font>
      <sz val="10"/>
      <name val="Cambria"/>
      <family val="1"/>
    </font>
    <font>
      <sz val="12"/>
      <name val="Cambria"/>
      <family val="1"/>
    </font>
    <font>
      <b/>
      <sz val="10"/>
      <color rgb="FFFFFFFF"/>
      <name val="Cambria"/>
      <family val="1"/>
    </font>
    <font>
      <b/>
      <sz val="12"/>
      <name val="Cambria"/>
      <family val="1"/>
    </font>
    <font>
      <b/>
      <sz val="18"/>
      <color rgb="FFFFFFFF"/>
      <name val="Cambria"/>
      <family val="1"/>
    </font>
    <font>
      <b/>
      <sz val="10"/>
      <color theme="0"/>
      <name val="Cambria"/>
      <family val="1"/>
    </font>
    <font>
      <sz val="10"/>
      <color theme="0"/>
      <name val="Cambria"/>
      <family val="1"/>
    </font>
    <font>
      <b/>
      <sz val="18"/>
      <color theme="0"/>
      <name val="Cambria"/>
      <family val="1"/>
    </font>
    <font>
      <b/>
      <sz val="11"/>
      <color theme="1"/>
      <name val="Cambria"/>
      <family val="1"/>
    </font>
    <font>
      <b/>
      <sz val="11"/>
      <color rgb="FFFFFFFF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Cambria"/>
      <family val="1"/>
    </font>
    <font>
      <sz val="8"/>
      <color indexed="8"/>
      <name val="Arial"/>
      <charset val="1"/>
    </font>
    <font>
      <b/>
      <sz val="14"/>
      <color rgb="FFFFFFFF"/>
      <name val="Cambria"/>
      <family val="1"/>
    </font>
    <font>
      <b/>
      <sz val="12"/>
      <color rgb="FFFFFFFF"/>
      <name val="Cambria"/>
      <family val="1"/>
    </font>
    <font>
      <b/>
      <sz val="9"/>
      <color indexed="8"/>
      <name val="Cambria"/>
      <family val="1"/>
    </font>
    <font>
      <sz val="9"/>
      <color indexed="8"/>
      <name val="Cambria"/>
      <family val="1"/>
    </font>
    <font>
      <b/>
      <sz val="9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FFC000"/>
        <bgColor indexed="0"/>
      </patternFill>
    </fill>
    <fill>
      <patternFill patternType="solid">
        <fgColor theme="0" tint="-0.14996795556505021"/>
        <bgColor indexed="0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rgb="FFDCE6F1"/>
        <bgColor rgb="FFC6EFCE"/>
      </patternFill>
    </fill>
    <fill>
      <patternFill patternType="solid">
        <fgColor rgb="FF000066"/>
        <bgColor rgb="FF003366"/>
      </patternFill>
    </fill>
    <fill>
      <patternFill patternType="solid">
        <fgColor rgb="FF000066"/>
        <bgColor rgb="FF0066CC"/>
      </patternFill>
    </fill>
    <fill>
      <patternFill patternType="solid">
        <fgColor rgb="FF000066"/>
        <bgColor indexed="64"/>
      </patternFill>
    </fill>
    <fill>
      <patternFill patternType="solid">
        <fgColor rgb="FF000066"/>
        <bgColor rgb="FFC6EFCE"/>
      </patternFill>
    </fill>
    <fill>
      <patternFill patternType="solid">
        <fgColor rgb="FFFFCC00"/>
        <bgColor rgb="FFDCE6F1"/>
      </patternFill>
    </fill>
    <fill>
      <patternFill patternType="solid">
        <fgColor rgb="FFFFCC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C6EFCE"/>
      </patternFill>
    </fill>
    <fill>
      <patternFill patternType="solid">
        <fgColor theme="0"/>
        <bgColor indexed="64"/>
      </patternFill>
    </fill>
    <fill>
      <patternFill patternType="solid">
        <fgColor rgb="FF262262"/>
        <bgColor indexed="64"/>
      </patternFill>
    </fill>
    <fill>
      <patternFill patternType="solid">
        <fgColor rgb="FFB39046"/>
        <bgColor indexed="64"/>
      </patternFill>
    </fill>
    <fill>
      <patternFill patternType="solid">
        <fgColor rgb="FF2E2A6E"/>
        <bgColor indexed="64"/>
      </patternFill>
    </fill>
    <fill>
      <patternFill patternType="solid">
        <fgColor rgb="FFCFA434"/>
        <bgColor indexed="64"/>
      </patternFill>
    </fill>
    <fill>
      <patternFill patternType="solid">
        <fgColor theme="9" tint="0.39997558519241921"/>
        <bgColor theme="4" tint="0.79998168889431442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indexed="8"/>
      </top>
      <bottom/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8EA9C1"/>
      </left>
      <right/>
      <top style="thin">
        <color rgb="FF8EA9C1"/>
      </top>
      <bottom style="thin">
        <color rgb="FF8EA9C1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1F4E79"/>
      </left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/>
      <diagonal/>
    </border>
    <border>
      <left style="thin">
        <color rgb="FF8EA9C1"/>
      </left>
      <right/>
      <top style="thin">
        <color rgb="FF8EA9C1"/>
      </top>
      <bottom/>
      <diagonal/>
    </border>
    <border>
      <left style="thin">
        <color rgb="FF8EA9C1"/>
      </left>
      <right style="thin">
        <color rgb="FF8EA9C1"/>
      </right>
      <top/>
      <bottom style="thin">
        <color rgb="FF8EA9C1"/>
      </bottom>
      <diagonal/>
    </border>
    <border>
      <left style="thin">
        <color rgb="FF8EA9C1"/>
      </left>
      <right/>
      <top/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medium">
        <color theme="0"/>
      </left>
      <right style="thin">
        <color rgb="FF8EA9C1"/>
      </right>
      <top style="medium">
        <color theme="0"/>
      </top>
      <bottom style="medium">
        <color theme="0"/>
      </bottom>
      <diagonal/>
    </border>
    <border>
      <left style="thin">
        <color rgb="FF8EA9C1"/>
      </left>
      <right style="thin">
        <color rgb="FF8EA9C1"/>
      </right>
      <top style="medium">
        <color theme="0"/>
      </top>
      <bottom style="medium">
        <color theme="0"/>
      </bottom>
      <diagonal/>
    </border>
    <border>
      <left style="thin">
        <color rgb="FF8EA9C1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rgb="FF8EA9C1"/>
      </right>
      <top style="thin">
        <color rgb="FF8EA9C1"/>
      </top>
      <bottom/>
      <diagonal/>
    </border>
    <border>
      <left style="medium">
        <color theme="0"/>
      </left>
      <right style="thin">
        <color rgb="FF8EA9C1"/>
      </right>
      <top/>
      <bottom style="thin">
        <color rgb="FF8EA9C1"/>
      </bottom>
      <diagonal/>
    </border>
    <border>
      <left style="medium">
        <color theme="0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 style="medium">
        <color theme="0"/>
      </right>
      <top style="thin">
        <color rgb="FF8EA9C1"/>
      </top>
      <bottom style="thin">
        <color rgb="FF8EA9C1"/>
      </bottom>
      <diagonal/>
    </border>
    <border>
      <left/>
      <right style="medium">
        <color theme="0"/>
      </right>
      <top style="thin">
        <color rgb="FF8EA9C1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thin">
        <color rgb="FF8EA9C1"/>
      </bottom>
      <diagonal/>
    </border>
    <border>
      <left style="thin">
        <color rgb="FF8EA9C1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 style="thin">
        <color rgb="FF8EA9C1"/>
      </top>
      <bottom style="medium">
        <color theme="0"/>
      </bottom>
      <diagonal/>
    </border>
    <border>
      <left/>
      <right/>
      <top style="thin">
        <color rgb="FF8EA9C1"/>
      </top>
      <bottom style="medium">
        <color theme="0"/>
      </bottom>
      <diagonal/>
    </border>
    <border>
      <left/>
      <right style="thin">
        <color rgb="FF8EA9C1"/>
      </right>
      <top style="thin">
        <color rgb="FF8EA9C1"/>
      </top>
      <bottom style="medium">
        <color theme="0"/>
      </bottom>
      <diagonal/>
    </border>
    <border>
      <left style="medium">
        <color theme="0"/>
      </left>
      <right/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 style="thin">
        <color rgb="FF8EA9C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42">
    <xf numFmtId="0" fontId="0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1" fillId="0" borderId="0"/>
    <xf numFmtId="0" fontId="11" fillId="0" borderId="0"/>
    <xf numFmtId="0" fontId="34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36" fillId="0" borderId="0"/>
    <xf numFmtId="0" fontId="37" fillId="0" borderId="0"/>
    <xf numFmtId="0" fontId="6" fillId="0" borderId="0"/>
    <xf numFmtId="0" fontId="38" fillId="0" borderId="0"/>
    <xf numFmtId="0" fontId="40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/>
    <xf numFmtId="0" fontId="11" fillId="0" borderId="0"/>
    <xf numFmtId="0" fontId="42" fillId="0" borderId="0"/>
    <xf numFmtId="0" fontId="43" fillId="0" borderId="0"/>
    <xf numFmtId="0" fontId="44" fillId="0" borderId="0"/>
    <xf numFmtId="0" fontId="48" fillId="0" borderId="0"/>
    <xf numFmtId="0" fontId="54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1" fillId="0" borderId="0"/>
    <xf numFmtId="0" fontId="11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7" fillId="0" borderId="0"/>
    <xf numFmtId="0" fontId="68" fillId="0" borderId="0"/>
  </cellStyleXfs>
  <cellXfs count="289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165" fontId="9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0" fillId="4" borderId="1" xfId="0" applyFill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165" fontId="8" fillId="3" borderId="1" xfId="0" applyNumberFormat="1" applyFont="1" applyFill="1" applyBorder="1" applyAlignment="1">
      <alignment horizontal="center"/>
    </xf>
    <xf numFmtId="165" fontId="10" fillId="3" borderId="1" xfId="0" applyNumberFormat="1" applyFont="1" applyFill="1" applyBorder="1" applyAlignment="1">
      <alignment horizontal="center"/>
    </xf>
    <xf numFmtId="10" fontId="10" fillId="3" borderId="1" xfId="2" applyNumberFormat="1" applyFont="1" applyFill="1" applyBorder="1" applyAlignment="1">
      <alignment horizontal="center"/>
    </xf>
    <xf numFmtId="0" fontId="11" fillId="0" borderId="0" xfId="4"/>
    <xf numFmtId="0" fontId="11" fillId="4" borderId="0" xfId="4" applyFill="1"/>
    <xf numFmtId="0" fontId="12" fillId="5" borderId="1" xfId="4" applyFont="1" applyFill="1" applyBorder="1" applyAlignment="1" applyProtection="1">
      <alignment horizontal="center" vertical="center" wrapText="1" readingOrder="1"/>
      <protection locked="0"/>
    </xf>
    <xf numFmtId="0" fontId="13" fillId="6" borderId="1" xfId="4" applyFont="1" applyFill="1" applyBorder="1" applyAlignment="1" applyProtection="1">
      <alignment horizontal="center" vertical="center" wrapText="1" readingOrder="1"/>
      <protection locked="0"/>
    </xf>
    <xf numFmtId="166" fontId="13" fillId="0" borderId="1" xfId="4" applyNumberFormat="1" applyFont="1" applyBorder="1" applyAlignment="1" applyProtection="1">
      <alignment horizontal="right" vertical="center" wrapText="1" readingOrder="1"/>
      <protection locked="0"/>
    </xf>
    <xf numFmtId="0" fontId="12" fillId="6" borderId="1" xfId="4" applyFont="1" applyFill="1" applyBorder="1" applyAlignment="1" applyProtection="1">
      <alignment horizontal="center" vertical="center" wrapText="1" readingOrder="1"/>
      <protection locked="0"/>
    </xf>
    <xf numFmtId="39" fontId="14" fillId="0" borderId="1" xfId="4" applyNumberFormat="1" applyFont="1" applyBorder="1" applyAlignment="1">
      <alignment horizontal="center" vertical="center"/>
    </xf>
    <xf numFmtId="0" fontId="14" fillId="0" borderId="0" xfId="4" applyFont="1"/>
    <xf numFmtId="0" fontId="12" fillId="7" borderId="1" xfId="4" applyFont="1" applyFill="1" applyBorder="1" applyAlignment="1" applyProtection="1">
      <alignment horizontal="center" vertical="center" wrapText="1" readingOrder="1"/>
      <protection locked="0"/>
    </xf>
    <xf numFmtId="0" fontId="12" fillId="8" borderId="1" xfId="4" applyFont="1" applyFill="1" applyBorder="1" applyAlignment="1" applyProtection="1">
      <alignment horizontal="center" vertical="center" wrapText="1" readingOrder="1"/>
      <protection locked="0"/>
    </xf>
    <xf numFmtId="166" fontId="13" fillId="4" borderId="1" xfId="4" applyNumberFormat="1" applyFont="1" applyFill="1" applyBorder="1" applyAlignment="1" applyProtection="1">
      <alignment horizontal="right" vertical="center" wrapText="1" readingOrder="1"/>
      <protection locked="0"/>
    </xf>
    <xf numFmtId="39" fontId="11" fillId="0" borderId="1" xfId="4" applyNumberFormat="1" applyBorder="1" applyAlignment="1">
      <alignment horizontal="center" vertical="center"/>
    </xf>
    <xf numFmtId="167" fontId="0" fillId="0" borderId="1" xfId="10" applyNumberFormat="1" applyFont="1" applyBorder="1"/>
    <xf numFmtId="39" fontId="11" fillId="0" borderId="1" xfId="4" applyNumberFormat="1" applyBorder="1"/>
    <xf numFmtId="10" fontId="11" fillId="0" borderId="1" xfId="2" applyNumberFormat="1" applyFont="1" applyBorder="1"/>
    <xf numFmtId="165" fontId="11" fillId="0" borderId="1" xfId="2" applyNumberFormat="1" applyFont="1" applyBorder="1" applyAlignment="1">
      <alignment horizontal="center" vertical="center"/>
    </xf>
    <xf numFmtId="166" fontId="12" fillId="7" borderId="1" xfId="4" applyNumberFormat="1" applyFont="1" applyFill="1" applyBorder="1" applyAlignment="1" applyProtection="1">
      <alignment horizontal="center" vertical="center" wrapText="1"/>
      <protection locked="0"/>
    </xf>
    <xf numFmtId="167" fontId="0" fillId="0" borderId="1" xfId="10" applyNumberFormat="1" applyFont="1" applyBorder="1" applyAlignment="1">
      <alignment horizontal="center" vertical="center"/>
    </xf>
    <xf numFmtId="10" fontId="11" fillId="0" borderId="1" xfId="2" applyNumberFormat="1" applyFont="1" applyBorder="1" applyAlignment="1">
      <alignment horizontal="center" vertical="center"/>
    </xf>
    <xf numFmtId="0" fontId="11" fillId="0" borderId="1" xfId="4" applyBorder="1" applyAlignment="1">
      <alignment horizontal="center" vertical="center"/>
    </xf>
    <xf numFmtId="43" fontId="11" fillId="0" borderId="0" xfId="1" applyFont="1"/>
    <xf numFmtId="43" fontId="11" fillId="0" borderId="0" xfId="4" applyNumberFormat="1"/>
    <xf numFmtId="0" fontId="0" fillId="0" borderId="2" xfId="0" applyBorder="1" applyAlignment="1" applyProtection="1">
      <alignment vertical="top" wrapText="1"/>
      <protection locked="0"/>
    </xf>
    <xf numFmtId="0" fontId="12" fillId="6" borderId="5" xfId="0" applyFont="1" applyFill="1" applyBorder="1" applyAlignment="1" applyProtection="1">
      <alignment horizontal="center" vertical="top" wrapText="1" readingOrder="1"/>
      <protection locked="0"/>
    </xf>
    <xf numFmtId="0" fontId="12" fillId="6" borderId="6" xfId="0" applyFont="1" applyFill="1" applyBorder="1" applyAlignment="1" applyProtection="1">
      <alignment horizontal="center" vertical="top" wrapText="1" readingOrder="1"/>
      <protection locked="0"/>
    </xf>
    <xf numFmtId="0" fontId="13" fillId="0" borderId="5" xfId="0" applyFont="1" applyBorder="1" applyAlignment="1" applyProtection="1">
      <alignment vertical="top" wrapText="1" readingOrder="1"/>
      <protection locked="0"/>
    </xf>
    <xf numFmtId="168" fontId="13" fillId="0" borderId="6" xfId="0" applyNumberFormat="1" applyFont="1" applyBorder="1" applyAlignment="1" applyProtection="1">
      <alignment horizontal="right" vertical="top" wrapText="1" readingOrder="1"/>
      <protection locked="0"/>
    </xf>
    <xf numFmtId="0" fontId="12" fillId="0" borderId="5" xfId="0" applyFont="1" applyBorder="1" applyAlignment="1" applyProtection="1">
      <alignment horizontal="center" vertical="top" wrapText="1" readingOrder="1"/>
      <protection locked="0"/>
    </xf>
    <xf numFmtId="0" fontId="12" fillId="0" borderId="8" xfId="0" applyFont="1" applyBorder="1" applyAlignment="1" applyProtection="1">
      <alignment horizontal="center" vertical="top" wrapText="1" readingOrder="1"/>
      <protection locked="0"/>
    </xf>
    <xf numFmtId="168" fontId="13" fillId="0" borderId="9" xfId="0" applyNumberFormat="1" applyFont="1" applyBorder="1" applyAlignment="1" applyProtection="1">
      <alignment horizontal="right" vertical="top" wrapText="1" readingOrder="1"/>
      <protection locked="0"/>
    </xf>
    <xf numFmtId="168" fontId="13" fillId="0" borderId="12" xfId="0" applyNumberFormat="1" applyFont="1" applyBorder="1" applyAlignment="1" applyProtection="1">
      <alignment vertical="top" wrapText="1" readingOrder="1"/>
      <protection locked="0"/>
    </xf>
    <xf numFmtId="0" fontId="12" fillId="6" borderId="13" xfId="0" applyFont="1" applyFill="1" applyBorder="1" applyAlignment="1" applyProtection="1">
      <alignment vertical="top" wrapText="1" readingOrder="1"/>
      <protection locked="0"/>
    </xf>
    <xf numFmtId="0" fontId="13" fillId="0" borderId="13" xfId="0" applyFont="1" applyBorder="1" applyAlignment="1" applyProtection="1">
      <alignment vertical="top" wrapText="1" readingOrder="1"/>
      <protection locked="0"/>
    </xf>
    <xf numFmtId="168" fontId="13" fillId="0" borderId="13" xfId="0" applyNumberFormat="1" applyFont="1" applyBorder="1" applyAlignment="1" applyProtection="1">
      <alignment vertical="top" wrapText="1" readingOrder="1"/>
      <protection locked="0"/>
    </xf>
    <xf numFmtId="0" fontId="18" fillId="0" borderId="15" xfId="0" applyFont="1" applyBorder="1" applyAlignment="1" applyProtection="1">
      <alignment horizontal="center" vertical="top" wrapText="1" readingOrder="1"/>
      <protection locked="0"/>
    </xf>
    <xf numFmtId="168" fontId="12" fillId="0" borderId="15" xfId="0" applyNumberFormat="1" applyFont="1" applyBorder="1" applyAlignment="1" applyProtection="1">
      <alignment vertical="top" wrapText="1" readingOrder="1"/>
      <protection locked="0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13" borderId="16" xfId="0" applyFont="1" applyFill="1" applyBorder="1" applyAlignment="1">
      <alignment horizontal="center" vertical="center" wrapText="1"/>
    </xf>
    <xf numFmtId="16" fontId="23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/>
    <xf numFmtId="0" fontId="0" fillId="0" borderId="1" xfId="0" applyBorder="1"/>
    <xf numFmtId="0" fontId="10" fillId="11" borderId="1" xfId="0" applyFont="1" applyFill="1" applyBorder="1"/>
    <xf numFmtId="0" fontId="0" fillId="4" borderId="1" xfId="0" applyFill="1" applyBorder="1"/>
    <xf numFmtId="0" fontId="32" fillId="0" borderId="0" xfId="3"/>
    <xf numFmtId="0" fontId="12" fillId="10" borderId="17" xfId="0" applyFont="1" applyFill="1" applyBorder="1" applyAlignment="1" applyProtection="1">
      <alignment horizontal="center" vertical="center" wrapText="1" readingOrder="1"/>
      <protection locked="0"/>
    </xf>
    <xf numFmtId="0" fontId="0" fillId="0" borderId="0" xfId="0" pivotButton="1"/>
    <xf numFmtId="165" fontId="0" fillId="0" borderId="0" xfId="0" pivotButton="1" applyNumberFormat="1"/>
    <xf numFmtId="0" fontId="39" fillId="9" borderId="17" xfId="0" applyFont="1" applyFill="1" applyBorder="1" applyAlignment="1" applyProtection="1">
      <alignment horizontal="center" vertical="center" wrapText="1" readingOrder="1"/>
      <protection locked="0"/>
    </xf>
    <xf numFmtId="0" fontId="39" fillId="7" borderId="17" xfId="0" applyFont="1" applyFill="1" applyBorder="1" applyAlignment="1" applyProtection="1">
      <alignment horizontal="center" vertical="center" wrapText="1" readingOrder="1"/>
      <protection locked="0"/>
    </xf>
    <xf numFmtId="0" fontId="13" fillId="0" borderId="17" xfId="4" applyFont="1" applyBorder="1" applyAlignment="1" applyProtection="1">
      <alignment horizontal="left" vertical="center" wrapText="1" readingOrder="1"/>
      <protection locked="0"/>
    </xf>
    <xf numFmtId="166" fontId="13" fillId="0" borderId="17" xfId="4" applyNumberFormat="1" applyFont="1" applyBorder="1" applyAlignment="1" applyProtection="1">
      <alignment horizontal="right" vertical="center" wrapText="1" readingOrder="1"/>
      <protection locked="0"/>
    </xf>
    <xf numFmtId="169" fontId="13" fillId="0" borderId="17" xfId="4" applyNumberFormat="1" applyFont="1" applyBorder="1" applyAlignment="1" applyProtection="1">
      <alignment horizontal="left" vertical="center" wrapText="1" readingOrder="1"/>
      <protection locked="0"/>
    </xf>
    <xf numFmtId="0" fontId="13" fillId="0" borderId="17" xfId="4" applyFont="1" applyBorder="1" applyAlignment="1" applyProtection="1">
      <alignment horizontal="right" vertical="center" wrapText="1" readingOrder="1"/>
      <protection locked="0"/>
    </xf>
    <xf numFmtId="0" fontId="0" fillId="0" borderId="17" xfId="0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9" fillId="16" borderId="18" xfId="0" applyFont="1" applyFill="1" applyBorder="1" applyAlignment="1">
      <alignment horizontal="center" wrapText="1"/>
    </xf>
    <xf numFmtId="0" fontId="50" fillId="16" borderId="18" xfId="0" applyFont="1" applyFill="1" applyBorder="1" applyAlignment="1">
      <alignment wrapText="1"/>
    </xf>
    <xf numFmtId="0" fontId="51" fillId="4" borderId="19" xfId="0" applyFont="1" applyFill="1" applyBorder="1" applyAlignment="1">
      <alignment horizontal="center" wrapText="1"/>
    </xf>
    <xf numFmtId="0" fontId="52" fillId="16" borderId="18" xfId="0" applyFont="1" applyFill="1" applyBorder="1" applyAlignment="1">
      <alignment horizontal="right" wrapText="1"/>
    </xf>
    <xf numFmtId="0" fontId="51" fillId="16" borderId="19" xfId="0" applyFont="1" applyFill="1" applyBorder="1" applyAlignment="1">
      <alignment horizontal="center" wrapText="1"/>
    </xf>
    <xf numFmtId="0" fontId="49" fillId="17" borderId="19" xfId="0" applyFont="1" applyFill="1" applyBorder="1" applyAlignment="1">
      <alignment horizontal="center" wrapText="1"/>
    </xf>
    <xf numFmtId="0" fontId="52" fillId="16" borderId="18" xfId="0" applyFont="1" applyFill="1" applyBorder="1" applyAlignment="1">
      <alignment wrapText="1"/>
    </xf>
    <xf numFmtId="0" fontId="12" fillId="10" borderId="17" xfId="0" applyFont="1" applyFill="1" applyBorder="1" applyAlignment="1" applyProtection="1">
      <alignment horizontal="center" vertical="center" readingOrder="1"/>
      <protection locked="0"/>
    </xf>
    <xf numFmtId="0" fontId="53" fillId="3" borderId="17" xfId="0" applyFont="1" applyFill="1" applyBorder="1" applyAlignment="1">
      <alignment horizontal="center" wrapText="1"/>
    </xf>
    <xf numFmtId="0" fontId="31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18" borderId="21" xfId="0" applyFont="1" applyFill="1" applyBorder="1" applyAlignment="1">
      <alignment horizontal="center" vertical="center" wrapText="1"/>
    </xf>
    <xf numFmtId="165" fontId="56" fillId="0" borderId="0" xfId="0" applyNumberFormat="1" applyFont="1" applyAlignment="1">
      <alignment horizontal="center"/>
    </xf>
    <xf numFmtId="0" fontId="55" fillId="0" borderId="21" xfId="0" applyFont="1" applyBorder="1" applyAlignment="1">
      <alignment vertical="center"/>
    </xf>
    <xf numFmtId="0" fontId="55" fillId="19" borderId="21" xfId="0" applyFont="1" applyFill="1" applyBorder="1" applyAlignment="1">
      <alignment vertical="center"/>
    </xf>
    <xf numFmtId="0" fontId="41" fillId="0" borderId="21" xfId="0" applyFont="1" applyBorder="1" applyAlignment="1">
      <alignment vertical="center"/>
    </xf>
    <xf numFmtId="0" fontId="57" fillId="18" borderId="20" xfId="0" applyFont="1" applyFill="1" applyBorder="1" applyAlignment="1">
      <alignment horizontal="center" vertical="center" wrapText="1"/>
    </xf>
    <xf numFmtId="173" fontId="41" fillId="0" borderId="20" xfId="0" applyNumberFormat="1" applyFont="1" applyBorder="1" applyAlignment="1">
      <alignment horizontal="center" vertical="center"/>
    </xf>
    <xf numFmtId="173" fontId="55" fillId="19" borderId="20" xfId="0" applyNumberFormat="1" applyFont="1" applyFill="1" applyBorder="1" applyAlignment="1">
      <alignment horizontal="center" vertical="center"/>
    </xf>
    <xf numFmtId="173" fontId="55" fillId="0" borderId="20" xfId="0" applyNumberFormat="1" applyFont="1" applyBorder="1" applyAlignment="1">
      <alignment horizontal="center" vertical="center"/>
    </xf>
    <xf numFmtId="0" fontId="59" fillId="0" borderId="0" xfId="0" applyFont="1" applyAlignment="1">
      <alignment vertical="center"/>
    </xf>
    <xf numFmtId="0" fontId="59" fillId="0" borderId="0" xfId="0" applyFont="1" applyAlignment="1">
      <alignment horizontal="center" vertical="center"/>
    </xf>
    <xf numFmtId="0" fontId="60" fillId="22" borderId="32" xfId="0" applyFont="1" applyFill="1" applyBorder="1" applyAlignment="1">
      <alignment vertical="center"/>
    </xf>
    <xf numFmtId="0" fontId="60" fillId="23" borderId="33" xfId="0" applyFont="1" applyFill="1" applyBorder="1" applyAlignment="1">
      <alignment vertical="center"/>
    </xf>
    <xf numFmtId="0" fontId="60" fillId="22" borderId="33" xfId="0" applyFont="1" applyFill="1" applyBorder="1" applyAlignment="1">
      <alignment vertical="center"/>
    </xf>
    <xf numFmtId="0" fontId="60" fillId="23" borderId="31" xfId="0" applyFont="1" applyFill="1" applyBorder="1" applyAlignment="1">
      <alignment vertical="center"/>
    </xf>
    <xf numFmtId="10" fontId="31" fillId="0" borderId="0" xfId="2" applyNumberFormat="1" applyFont="1" applyAlignment="1">
      <alignment horizontal="center"/>
    </xf>
    <xf numFmtId="10" fontId="56" fillId="0" borderId="0" xfId="2" applyNumberFormat="1" applyFont="1" applyAlignment="1">
      <alignment horizontal="center"/>
    </xf>
    <xf numFmtId="4" fontId="31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165" fontId="60" fillId="22" borderId="20" xfId="0" applyNumberFormat="1" applyFont="1" applyFill="1" applyBorder="1" applyAlignment="1">
      <alignment horizontal="center" vertical="center"/>
    </xf>
    <xf numFmtId="165" fontId="60" fillId="22" borderId="25" xfId="0" applyNumberFormat="1" applyFont="1" applyFill="1" applyBorder="1" applyAlignment="1">
      <alignment horizontal="center" vertical="center"/>
    </xf>
    <xf numFmtId="165" fontId="61" fillId="23" borderId="21" xfId="0" applyNumberFormat="1" applyFont="1" applyFill="1" applyBorder="1" applyAlignment="1">
      <alignment horizontal="center" vertical="center"/>
    </xf>
    <xf numFmtId="165" fontId="60" fillId="23" borderId="21" xfId="0" applyNumberFormat="1" applyFont="1" applyFill="1" applyBorder="1" applyAlignment="1">
      <alignment horizontal="center" vertical="center"/>
    </xf>
    <xf numFmtId="165" fontId="61" fillId="22" borderId="21" xfId="0" applyNumberFormat="1" applyFont="1" applyFill="1" applyBorder="1" applyAlignment="1">
      <alignment horizontal="center" vertical="center"/>
    </xf>
    <xf numFmtId="165" fontId="60" fillId="22" borderId="21" xfId="0" applyNumberFormat="1" applyFont="1" applyFill="1" applyBorder="1" applyAlignment="1">
      <alignment horizontal="center" vertical="center"/>
    </xf>
    <xf numFmtId="165" fontId="61" fillId="23" borderId="23" xfId="0" applyNumberFormat="1" applyFont="1" applyFill="1" applyBorder="1" applyAlignment="1">
      <alignment horizontal="center" vertical="center"/>
    </xf>
    <xf numFmtId="165" fontId="60" fillId="23" borderId="23" xfId="0" applyNumberFormat="1" applyFont="1" applyFill="1" applyBorder="1" applyAlignment="1">
      <alignment horizontal="center" vertical="center"/>
    </xf>
    <xf numFmtId="165" fontId="60" fillId="23" borderId="24" xfId="0" applyNumberFormat="1" applyFont="1" applyFill="1" applyBorder="1" applyAlignment="1">
      <alignment horizontal="center" vertical="center"/>
    </xf>
    <xf numFmtId="165" fontId="31" fillId="0" borderId="0" xfId="0" applyNumberFormat="1" applyFont="1" applyAlignment="1">
      <alignment horizontal="center"/>
    </xf>
    <xf numFmtId="165" fontId="53" fillId="26" borderId="38" xfId="0" applyNumberFormat="1" applyFont="1" applyFill="1" applyBorder="1" applyAlignment="1">
      <alignment horizontal="center" vertical="center"/>
    </xf>
    <xf numFmtId="173" fontId="53" fillId="26" borderId="38" xfId="0" applyNumberFormat="1" applyFont="1" applyFill="1" applyBorder="1" applyAlignment="1">
      <alignment horizontal="center" vertical="center"/>
    </xf>
    <xf numFmtId="173" fontId="53" fillId="26" borderId="39" xfId="0" applyNumberFormat="1" applyFont="1" applyFill="1" applyBorder="1" applyAlignment="1">
      <alignment horizontal="center" vertical="center"/>
    </xf>
    <xf numFmtId="165" fontId="53" fillId="27" borderId="24" xfId="0" applyNumberFormat="1" applyFont="1" applyFill="1" applyBorder="1" applyAlignment="1">
      <alignment horizontal="center" vertical="center"/>
    </xf>
    <xf numFmtId="173" fontId="53" fillId="26" borderId="20" xfId="0" applyNumberFormat="1" applyFont="1" applyFill="1" applyBorder="1" applyAlignment="1">
      <alignment horizontal="center" vertical="center"/>
    </xf>
    <xf numFmtId="173" fontId="53" fillId="26" borderId="34" xfId="0" applyNumberFormat="1" applyFont="1" applyFill="1" applyBorder="1" applyAlignment="1">
      <alignment horizontal="center" vertical="center"/>
    </xf>
    <xf numFmtId="0" fontId="64" fillId="21" borderId="31" xfId="0" applyFont="1" applyFill="1" applyBorder="1" applyAlignment="1">
      <alignment horizontal="center" vertical="center" wrapText="1"/>
    </xf>
    <xf numFmtId="0" fontId="64" fillId="21" borderId="23" xfId="0" applyFont="1" applyFill="1" applyBorder="1" applyAlignment="1">
      <alignment horizontal="center" vertical="center" wrapText="1"/>
    </xf>
    <xf numFmtId="0" fontId="64" fillId="21" borderId="24" xfId="0" applyFont="1" applyFill="1" applyBorder="1" applyAlignment="1">
      <alignment horizontal="center" vertical="center" wrapText="1"/>
    </xf>
    <xf numFmtId="0" fontId="66" fillId="24" borderId="28" xfId="0" applyFont="1" applyFill="1" applyBorder="1" applyAlignment="1">
      <alignment vertical="center"/>
    </xf>
    <xf numFmtId="165" fontId="66" fillId="24" borderId="29" xfId="0" applyNumberFormat="1" applyFont="1" applyFill="1" applyBorder="1" applyAlignment="1">
      <alignment horizontal="center" vertical="center"/>
    </xf>
    <xf numFmtId="165" fontId="58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65" fontId="63" fillId="0" borderId="0" xfId="0" applyNumberFormat="1" applyFont="1" applyAlignment="1">
      <alignment horizontal="center"/>
    </xf>
    <xf numFmtId="4" fontId="63" fillId="0" borderId="0" xfId="0" applyNumberFormat="1" applyFont="1" applyAlignment="1">
      <alignment horizontal="center"/>
    </xf>
    <xf numFmtId="0" fontId="49" fillId="28" borderId="17" xfId="0" applyFont="1" applyFill="1" applyBorder="1" applyAlignment="1">
      <alignment vertical="center" wrapText="1"/>
    </xf>
    <xf numFmtId="0" fontId="50" fillId="28" borderId="17" xfId="0" applyFont="1" applyFill="1" applyBorder="1" applyAlignment="1">
      <alignment vertical="center" wrapText="1"/>
    </xf>
    <xf numFmtId="0" fontId="35" fillId="14" borderId="17" xfId="0" applyFont="1" applyFill="1" applyBorder="1" applyAlignment="1">
      <alignment horizontal="center"/>
    </xf>
    <xf numFmtId="0" fontId="41" fillId="0" borderId="17" xfId="0" applyFont="1" applyBorder="1" applyAlignment="1">
      <alignment horizontal="center"/>
    </xf>
    <xf numFmtId="165" fontId="35" fillId="14" borderId="17" xfId="0" applyNumberFormat="1" applyFont="1" applyFill="1" applyBorder="1" applyAlignment="1">
      <alignment horizontal="center"/>
    </xf>
    <xf numFmtId="165" fontId="41" fillId="0" borderId="17" xfId="0" applyNumberFormat="1" applyFont="1" applyBorder="1" applyAlignment="1">
      <alignment horizontal="center"/>
    </xf>
    <xf numFmtId="165" fontId="65" fillId="23" borderId="21" xfId="0" applyNumberFormat="1" applyFont="1" applyFill="1" applyBorder="1" applyAlignment="1">
      <alignment horizontal="center" vertical="center"/>
    </xf>
    <xf numFmtId="165" fontId="60" fillId="0" borderId="0" xfId="0" applyNumberFormat="1" applyFont="1" applyAlignment="1">
      <alignment horizontal="center" vertical="center"/>
    </xf>
    <xf numFmtId="0" fontId="63" fillId="0" borderId="0" xfId="0" applyFont="1"/>
    <xf numFmtId="0" fontId="10" fillId="15" borderId="17" xfId="0" applyFont="1" applyFill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10" fillId="15" borderId="17" xfId="0" applyNumberFormat="1" applyFont="1" applyFill="1" applyBorder="1" applyAlignment="1">
      <alignment horizontal="center"/>
    </xf>
    <xf numFmtId="165" fontId="57" fillId="22" borderId="0" xfId="0" applyNumberFormat="1" applyFont="1" applyFill="1" applyAlignment="1">
      <alignment horizontal="center"/>
    </xf>
    <xf numFmtId="0" fontId="2" fillId="0" borderId="0" xfId="0" applyFont="1"/>
    <xf numFmtId="0" fontId="9" fillId="0" borderId="0" xfId="0" applyFont="1" applyAlignment="1">
      <alignment horizontal="center" wrapText="1"/>
    </xf>
    <xf numFmtId="2" fontId="9" fillId="0" borderId="0" xfId="0" applyNumberFormat="1" applyFont="1" applyAlignment="1">
      <alignment horizontal="center" wrapText="1"/>
    </xf>
    <xf numFmtId="166" fontId="9" fillId="0" borderId="0" xfId="0" applyNumberFormat="1" applyFont="1" applyAlignment="1">
      <alignment horizontal="center" wrapText="1"/>
    </xf>
    <xf numFmtId="0" fontId="70" fillId="0" borderId="0" xfId="0" applyFont="1" applyAlignment="1">
      <alignment horizontal="center" wrapText="1"/>
    </xf>
    <xf numFmtId="0" fontId="57" fillId="29" borderId="17" xfId="0" applyFont="1" applyFill="1" applyBorder="1" applyAlignment="1">
      <alignment horizontal="center" vertical="center" wrapText="1"/>
    </xf>
    <xf numFmtId="0" fontId="35" fillId="30" borderId="17" xfId="0" applyFont="1" applyFill="1" applyBorder="1" applyAlignment="1">
      <alignment horizontal="center" vertical="center" wrapText="1"/>
    </xf>
    <xf numFmtId="0" fontId="35" fillId="16" borderId="17" xfId="0" applyFont="1" applyFill="1" applyBorder="1" applyAlignment="1">
      <alignment horizontal="center" vertical="center" wrapText="1"/>
    </xf>
    <xf numFmtId="0" fontId="41" fillId="31" borderId="17" xfId="0" applyFont="1" applyFill="1" applyBorder="1" applyAlignment="1">
      <alignment horizontal="center" vertical="center" wrapText="1"/>
    </xf>
    <xf numFmtId="0" fontId="41" fillId="0" borderId="17" xfId="0" applyFont="1" applyBorder="1" applyAlignment="1">
      <alignment horizontal="center" vertical="center" wrapText="1"/>
    </xf>
    <xf numFmtId="0" fontId="41" fillId="32" borderId="17" xfId="0" applyFont="1" applyFill="1" applyBorder="1" applyAlignment="1">
      <alignment horizontal="center" vertical="center" wrapText="1"/>
    </xf>
    <xf numFmtId="165" fontId="63" fillId="0" borderId="17" xfId="0" applyNumberFormat="1" applyFont="1" applyBorder="1" applyAlignment="1">
      <alignment horizontal="center"/>
    </xf>
    <xf numFmtId="0" fontId="64" fillId="21" borderId="17" xfId="0" applyFont="1" applyFill="1" applyBorder="1" applyAlignment="1">
      <alignment horizontal="center" vertical="center" wrapText="1"/>
    </xf>
    <xf numFmtId="14" fontId="63" fillId="0" borderId="1" xfId="0" applyNumberFormat="1" applyFont="1" applyBorder="1" applyAlignment="1">
      <alignment horizontal="center"/>
    </xf>
    <xf numFmtId="0" fontId="1" fillId="0" borderId="0" xfId="0" applyFont="1"/>
    <xf numFmtId="0" fontId="47" fillId="0" borderId="0" xfId="0" applyFont="1" applyAlignment="1" applyProtection="1">
      <alignment vertical="center" wrapText="1" readingOrder="1"/>
      <protection locked="0"/>
    </xf>
    <xf numFmtId="0" fontId="19" fillId="0" borderId="0" xfId="0" applyFont="1" applyAlignment="1" applyProtection="1">
      <alignment vertical="center" wrapText="1" readingOrder="1"/>
      <protection locked="0"/>
    </xf>
    <xf numFmtId="0" fontId="35" fillId="3" borderId="17" xfId="0" applyFont="1" applyFill="1" applyBorder="1" applyAlignment="1">
      <alignment horizontal="center" vertical="center"/>
    </xf>
    <xf numFmtId="0" fontId="12" fillId="7" borderId="17" xfId="0" applyFont="1" applyFill="1" applyBorder="1" applyAlignment="1" applyProtection="1">
      <alignment horizontal="center" vertical="center" wrapText="1" readingOrder="1"/>
      <protection locked="0"/>
    </xf>
    <xf numFmtId="0" fontId="53" fillId="3" borderId="17" xfId="0" applyFont="1" applyFill="1" applyBorder="1" applyAlignment="1">
      <alignment horizontal="center"/>
    </xf>
    <xf numFmtId="0" fontId="41" fillId="0" borderId="17" xfId="0" applyFont="1" applyBorder="1"/>
    <xf numFmtId="0" fontId="35" fillId="14" borderId="17" xfId="0" applyFont="1" applyFill="1" applyBorder="1"/>
    <xf numFmtId="173" fontId="41" fillId="0" borderId="17" xfId="0" applyNumberFormat="1" applyFont="1" applyBorder="1" applyAlignment="1">
      <alignment horizontal="center"/>
    </xf>
    <xf numFmtId="173" fontId="35" fillId="14" borderId="17" xfId="0" applyNumberFormat="1" applyFont="1" applyFill="1" applyBorder="1" applyAlignment="1">
      <alignment horizontal="center"/>
    </xf>
    <xf numFmtId="0" fontId="35" fillId="3" borderId="17" xfId="0" applyFont="1" applyFill="1" applyBorder="1" applyAlignment="1">
      <alignment horizontal="center"/>
    </xf>
    <xf numFmtId="169" fontId="13" fillId="0" borderId="45" xfId="0" applyNumberFormat="1" applyFont="1" applyBorder="1" applyAlignment="1" applyProtection="1">
      <alignment horizontal="left" vertical="center" readingOrder="1"/>
      <protection locked="0"/>
    </xf>
    <xf numFmtId="0" fontId="13" fillId="0" borderId="45" xfId="0" applyFont="1" applyBorder="1" applyAlignment="1" applyProtection="1">
      <alignment horizontal="left" vertical="center" readingOrder="1"/>
      <protection locked="0"/>
    </xf>
    <xf numFmtId="0" fontId="13" fillId="0" borderId="45" xfId="0" applyFont="1" applyBorder="1" applyAlignment="1" applyProtection="1">
      <alignment vertical="center" readingOrder="1"/>
      <protection locked="0"/>
    </xf>
    <xf numFmtId="170" fontId="13" fillId="0" borderId="45" xfId="0" applyNumberFormat="1" applyFont="1" applyBorder="1" applyAlignment="1" applyProtection="1">
      <alignment vertical="center" readingOrder="1"/>
      <protection locked="0"/>
    </xf>
    <xf numFmtId="170" fontId="13" fillId="0" borderId="45" xfId="0" applyNumberFormat="1" applyFont="1" applyBorder="1" applyAlignment="1" applyProtection="1">
      <alignment horizontal="right" vertical="center" readingOrder="1"/>
      <protection locked="0"/>
    </xf>
    <xf numFmtId="172" fontId="13" fillId="0" borderId="45" xfId="0" applyNumberFormat="1" applyFont="1" applyBorder="1" applyAlignment="1" applyProtection="1">
      <alignment horizontal="left" vertical="center" readingOrder="1"/>
      <protection locked="0"/>
    </xf>
    <xf numFmtId="169" fontId="71" fillId="0" borderId="45" xfId="0" applyNumberFormat="1" applyFont="1" applyBorder="1" applyAlignment="1" applyProtection="1">
      <alignment horizontal="left" vertical="center" wrapText="1" readingOrder="1"/>
      <protection locked="0"/>
    </xf>
    <xf numFmtId="0" fontId="71" fillId="0" borderId="45" xfId="0" applyFont="1" applyBorder="1" applyAlignment="1" applyProtection="1">
      <alignment horizontal="left" vertical="center" wrapText="1" readingOrder="1"/>
      <protection locked="0"/>
    </xf>
    <xf numFmtId="170" fontId="71" fillId="0" borderId="45" xfId="0" applyNumberFormat="1" applyFont="1" applyBorder="1" applyAlignment="1" applyProtection="1">
      <alignment horizontal="right" vertical="center" wrapText="1" readingOrder="1"/>
      <protection locked="0"/>
    </xf>
    <xf numFmtId="0" fontId="41" fillId="0" borderId="0" xfId="0" applyFont="1" applyAlignment="1">
      <alignment horizontal="center" vertical="center" wrapText="1"/>
    </xf>
    <xf numFmtId="0" fontId="35" fillId="32" borderId="17" xfId="0" applyFont="1" applyFill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57" fillId="31" borderId="17" xfId="0" applyFont="1" applyFill="1" applyBorder="1" applyAlignment="1">
      <alignment horizontal="center" vertical="center" wrapText="1"/>
    </xf>
    <xf numFmtId="0" fontId="74" fillId="10" borderId="17" xfId="0" applyFont="1" applyFill="1" applyBorder="1" applyAlignment="1" applyProtection="1">
      <alignment horizontal="center" vertical="center" wrapText="1" readingOrder="1"/>
      <protection locked="0"/>
    </xf>
    <xf numFmtId="166" fontId="74" fillId="10" borderId="17" xfId="0" applyNumberFormat="1" applyFont="1" applyFill="1" applyBorder="1" applyAlignment="1" applyProtection="1">
      <alignment horizontal="center" vertical="center" wrapText="1" readingOrder="1"/>
      <protection locked="0"/>
    </xf>
    <xf numFmtId="0" fontId="74" fillId="7" borderId="17" xfId="4" applyFont="1" applyFill="1" applyBorder="1" applyAlignment="1" applyProtection="1">
      <alignment horizontal="center" vertical="center" wrapText="1" readingOrder="1"/>
      <protection locked="0"/>
    </xf>
    <xf numFmtId="0" fontId="74" fillId="8" borderId="17" xfId="4" applyFont="1" applyFill="1" applyBorder="1" applyAlignment="1" applyProtection="1">
      <alignment horizontal="center" vertical="center" wrapText="1" readingOrder="1"/>
      <protection locked="0"/>
    </xf>
    <xf numFmtId="0" fontId="75" fillId="6" borderId="17" xfId="0" applyFont="1" applyFill="1" applyBorder="1" applyAlignment="1" applyProtection="1">
      <alignment horizontal="center" vertical="center" wrapText="1" readingOrder="1"/>
      <protection locked="0"/>
    </xf>
    <xf numFmtId="2" fontId="76" fillId="0" borderId="17" xfId="4" applyNumberFormat="1" applyFont="1" applyBorder="1" applyAlignment="1">
      <alignment horizontal="center" vertical="center" wrapText="1" readingOrder="1"/>
    </xf>
    <xf numFmtId="167" fontId="8" fillId="0" borderId="17" xfId="10" applyNumberFormat="1" applyFont="1" applyFill="1" applyBorder="1" applyAlignment="1">
      <alignment horizontal="center" vertical="center" wrapText="1" readingOrder="1"/>
    </xf>
    <xf numFmtId="0" fontId="74" fillId="10" borderId="17" xfId="4" applyFont="1" applyFill="1" applyBorder="1" applyAlignment="1" applyProtection="1">
      <alignment horizontal="center" vertical="center" wrapText="1" readingOrder="1"/>
      <protection locked="0"/>
    </xf>
    <xf numFmtId="2" fontId="76" fillId="3" borderId="17" xfId="4" applyNumberFormat="1" applyFont="1" applyFill="1" applyBorder="1" applyAlignment="1">
      <alignment horizontal="center" vertical="center" wrapText="1" readingOrder="1"/>
    </xf>
    <xf numFmtId="167" fontId="8" fillId="3" borderId="17" xfId="10" applyNumberFormat="1" applyFont="1" applyFill="1" applyBorder="1" applyAlignment="1">
      <alignment horizontal="center" vertical="center" wrapText="1" readingOrder="1"/>
    </xf>
    <xf numFmtId="0" fontId="35" fillId="0" borderId="17" xfId="0" applyFont="1" applyBorder="1" applyAlignment="1">
      <alignment horizontal="center"/>
    </xf>
    <xf numFmtId="0" fontId="35" fillId="33" borderId="17" xfId="0" applyFont="1" applyFill="1" applyBorder="1" applyAlignment="1">
      <alignment horizontal="center"/>
    </xf>
    <xf numFmtId="165" fontId="35" fillId="33" borderId="17" xfId="0" applyNumberFormat="1" applyFont="1" applyFill="1" applyBorder="1" applyAlignment="1">
      <alignment horizontal="center"/>
    </xf>
    <xf numFmtId="165" fontId="10" fillId="14" borderId="17" xfId="0" applyNumberFormat="1" applyFont="1" applyFill="1" applyBorder="1" applyAlignment="1">
      <alignment horizontal="center"/>
    </xf>
    <xf numFmtId="0" fontId="19" fillId="0" borderId="17" xfId="0" applyFont="1" applyBorder="1" applyAlignment="1" applyProtection="1">
      <alignment horizontal="center" vertical="center" wrapText="1" readingOrder="1"/>
      <protection locked="0"/>
    </xf>
    <xf numFmtId="0" fontId="47" fillId="0" borderId="17" xfId="0" applyFont="1" applyBorder="1" applyAlignment="1" applyProtection="1">
      <alignment horizontal="center" vertical="center" wrapText="1" readingOrder="1"/>
      <protection locked="0"/>
    </xf>
    <xf numFmtId="0" fontId="0" fillId="0" borderId="17" xfId="0" applyBorder="1" applyAlignment="1" applyProtection="1">
      <alignment vertical="top" wrapText="1"/>
      <protection locked="0"/>
    </xf>
    <xf numFmtId="0" fontId="0" fillId="3" borderId="17" xfId="0" applyFill="1" applyBorder="1" applyAlignment="1" applyProtection="1">
      <alignment vertical="top" wrapText="1"/>
      <protection locked="0"/>
    </xf>
    <xf numFmtId="0" fontId="19" fillId="0" borderId="17" xfId="0" applyFont="1" applyBorder="1" applyAlignment="1" applyProtection="1">
      <alignment horizontal="center" vertical="center" wrapText="1"/>
      <protection locked="0"/>
    </xf>
    <xf numFmtId="0" fontId="47" fillId="0" borderId="17" xfId="0" applyFont="1" applyBorder="1" applyAlignment="1" applyProtection="1">
      <alignment horizontal="center" vertical="center" wrapText="1"/>
      <protection locked="0"/>
    </xf>
    <xf numFmtId="0" fontId="12" fillId="10" borderId="17" xfId="0" applyFont="1" applyFill="1" applyBorder="1" applyAlignment="1" applyProtection="1">
      <alignment horizontal="center" vertical="center" wrapText="1" readingOrder="1"/>
      <protection locked="0"/>
    </xf>
    <xf numFmtId="0" fontId="69" fillId="3" borderId="17" xfId="0" applyFont="1" applyFill="1" applyBorder="1" applyAlignment="1" applyProtection="1">
      <alignment vertical="top" wrapText="1"/>
      <protection locked="0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165" fontId="7" fillId="0" borderId="17" xfId="0" applyNumberFormat="1" applyFont="1" applyBorder="1" applyAlignment="1">
      <alignment horizontal="center" vertical="center"/>
    </xf>
    <xf numFmtId="165" fontId="21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171" fontId="7" fillId="0" borderId="17" xfId="0" applyNumberFormat="1" applyFont="1" applyBorder="1" applyAlignment="1">
      <alignment horizontal="center" vertical="center"/>
    </xf>
    <xf numFmtId="0" fontId="53" fillId="26" borderId="40" xfId="0" applyFont="1" applyFill="1" applyBorder="1" applyAlignment="1">
      <alignment horizontal="center" vertical="center"/>
    </xf>
    <xf numFmtId="0" fontId="53" fillId="26" borderId="41" xfId="0" applyFont="1" applyFill="1" applyBorder="1" applyAlignment="1">
      <alignment horizontal="center" vertical="center"/>
    </xf>
    <xf numFmtId="0" fontId="53" fillId="26" borderId="42" xfId="0" applyFont="1" applyFill="1" applyBorder="1" applyAlignment="1">
      <alignment horizontal="center" vertical="center"/>
    </xf>
    <xf numFmtId="0" fontId="53" fillId="27" borderId="43" xfId="0" applyFont="1" applyFill="1" applyBorder="1" applyAlignment="1">
      <alignment horizontal="center" vertical="center"/>
    </xf>
    <xf numFmtId="0" fontId="53" fillId="27" borderId="44" xfId="0" applyFont="1" applyFill="1" applyBorder="1" applyAlignment="1">
      <alignment horizontal="center" vertical="center"/>
    </xf>
    <xf numFmtId="0" fontId="53" fillId="27" borderId="27" xfId="0" applyFont="1" applyFill="1" applyBorder="1" applyAlignment="1">
      <alignment horizontal="center" vertical="center"/>
    </xf>
    <xf numFmtId="173" fontId="60" fillId="22" borderId="20" xfId="0" applyNumberFormat="1" applyFont="1" applyFill="1" applyBorder="1" applyAlignment="1">
      <alignment horizontal="center" vertical="center"/>
    </xf>
    <xf numFmtId="173" fontId="60" fillId="22" borderId="34" xfId="0" applyNumberFormat="1" applyFont="1" applyFill="1" applyBorder="1" applyAlignment="1">
      <alignment horizontal="center" vertical="center"/>
    </xf>
    <xf numFmtId="14" fontId="62" fillId="22" borderId="20" xfId="0" applyNumberFormat="1" applyFont="1" applyFill="1" applyBorder="1" applyAlignment="1">
      <alignment horizontal="center" vertical="center"/>
    </xf>
    <xf numFmtId="14" fontId="62" fillId="22" borderId="27" xfId="0" applyNumberFormat="1" applyFont="1" applyFill="1" applyBorder="1" applyAlignment="1">
      <alignment horizontal="center" vertical="center"/>
    </xf>
    <xf numFmtId="0" fontId="59" fillId="20" borderId="22" xfId="0" applyFont="1" applyFill="1" applyBorder="1" applyAlignment="1">
      <alignment horizontal="center" vertical="center"/>
    </xf>
    <xf numFmtId="0" fontId="59" fillId="20" borderId="0" xfId="0" applyFont="1" applyFill="1" applyAlignment="1">
      <alignment horizontal="center" vertical="center"/>
    </xf>
    <xf numFmtId="173" fontId="60" fillId="22" borderId="20" xfId="0" applyNumberFormat="1" applyFont="1" applyFill="1" applyBorder="1" applyAlignment="1">
      <alignment horizontal="center" vertical="center" wrapText="1"/>
    </xf>
    <xf numFmtId="173" fontId="60" fillId="22" borderId="27" xfId="0" applyNumberFormat="1" applyFont="1" applyFill="1" applyBorder="1" applyAlignment="1">
      <alignment horizontal="center" vertical="center"/>
    </xf>
    <xf numFmtId="2" fontId="60" fillId="22" borderId="20" xfId="0" applyNumberFormat="1" applyFont="1" applyFill="1" applyBorder="1" applyAlignment="1">
      <alignment horizontal="center" vertical="center"/>
    </xf>
    <xf numFmtId="2" fontId="60" fillId="22" borderId="27" xfId="0" applyNumberFormat="1" applyFont="1" applyFill="1" applyBorder="1" applyAlignment="1">
      <alignment horizontal="center" vertical="center"/>
    </xf>
    <xf numFmtId="165" fontId="60" fillId="22" borderId="20" xfId="0" applyNumberFormat="1" applyFont="1" applyFill="1" applyBorder="1" applyAlignment="1">
      <alignment horizontal="center" vertical="center"/>
    </xf>
    <xf numFmtId="165" fontId="60" fillId="22" borderId="27" xfId="0" applyNumberFormat="1" applyFont="1" applyFill="1" applyBorder="1" applyAlignment="1">
      <alignment horizontal="center" vertical="center"/>
    </xf>
    <xf numFmtId="173" fontId="65" fillId="22" borderId="24" xfId="0" applyNumberFormat="1" applyFont="1" applyFill="1" applyBorder="1" applyAlignment="1">
      <alignment horizontal="center" vertical="center"/>
    </xf>
    <xf numFmtId="173" fontId="65" fillId="22" borderId="35" xfId="0" applyNumberFormat="1" applyFont="1" applyFill="1" applyBorder="1" applyAlignment="1">
      <alignment horizontal="center" vertical="center"/>
    </xf>
    <xf numFmtId="10" fontId="63" fillId="25" borderId="30" xfId="2" applyNumberFormat="1" applyFont="1" applyFill="1" applyBorder="1" applyAlignment="1">
      <alignment horizontal="center" vertical="center"/>
    </xf>
    <xf numFmtId="10" fontId="63" fillId="25" borderId="36" xfId="2" applyNumberFormat="1" applyFont="1" applyFill="1" applyBorder="1" applyAlignment="1">
      <alignment horizontal="center" vertical="center"/>
    </xf>
    <xf numFmtId="173" fontId="60" fillId="22" borderId="26" xfId="0" applyNumberFormat="1" applyFont="1" applyFill="1" applyBorder="1" applyAlignment="1">
      <alignment horizontal="center" vertical="center"/>
    </xf>
    <xf numFmtId="173" fontId="60" fillId="22" borderId="37" xfId="0" applyNumberFormat="1" applyFont="1" applyFill="1" applyBorder="1" applyAlignment="1">
      <alignment horizontal="center" vertical="center"/>
    </xf>
    <xf numFmtId="0" fontId="72" fillId="29" borderId="17" xfId="0" applyFont="1" applyFill="1" applyBorder="1" applyAlignment="1">
      <alignment horizontal="center" vertical="center" wrapText="1"/>
    </xf>
    <xf numFmtId="0" fontId="41" fillId="29" borderId="17" xfId="0" applyFont="1" applyFill="1" applyBorder="1" applyAlignment="1">
      <alignment horizontal="center" vertical="center" wrapText="1"/>
    </xf>
    <xf numFmtId="15" fontId="73" fillId="29" borderId="17" xfId="0" applyNumberFormat="1" applyFont="1" applyFill="1" applyBorder="1" applyAlignment="1">
      <alignment horizontal="center" vertical="center" wrapText="1"/>
    </xf>
    <xf numFmtId="0" fontId="35" fillId="30" borderId="17" xfId="0" applyFont="1" applyFill="1" applyBorder="1" applyAlignment="1">
      <alignment horizontal="center" vertical="center" wrapText="1"/>
    </xf>
    <xf numFmtId="0" fontId="35" fillId="16" borderId="17" xfId="0" applyFont="1" applyFill="1" applyBorder="1" applyAlignment="1">
      <alignment horizontal="center" vertical="center" wrapText="1"/>
    </xf>
    <xf numFmtId="0" fontId="57" fillId="29" borderId="17" xfId="0" applyFont="1" applyFill="1" applyBorder="1" applyAlignment="1">
      <alignment horizontal="center" vertical="center" wrapText="1"/>
    </xf>
    <xf numFmtId="0" fontId="35" fillId="32" borderId="17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12" fillId="0" borderId="10" xfId="0" applyFont="1" applyBorder="1" applyAlignment="1" applyProtection="1">
      <alignment horizontal="center" vertical="top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12" fillId="6" borderId="13" xfId="0" applyFont="1" applyFill="1" applyBorder="1" applyAlignment="1" applyProtection="1">
      <alignment horizontal="center" vertical="top" wrapText="1" readingOrder="1"/>
      <protection locked="0"/>
    </xf>
    <xf numFmtId="0" fontId="0" fillId="0" borderId="14" xfId="0" applyBorder="1" applyAlignment="1" applyProtection="1">
      <alignment vertical="top" wrapText="1"/>
      <protection locked="0"/>
    </xf>
    <xf numFmtId="0" fontId="17" fillId="0" borderId="5" xfId="0" applyFont="1" applyBorder="1" applyAlignment="1" applyProtection="1">
      <alignment horizontal="left" vertical="top" wrapText="1" readingOrder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15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16" fillId="0" borderId="0" xfId="0" applyFont="1" applyAlignment="1" applyProtection="1">
      <alignment horizontal="left" vertical="top" wrapText="1" readingOrder="1"/>
      <protection locked="0"/>
    </xf>
    <xf numFmtId="0" fontId="12" fillId="6" borderId="3" xfId="0" applyFont="1" applyFill="1" applyBorder="1" applyAlignment="1" applyProtection="1">
      <alignment horizontal="center" vertical="top"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12" fillId="0" borderId="0" xfId="4" applyFont="1" applyAlignment="1" applyProtection="1">
      <alignment horizontal="left" vertical="top" wrapText="1" readingOrder="1"/>
      <protection locked="0"/>
    </xf>
    <xf numFmtId="0" fontId="11" fillId="0" borderId="0" xfId="4"/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6" fontId="75" fillId="0" borderId="17" xfId="0" applyNumberFormat="1" applyFont="1" applyBorder="1" applyAlignment="1" applyProtection="1">
      <alignment horizontal="center" vertical="center" wrapText="1" readingOrder="1"/>
      <protection locked="0"/>
    </xf>
    <xf numFmtId="169" fontId="13" fillId="0" borderId="17" xfId="0" applyNumberFormat="1" applyFont="1" applyBorder="1" applyAlignment="1" applyProtection="1">
      <alignment horizontal="left" vertical="center" wrapText="1" readingOrder="1"/>
      <protection locked="0"/>
    </xf>
    <xf numFmtId="0" fontId="13" fillId="0" borderId="17" xfId="0" applyFont="1" applyBorder="1" applyAlignment="1" applyProtection="1">
      <alignment horizontal="left" vertical="center" wrapText="1" readingOrder="1"/>
      <protection locked="0"/>
    </xf>
    <xf numFmtId="166" fontId="13" fillId="0" borderId="17" xfId="0" applyNumberFormat="1" applyFont="1" applyBorder="1" applyAlignment="1" applyProtection="1">
      <alignment horizontal="right" vertical="center" wrapText="1" readingOrder="1"/>
      <protection locked="0"/>
    </xf>
    <xf numFmtId="0" fontId="13" fillId="0" borderId="17" xfId="0" applyFont="1" applyBorder="1" applyAlignment="1" applyProtection="1">
      <alignment horizontal="left" vertical="center" wrapText="1" readingOrder="1"/>
      <protection locked="0"/>
    </xf>
    <xf numFmtId="0" fontId="12" fillId="10" borderId="17" xfId="0" applyFont="1" applyFill="1" applyBorder="1" applyAlignment="1" applyProtection="1">
      <alignment vertical="center" wrapText="1" readingOrder="1"/>
      <protection locked="0"/>
    </xf>
    <xf numFmtId="166" fontId="12" fillId="10" borderId="17" xfId="0" applyNumberFormat="1" applyFont="1" applyFill="1" applyBorder="1" applyAlignment="1" applyProtection="1">
      <alignment horizontal="right" vertical="center" wrapText="1" readingOrder="1"/>
      <protection locked="0"/>
    </xf>
    <xf numFmtId="0" fontId="12" fillId="10" borderId="17" xfId="0" applyFont="1" applyFill="1" applyBorder="1" applyAlignment="1" applyProtection="1">
      <alignment vertical="center" wrapText="1" readingOrder="1"/>
      <protection locked="0"/>
    </xf>
    <xf numFmtId="0" fontId="0" fillId="0" borderId="17" xfId="0" applyBorder="1"/>
    <xf numFmtId="0" fontId="0" fillId="0" borderId="0" xfId="0" applyNumberFormat="1"/>
    <xf numFmtId="0" fontId="10" fillId="0" borderId="17" xfId="0" applyFont="1" applyBorder="1"/>
    <xf numFmtId="0" fontId="10" fillId="14" borderId="17" xfId="0" applyFont="1" applyFill="1" applyBorder="1"/>
    <xf numFmtId="0" fontId="10" fillId="33" borderId="17" xfId="0" applyFont="1" applyFill="1" applyBorder="1"/>
    <xf numFmtId="0" fontId="0" fillId="0" borderId="17" xfId="0" applyNumberFormat="1" applyBorder="1" applyAlignment="1">
      <alignment horizontal="center"/>
    </xf>
    <xf numFmtId="0" fontId="10" fillId="14" borderId="17" xfId="0" applyNumberFormat="1" applyFont="1" applyFill="1" applyBorder="1" applyAlignment="1">
      <alignment horizontal="center"/>
    </xf>
    <xf numFmtId="0" fontId="10" fillId="33" borderId="17" xfId="0" applyNumberFormat="1" applyFont="1" applyFill="1" applyBorder="1" applyAlignment="1">
      <alignment horizontal="center"/>
    </xf>
    <xf numFmtId="0" fontId="41" fillId="0" borderId="17" xfId="0" applyFont="1" applyBorder="1" applyAlignment="1">
      <alignment horizontal="center" vertical="center"/>
    </xf>
    <xf numFmtId="0" fontId="35" fillId="14" borderId="17" xfId="0" applyFont="1" applyFill="1" applyBorder="1" applyAlignment="1">
      <alignment horizontal="center" vertical="center"/>
    </xf>
    <xf numFmtId="0" fontId="35" fillId="3" borderId="17" xfId="0" applyFont="1" applyFill="1" applyBorder="1" applyAlignment="1">
      <alignment horizontal="center" vertical="center" wrapText="1"/>
    </xf>
  </cellXfs>
  <cellStyles count="42">
    <cellStyle name="Comma" xfId="1" builtinId="3"/>
    <cellStyle name="Comma 2" xfId="17" xr:uid="{7605CD15-72F5-4C59-AC44-BDADE58CF4EA}"/>
    <cellStyle name="Comma 2 2" xfId="33" xr:uid="{F6A41E19-B90C-481D-A0A7-67DDDDDBA4F3}"/>
    <cellStyle name="Comma 3" xfId="27" xr:uid="{25AFA099-D61E-485A-8C56-6070C162CC23}"/>
    <cellStyle name="Hyperlink" xfId="3" builtinId="8"/>
    <cellStyle name="Normal" xfId="0" builtinId="0"/>
    <cellStyle name="Normal 10" xfId="13" xr:uid="{5866A96D-B777-406D-8111-5FD732017089}"/>
    <cellStyle name="Normal 10 2" xfId="29" xr:uid="{898C82D8-55B7-4B86-A44A-FE6FA06413A8}"/>
    <cellStyle name="Normal 11" xfId="14" xr:uid="{D725CCF2-D2B7-4896-B9FD-A7F3F7CA0C03}"/>
    <cellStyle name="Normal 11 2" xfId="30" xr:uid="{3F93FE32-7218-4ADD-ADE9-8D01005D00A7}"/>
    <cellStyle name="Normal 12" xfId="15" xr:uid="{9922A995-0AFB-4EE8-8542-55BEB04CF1CF}"/>
    <cellStyle name="Normal 12 2" xfId="31" xr:uid="{FACAA1AF-42E1-48E5-A7DA-E957E3BFC00A}"/>
    <cellStyle name="Normal 13" xfId="16" xr:uid="{BCBCFC52-E1DA-4680-844B-69ED2CF0E87F}"/>
    <cellStyle name="Normal 13 2" xfId="32" xr:uid="{7A1D23BC-EB83-4816-A78E-FCA94FEF8218}"/>
    <cellStyle name="Normal 14" xfId="21" xr:uid="{8F56B69B-BEA5-4597-9B32-9B070FA555C5}"/>
    <cellStyle name="Normal 14 2" xfId="35" xr:uid="{44F3DD15-6BD2-45DC-9C74-F6BDC3DC049B}"/>
    <cellStyle name="Normal 15" xfId="22" xr:uid="{8E49A772-408E-4741-9B50-192F91A5BDB7}"/>
    <cellStyle name="Normal 15 2" xfId="36" xr:uid="{FDFB40A8-96B4-4445-BD76-2600894B38B6}"/>
    <cellStyle name="Normal 16" xfId="23" xr:uid="{5BAEA16A-8051-4DFD-B712-4B1AA05FDC89}"/>
    <cellStyle name="Normal 16 2" xfId="37" xr:uid="{BD8F5ADB-4D72-4D50-85E0-C4B6054CD99C}"/>
    <cellStyle name="Normal 17" xfId="24" xr:uid="{FF8A102A-4747-495D-B8DD-7BD2BDA71784}"/>
    <cellStyle name="Normal 17 2" xfId="38" xr:uid="{08EAE125-8E81-40F8-8270-0D42FC1DD8CB}"/>
    <cellStyle name="Normal 18" xfId="25" xr:uid="{202D1EFA-F493-483E-9D04-419D25E1121E}"/>
    <cellStyle name="Normal 18 2" xfId="39" xr:uid="{C2826D1B-67B3-4256-8D24-C3C14CD00DFE}"/>
    <cellStyle name="Normal 19" xfId="26" xr:uid="{48CAC38F-6BB5-42B0-9FFF-9CA9CDAC444E}"/>
    <cellStyle name="Normal 2" xfId="4" xr:uid="{00000000-0005-0000-0000-000031000000}"/>
    <cellStyle name="Normal 20" xfId="40" xr:uid="{A57AB0CA-4385-4EA1-85F0-2957AB93B5A4}"/>
    <cellStyle name="Normal 21" xfId="41" xr:uid="{96153B68-3D7D-4A3F-9DA4-D9D997DF5B80}"/>
    <cellStyle name="Normal 3" xfId="5" xr:uid="{00000000-0005-0000-0000-000032000000}"/>
    <cellStyle name="Normal 4" xfId="6" xr:uid="{00000000-0005-0000-0000-000033000000}"/>
    <cellStyle name="Normal 5" xfId="7" xr:uid="{00000000-0005-0000-0000-000034000000}"/>
    <cellStyle name="Normal 6" xfId="8" xr:uid="{00000000-0005-0000-0000-000035000000}"/>
    <cellStyle name="Normal 7" xfId="9" xr:uid="{00000000-0005-0000-0000-000036000000}"/>
    <cellStyle name="Normal 8" xfId="11" xr:uid="{FE68852C-98C9-4075-8C49-D910911657CA}"/>
    <cellStyle name="Normal 8 2" xfId="19" xr:uid="{748D729D-A2DA-4A3D-B977-E3DD6B03948C}"/>
    <cellStyle name="Normal 9" xfId="12" xr:uid="{6F3C9339-BCD3-4072-B859-40C65C7A656C}"/>
    <cellStyle name="Normal 9 2" xfId="20" xr:uid="{78ABE858-EEE3-4E30-8A79-CAB8EC12C78C}"/>
    <cellStyle name="Percent" xfId="2" builtinId="5"/>
    <cellStyle name="Percent 2" xfId="10" xr:uid="{00000000-0005-0000-0000-000037000000}"/>
    <cellStyle name="Percent 3" xfId="18" xr:uid="{28E17F15-6FA4-49D8-8585-75A999AF0094}"/>
    <cellStyle name="Percent 3 2" xfId="34" xr:uid="{05838CAF-4ABE-4AB4-83A1-17ACCBEC37D6}"/>
    <cellStyle name="Percent 4" xfId="28" xr:uid="{7EFC071D-EE88-4C76-A72B-048880100F21}"/>
  </cellStyles>
  <dxfs count="9">
    <dxf>
      <numFmt numFmtId="165" formatCode="0.000"/>
    </dxf>
    <dxf>
      <numFmt numFmtId="165" formatCode="0.000"/>
    </dxf>
    <dxf>
      <numFmt numFmtId="165" formatCode="0.000"/>
    </dxf>
    <dxf>
      <numFmt numFmtId="2" formatCode="0.00"/>
    </dxf>
    <dxf>
      <numFmt numFmtId="2" formatCode="0.00"/>
    </dxf>
    <dxf>
      <numFmt numFmtId="2" formatCode="0.00"/>
    </dxf>
    <dxf>
      <numFmt numFmtId="174" formatCode="0.0"/>
    </dxf>
    <dxf>
      <numFmt numFmtId="174" formatCode="0.0"/>
    </dxf>
    <dxf>
      <numFmt numFmtId="174" formatCode="0.0"/>
    </dxf>
  </dxfs>
  <tableStyles count="0" defaultTableStyle="TableStyleMedium2" defaultPivotStyle="PivotStyleLight16"/>
  <colors>
    <mruColors>
      <color rgb="FF000066"/>
      <color rgb="FFFFCC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pivotCacheDefinition" Target="pivotCache/pivotCacheDefinition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FF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_ChartData!$B$1</c:f>
              <c:strCache>
                <c:ptCount val="1"/>
                <c:pt idx="0">
                  <c:v>Pure (PG WT)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5B-4A52-84B4-61B380FF8B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5B-4A52-84B4-61B380FF8B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55B-4A52-84B4-61B380FF8B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55B-4A52-84B4-61B380FF8B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55B-4A52-84B4-61B380FF8BA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55B-4A52-84B4-61B380FF8BA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55B-4A52-84B4-61B380FF8BA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55B-4A52-84B4-61B380FF8BA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_ChartData!$A$2:$A$9</c:f>
              <c:strCache>
                <c:ptCount val="8"/>
                <c:pt idx="0">
                  <c:v>Metal Inward</c:v>
                </c:pt>
                <c:pt idx="1">
                  <c:v>Ornaments Inward</c:v>
                </c:pt>
                <c:pt idx="2">
                  <c:v>Metal Outward</c:v>
                </c:pt>
                <c:pt idx="3">
                  <c:v>Sale Outward_ JEW</c:v>
                </c:pt>
                <c:pt idx="4">
                  <c:v>Loss</c:v>
                </c:pt>
                <c:pt idx="5">
                  <c:v>Gain </c:v>
                </c:pt>
                <c:pt idx="6">
                  <c:v>KARAT CONVERSION</c:v>
                </c:pt>
                <c:pt idx="7">
                  <c:v>Recovery</c:v>
                </c:pt>
              </c:strCache>
            </c:strRef>
          </c:cat>
          <c:val>
            <c:numRef>
              <c:f>_ChartData!$B$2:$B$9</c:f>
              <c:numCache>
                <c:formatCode>#,##0.000</c:formatCode>
                <c:ptCount val="8"/>
                <c:pt idx="0">
                  <c:v>4243.4129999999996</c:v>
                </c:pt>
                <c:pt idx="1">
                  <c:v>2374.2689999999998</c:v>
                </c:pt>
                <c:pt idx="3">
                  <c:v>7410.0969999999998</c:v>
                </c:pt>
                <c:pt idx="4">
                  <c:v>474.35700000000003</c:v>
                </c:pt>
                <c:pt idx="5">
                  <c:v>7.9710000000000001</c:v>
                </c:pt>
                <c:pt idx="6">
                  <c:v>-2.7130000000000001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55B-4A52-84B4-61B380FF8BA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FF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_ChartData!$B$1</c:f>
              <c:strCache>
                <c:ptCount val="1"/>
                <c:pt idx="0">
                  <c:v>Pure (PG WT)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_ChartData!$A$2:$A$9</c:f>
              <c:strCache>
                <c:ptCount val="8"/>
                <c:pt idx="0">
                  <c:v>Metal Inward</c:v>
                </c:pt>
                <c:pt idx="1">
                  <c:v>Ornaments Inward</c:v>
                </c:pt>
                <c:pt idx="2">
                  <c:v>Metal Outward</c:v>
                </c:pt>
                <c:pt idx="3">
                  <c:v>Sale Outward_ JEW</c:v>
                </c:pt>
                <c:pt idx="4">
                  <c:v>Loss</c:v>
                </c:pt>
                <c:pt idx="5">
                  <c:v>Gain </c:v>
                </c:pt>
                <c:pt idx="6">
                  <c:v>KARAT CONVERSION</c:v>
                </c:pt>
                <c:pt idx="7">
                  <c:v>Recovery</c:v>
                </c:pt>
              </c:strCache>
            </c:strRef>
          </c:cat>
          <c:val>
            <c:numRef>
              <c:f>_ChartData!$B$2:$B$9</c:f>
              <c:numCache>
                <c:formatCode>#,##0.000</c:formatCode>
                <c:ptCount val="8"/>
                <c:pt idx="0">
                  <c:v>4243.4129999999996</c:v>
                </c:pt>
                <c:pt idx="1">
                  <c:v>2374.2689999999998</c:v>
                </c:pt>
                <c:pt idx="3">
                  <c:v>7410.0969999999998</c:v>
                </c:pt>
                <c:pt idx="4">
                  <c:v>474.35700000000003</c:v>
                </c:pt>
                <c:pt idx="5">
                  <c:v>7.9710000000000001</c:v>
                </c:pt>
                <c:pt idx="6">
                  <c:v>-2.7130000000000001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7-42B6-B62E-4B78033A9C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01298992"/>
        <c:axId val="501310640"/>
      </c:barChart>
      <c:catAx>
        <c:axId val="50129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310640"/>
        <c:crosses val="autoZero"/>
        <c:auto val="1"/>
        <c:lblAlgn val="ctr"/>
        <c:lblOffset val="100"/>
        <c:noMultiLvlLbl val="0"/>
      </c:catAx>
      <c:valAx>
        <c:axId val="5013106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crossAx val="50129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0</xdr:row>
      <xdr:rowOff>95250</xdr:rowOff>
    </xdr:from>
    <xdr:to>
      <xdr:col>6</xdr:col>
      <xdr:colOff>438150</xdr:colOff>
      <xdr:row>2</xdr:row>
      <xdr:rowOff>342900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F18CA8-7966-03B0-25FC-F457854F2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95250"/>
          <a:ext cx="92392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8</xdr:col>
      <xdr:colOff>447674</xdr:colOff>
      <xdr:row>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32F6E4-4A31-4D80-9CB2-822287DF0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14</xdr:col>
      <xdr:colOff>571499</xdr:colOff>
      <xdr:row>9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0CD7B4-4523-41F7-9DB0-DDB5F003B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b\Desktop\Daily%20Activty%20Traker.xlsx" TargetMode="External"/><Relationship Id="rId1" Type="http://schemas.openxmlformats.org/officeDocument/2006/relationships/externalLinkPath" Target="file:///C:\Users\SanJab\Desktop\Daily%20Activty%20Tra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RAT CONVERSION"/>
      <sheetName val="11.08.25"/>
      <sheetName val="Sheet4"/>
      <sheetName val="Sheet2"/>
      <sheetName val="Sheet1"/>
      <sheetName val="Sheet3"/>
      <sheetName val="SR No. party"/>
      <sheetName val="Benchmark"/>
      <sheetName val="30 Days Benchmark 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Name</v>
          </cell>
          <cell r="B1" t="str">
            <v>Position</v>
          </cell>
        </row>
        <row r="2">
          <cell r="A2" t="str">
            <v>Royal Chain Private Limited</v>
          </cell>
          <cell r="B2">
            <v>1</v>
          </cell>
        </row>
        <row r="3">
          <cell r="A3" t="str">
            <v>RC-REFINISHING</v>
          </cell>
          <cell r="B3">
            <v>2</v>
          </cell>
        </row>
        <row r="4">
          <cell r="A4" t="str">
            <v>Aalishaan Jewels LLP</v>
          </cell>
          <cell r="B4">
            <v>3</v>
          </cell>
        </row>
        <row r="5">
          <cell r="A5" t="str">
            <v>AJ-REFINISHING</v>
          </cell>
          <cell r="B5">
            <v>4</v>
          </cell>
        </row>
        <row r="6">
          <cell r="A6" t="str">
            <v>V-DIA JEWELS PRIVATE LIMITED</v>
          </cell>
          <cell r="B6">
            <v>5</v>
          </cell>
        </row>
        <row r="7">
          <cell r="A7" t="str">
            <v>ARK CHAINS</v>
          </cell>
          <cell r="B7">
            <v>6</v>
          </cell>
        </row>
        <row r="8">
          <cell r="A8" t="str">
            <v>DVM AQUA GOLD PRIVATE LIMITED</v>
          </cell>
          <cell r="B8">
            <v>7</v>
          </cell>
        </row>
        <row r="9">
          <cell r="A9" t="str">
            <v>TITAN</v>
          </cell>
          <cell r="B9">
            <v>8</v>
          </cell>
        </row>
        <row r="10">
          <cell r="A10" t="str">
            <v>Kanakratna Exim PVT LTD</v>
          </cell>
          <cell r="B10">
            <v>9</v>
          </cell>
        </row>
        <row r="11">
          <cell r="A11" t="str">
            <v>INDRAHEER GOLD</v>
          </cell>
          <cell r="B11">
            <v>10</v>
          </cell>
        </row>
        <row r="12">
          <cell r="A12" t="str">
            <v>ADITYA FINDINGS PRIVATE LIMITED</v>
          </cell>
          <cell r="B12">
            <v>11</v>
          </cell>
        </row>
        <row r="13">
          <cell r="A13" t="str">
            <v>SKY CHAINS &amp; JEWELLERY PVT LTD</v>
          </cell>
          <cell r="B13">
            <v>12</v>
          </cell>
        </row>
        <row r="14">
          <cell r="A14" t="str">
            <v>ASTMANGAL CHAINS PRIVATE LIMITED</v>
          </cell>
          <cell r="B14">
            <v>13</v>
          </cell>
        </row>
        <row r="15">
          <cell r="A15" t="str">
            <v>RC-REFINISHING</v>
          </cell>
          <cell r="B15">
            <v>14</v>
          </cell>
        </row>
        <row r="16">
          <cell r="A16" t="str">
            <v>Reparing-Aditya Birla - Novel Jewels</v>
          </cell>
          <cell r="B16">
            <v>15</v>
          </cell>
        </row>
        <row r="17">
          <cell r="A17" t="str">
            <v>K JEWEL COUTURE PRIVATE LIMITED</v>
          </cell>
          <cell r="B17">
            <v>16</v>
          </cell>
        </row>
        <row r="18">
          <cell r="A18" t="str">
            <v>SHA UMMEDMAL TILOKCHANDJI</v>
          </cell>
          <cell r="B18">
            <v>17</v>
          </cell>
        </row>
        <row r="19">
          <cell r="A19" t="str">
            <v>QUALTIY ASSEY &amp; HALLMARKS LLP</v>
          </cell>
          <cell r="B19">
            <v>18</v>
          </cell>
        </row>
        <row r="20">
          <cell r="A20" t="str">
            <v>ARIHANT-BULLION</v>
          </cell>
          <cell r="B20">
            <v>19</v>
          </cell>
        </row>
        <row r="21">
          <cell r="A21" t="str">
            <v>MY CHAIN</v>
          </cell>
          <cell r="B21">
            <v>20</v>
          </cell>
        </row>
        <row r="22">
          <cell r="A22" t="str">
            <v>Ankit</v>
          </cell>
          <cell r="B22">
            <v>21</v>
          </cell>
        </row>
        <row r="23">
          <cell r="A23" t="str">
            <v>STAR-JEWELS</v>
          </cell>
          <cell r="B23">
            <v>22</v>
          </cell>
        </row>
        <row r="24">
          <cell r="A24" t="str">
            <v>SATISH LOBSTERS</v>
          </cell>
          <cell r="B24">
            <v>23</v>
          </cell>
        </row>
        <row r="25">
          <cell r="A25" t="str">
            <v>Nikhil</v>
          </cell>
          <cell r="B25">
            <v>24</v>
          </cell>
        </row>
        <row r="26">
          <cell r="A26" t="str">
            <v>KALPLAXMI JEWELS PVT. LTD.</v>
          </cell>
          <cell r="B26">
            <v>25</v>
          </cell>
        </row>
        <row r="27">
          <cell r="A27" t="str">
            <v>YAMUNA-BEADS</v>
          </cell>
          <cell r="B27">
            <v>26</v>
          </cell>
        </row>
        <row r="28">
          <cell r="A28" t="str">
            <v>MAURH-ENTERPRISES</v>
          </cell>
          <cell r="B28">
            <v>27</v>
          </cell>
        </row>
        <row r="29">
          <cell r="A29" t="str">
            <v>ABU-SAHABAJ</v>
          </cell>
          <cell r="B29">
            <v>28</v>
          </cell>
        </row>
        <row r="30">
          <cell r="A30" t="str">
            <v>CASH-SALE</v>
          </cell>
          <cell r="B30">
            <v>29</v>
          </cell>
        </row>
        <row r="31">
          <cell r="A31" t="str">
            <v>SNEH-JAIN</v>
          </cell>
          <cell r="B31">
            <v>30</v>
          </cell>
        </row>
        <row r="32">
          <cell r="A32" t="str">
            <v>Grand Total</v>
          </cell>
        </row>
      </sheetData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SH JABARE" refreshedDate="46195.49838946759" createdVersion="8" refreshedVersion="8" minRefreshableVersion="3" recordCount="310" xr:uid="{349F3683-67EE-45B5-A83C-79D83F778F82}">
  <cacheSource type="worksheet">
    <worksheetSource ref="A1:V311" sheet="wc gp s"/>
  </cacheSource>
  <cacheFields count="22">
    <cacheField name="Trans Date" numFmtId="169">
      <sharedItems containsSemiMixedTypes="0" containsNonDate="0" containsDate="1" containsString="0" minDate="2026-06-20T00:00:00" maxDate="2026-06-21T00:00:00"/>
    </cacheField>
    <cacheField name="Doc No" numFmtId="0">
      <sharedItems/>
    </cacheField>
    <cacheField name="Trans Type" numFmtId="0">
      <sharedItems/>
    </cacheField>
    <cacheField name="Dest Location" numFmtId="0">
      <sharedItems containsNonDate="0" containsString="0" containsBlank="1"/>
    </cacheField>
    <cacheField name="Party Name" numFmtId="0">
      <sharedItems/>
    </cacheField>
    <cacheField name="Po No" numFmtId="0">
      <sharedItems containsNonDate="0" containsString="0" containsBlank="1"/>
    </cacheField>
    <cacheField name="Item Type" numFmtId="0">
      <sharedItems/>
    </cacheField>
    <cacheField name="Item Group" numFmtId="0">
      <sharedItems/>
    </cacheField>
    <cacheField name="Metal Fineness" numFmtId="170">
      <sharedItems containsSemiMixedTypes="0" containsString="0" containsNumber="1" minValue="0.75" maxValue="0.995"/>
    </cacheField>
    <cacheField name="Style No" numFmtId="0">
      <sharedItems containsBlank="1"/>
    </cacheField>
    <cacheField name="karat" numFmtId="0">
      <sharedItems count="3">
        <s v="22KT"/>
        <s v="18KT"/>
        <s v="24KT"/>
      </sharedItems>
    </cacheField>
    <cacheField name="Variant Name" numFmtId="0">
      <sharedItems/>
    </cacheField>
    <cacheField name="Net Wt" numFmtId="170">
      <sharedItems containsSemiMixedTypes="0" containsString="0" containsNumber="1" minValue="3.8663E-3" maxValue="1457.12"/>
    </cacheField>
    <cacheField name="Pg Wt" numFmtId="170">
      <sharedItems containsSemiMixedTypes="0" containsString="0" containsNumber="1" minValue="3.5000000000000001E-3" maxValue="1337.6361999999999"/>
    </cacheField>
    <cacheField name="Wastage Perc" numFmtId="170">
      <sharedItems containsSemiMixedTypes="0" containsString="0" containsNumber="1" minValue="0" maxValue="4"/>
    </cacheField>
    <cacheField name="Pg Wastage Wt" numFmtId="170">
      <sharedItems containsSemiMixedTypes="0" containsString="0" containsNumber="1" minValue="3.5000000000000001E-3" maxValue="1337.6361999999999"/>
    </cacheField>
    <cacheField name="Order No" numFmtId="0">
      <sharedItems containsBlank="1"/>
    </cacheField>
    <cacheField name="Line Remark" numFmtId="0">
      <sharedItems/>
    </cacheField>
    <cacheField name="Created By" numFmtId="0">
      <sharedItems/>
    </cacheField>
    <cacheField name="Entry Date" numFmtId="172">
      <sharedItems containsSemiMixedTypes="0" containsNonDate="0" containsDate="1" containsString="0" minDate="2026-06-20T14:46:07" maxDate="2026-06-20T19:36:10"/>
    </cacheField>
    <cacheField name="Groupsales" numFmtId="0">
      <sharedItems containsBlank="1" count="31">
        <s v="INDO ITALIAN CHAINS PLAIN"/>
        <s v="VERTICAL COLLECTION"/>
        <s v="ASSEMBLED CHAINS PLAIN"/>
        <s v="FUSION JEWELLERY"/>
        <s v="CUBAN CHAINS &amp; JEWELLERY-A"/>
        <s v="MENS ITALIAN CHAINS"/>
        <s v="ITALIAN OMEGAS"/>
        <s v="FRANCO-CHAIN-A"/>
        <m/>
        <s v="REFINISHING"/>
        <s v="ANAMITRA KIDS KADLI'S"/>
        <s v="VERONA COLLECTION"/>
        <s v="ITALIAN LAZER MACHINE CHAINS PAVE RHODIUM FW-YP-RP"/>
        <s v="SAR-ECO"/>
        <s v="NOT APPLICABLE"/>
        <s v="ORANT-COLLECTION"/>
        <s v="ANAMITRA KIDS COLLECTION"/>
        <s v="LAZER MACHINE CHAINS YELLOW GOLD"/>
        <s v="ASSEMBLED CHAINS RHODIUM"/>
        <s v="Ball-Chain"/>
        <s v="ITALIAN LAZER MACHINE CHAINS"/>
        <s v="IMP RHODIUM"/>
        <s v="FINE LAZER MACHINE CHAINS YELLOW GOLD"/>
        <s v="SUPER-FINE-BALL-CHAINS"/>
        <s v="CHOCO CHAINS PLAIN"/>
        <s v="IMP PLAIN"/>
        <s v="SLIKY ROPE CHAINS PLAIN SOLID-HOLLOW"/>
        <s v="INDIGO CHAINS &amp; JEWELLERY PLAIN+RHODIUM"/>
        <s v="KAJU-KATLI-CHAIN-A"/>
        <s v="LAPEL COLLECTION"/>
        <s v="TQ-ORANT"/>
      </sharedItems>
    </cacheField>
    <cacheField name="Cat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SH JABARE" refreshedDate="46195.500501041664" createdVersion="8" refreshedVersion="8" minRefreshableVersion="3" recordCount="57" xr:uid="{2C3C4515-3BDF-46E6-9D7B-7341A9B23D85}">
  <cacheSource type="worksheet">
    <worksheetSource ref="A3:L60" sheet="6 Factory Inward Report"/>
  </cacheSource>
  <cacheFields count="12">
    <cacheField name="Trans Date" numFmtId="169">
      <sharedItems containsSemiMixedTypes="0" containsNonDate="0" containsDate="1" containsString="0" minDate="2026-06-20T00:00:00" maxDate="2026-06-21T00:00:00"/>
    </cacheField>
    <cacheField name="Doc No" numFmtId="0">
      <sharedItems/>
    </cacheField>
    <cacheField name="Party Name" numFmtId="0">
      <sharedItems count="11">
        <s v="DVM AQUA GOLD PRIVATE LIMITED"/>
        <s v="TITAN"/>
        <s v="ARK CHAINS"/>
        <s v="Aalishaan Jewels LLP"/>
        <s v="AJ-REFINISHING"/>
        <s v="RC-REFINISHING"/>
        <s v="MALABAR GOLD AND DIAMONDS LIMITED"/>
        <s v="Royal Chain Private Limited"/>
        <s v="V-DIA JEWELS PRIVATE LIMITED"/>
        <s v="Aditya Birla - Novel Jewels"/>
        <s v="MALABAR GOLD AND DIAMONDS LIMITED REPARING"/>
      </sharedItems>
    </cacheField>
    <cacheField name="Style No" numFmtId="0">
      <sharedItems containsBlank="1"/>
    </cacheField>
    <cacheField name="KARAT" numFmtId="0">
      <sharedItems count="3">
        <s v="24KT"/>
        <s v="22KT"/>
        <s v="18KT"/>
      </sharedItems>
    </cacheField>
    <cacheField name="Variant Name" numFmtId="0">
      <sharedItems/>
    </cacheField>
    <cacheField name="Net Wt" numFmtId="170">
      <sharedItems containsSemiMixedTypes="0" containsString="0" containsNumber="1" minValue="0.24099999999999999" maxValue="9000"/>
    </cacheField>
    <cacheField name="Wastage Perc" numFmtId="170">
      <sharedItems containsSemiMixedTypes="0" containsString="0" containsNumber="1" minValue="0" maxValue="3"/>
    </cacheField>
    <cacheField name="Pg Wt" numFmtId="170">
      <sharedItems containsSemiMixedTypes="0" containsString="0" containsNumber="1" minValue="0.18079999999999999" maxValue="8955"/>
    </cacheField>
    <cacheField name="Pg Wastage Wt" numFmtId="170">
      <sharedItems containsSemiMixedTypes="0" containsString="0" containsNumber="1" minValue="0.18079999999999999" maxValue="8955"/>
    </cacheField>
    <cacheField name="Line Remark" numFmtId="0">
      <sharedItems/>
    </cacheField>
    <cacheField name="sr no" numFmtId="0">
      <sharedItems containsMixedTypes="1" containsNumber="1" containsInteger="1" minValue="1" maxValue="8" count="9">
        <n v="7"/>
        <n v="8"/>
        <n v="6"/>
        <n v="3"/>
        <n v="4"/>
        <n v="2"/>
        <e v="#N/A"/>
        <n v="1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SH JABARE" refreshedDate="46195.502370833332" createdVersion="8" refreshedVersion="8" minRefreshableVersion="3" recordCount="310" xr:uid="{38CFCE3F-9EBC-4159-B729-94677700603F}">
  <cacheSource type="worksheet">
    <worksheetSource ref="A3:L313" sheet="7 Factory Outward Report"/>
  </cacheSource>
  <cacheFields count="12">
    <cacheField name="Trans Date" numFmtId="169">
      <sharedItems containsSemiMixedTypes="0" containsNonDate="0" containsDate="1" containsString="0" minDate="2026-06-20T00:00:00" maxDate="2026-06-21T00:00:00"/>
    </cacheField>
    <cacheField name="Doc No" numFmtId="0">
      <sharedItems/>
    </cacheField>
    <cacheField name="Party Name" numFmtId="0">
      <sharedItems count="9">
        <s v="ARK CHAINS"/>
        <s v="Royal Chain Private Limited"/>
        <s v="V-DIA JEWELS PRIVATE LIMITED"/>
        <s v="STAR-JEWELS"/>
        <s v="DVM AQUA GOLD PRIVATE LIMITED"/>
        <s v="MALABAR GOLD AND DIAMONDS LIMITED"/>
        <s v="Aditya Birla - Novel Jewels"/>
        <s v="RC-REFINISHING"/>
        <s v="TITAN"/>
      </sharedItems>
    </cacheField>
    <cacheField name="Style No" numFmtId="0">
      <sharedItems containsBlank="1"/>
    </cacheField>
    <cacheField name="KARAT" numFmtId="0">
      <sharedItems count="3">
        <s v="22KT"/>
        <s v="18KT"/>
        <s v="24KT"/>
      </sharedItems>
    </cacheField>
    <cacheField name="Variant Name" numFmtId="0">
      <sharedItems/>
    </cacheField>
    <cacheField name="Net Wt" numFmtId="170">
      <sharedItems containsSemiMixedTypes="0" containsString="0" containsNumber="1" minValue="3.8663E-3" maxValue="1457.12"/>
    </cacheField>
    <cacheField name="Wastage Perc" numFmtId="170">
      <sharedItems containsSemiMixedTypes="0" containsString="0" containsNumber="1" minValue="0" maxValue="4"/>
    </cacheField>
    <cacheField name="Pg Wt" numFmtId="170">
      <sharedItems containsSemiMixedTypes="0" containsString="0" containsNumber="1" minValue="3.5000000000000001E-3" maxValue="1337.6361999999999"/>
    </cacheField>
    <cacheField name="Pg Wastage Wt" numFmtId="170">
      <sharedItems containsSemiMixedTypes="0" containsString="0" containsNumber="1" minValue="3.5000000000000001E-3" maxValue="1337.6361999999999"/>
    </cacheField>
    <cacheField name="Line Remark" numFmtId="0">
      <sharedItems/>
    </cacheField>
    <cacheField name="SR NO" numFmtId="0">
      <sharedItems containsMixedTypes="1" containsNumber="1" containsInteger="1" minValue="1" maxValue="22" count="8">
        <n v="6"/>
        <n v="1"/>
        <n v="5"/>
        <n v="22"/>
        <n v="7"/>
        <e v="#N/A"/>
        <n v="2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">
  <r>
    <d v="2026-06-20T00:00:00"/>
    <s v="SR-INV-AST/26-27/2787"/>
    <s v="INV"/>
    <m/>
    <s v="ARK CHAINS"/>
    <m/>
    <s v="STYLE"/>
    <s v="STYLE"/>
    <n v="0.91800000000000004"/>
    <s v="INDO-MIX-NA-22KT-YG-NA"/>
    <x v="0"/>
    <s v="G-NA-91.80-YG"/>
    <n v="97.41"/>
    <n v="89.422399999999996"/>
    <n v="1.8"/>
    <n v="91.175799999999995"/>
    <m/>
    <s v="SLIP NO-12591"/>
    <s v="SUJIT-THASAL"/>
    <d v="2026-06-20T19:36:10"/>
    <x v="0"/>
    <s v="Assort"/>
  </r>
  <r>
    <d v="2026-06-20T00:00:00"/>
    <s v="SR-INV-AST/26-27/2787"/>
    <s v="INV"/>
    <m/>
    <s v="ARK CHAINS"/>
    <m/>
    <s v="STYLE"/>
    <s v="STYLE"/>
    <n v="0.91800000000000004"/>
    <s v="VR-ER-003-4gm-22KT-YG-NA"/>
    <x v="0"/>
    <s v="G-NA-91.80-YG"/>
    <n v="4.59"/>
    <n v="4.2135999999999996"/>
    <n v="2.5"/>
    <n v="4.3284000000000002"/>
    <s v="ARK/2605/2-(CORPORATE ORD.)"/>
    <s v="ARK/2605/2-(CORPORATE ORD.)"/>
    <s v="SUJIT-THASAL"/>
    <d v="2026-06-20T19:36:10"/>
    <x v="1"/>
    <s v="Vertical Earrings"/>
  </r>
  <r>
    <d v="2026-06-20T00:00:00"/>
    <s v="SR-INV-AST/26-27/2787"/>
    <s v="INV"/>
    <m/>
    <s v="ARK CHAINS"/>
    <m/>
    <s v="STYLE"/>
    <s v="STYLE"/>
    <n v="0.91800000000000004"/>
    <s v="INDO-134-14.00GM-22KT-YG-ROLL"/>
    <x v="0"/>
    <s v="G-NA-91.80-YG"/>
    <n v="81.5"/>
    <n v="74.816999999999993"/>
    <n v="1.8"/>
    <n v="76.284000000000006"/>
    <s v="MGD-SO22-100626144800"/>
    <s v="ARK/0906/002(HUID DONE)"/>
    <s v="SUJIT-THASAL"/>
    <d v="2026-06-20T19:36:10"/>
    <x v="0"/>
    <s v="Indo Italian Chains"/>
  </r>
  <r>
    <d v="2026-06-20T00:00:00"/>
    <s v="SR-INV-AST/26-27/2787"/>
    <s v="INV"/>
    <m/>
    <s v="ARK CHAINS"/>
    <m/>
    <s v="STYLE"/>
    <s v="STYLE"/>
    <n v="0.91800000000000004"/>
    <s v="INDO-MIX-NA-22KT-YG-NA"/>
    <x v="0"/>
    <s v="G-NA-91.80-YG"/>
    <n v="102.02"/>
    <n v="93.654399999999995"/>
    <n v="1.8"/>
    <n v="95.490700000000004"/>
    <m/>
    <s v="SLIP NO-12596"/>
    <s v="SUJIT-THASAL"/>
    <d v="2026-06-20T19:36:10"/>
    <x v="0"/>
    <s v="Assort"/>
  </r>
  <r>
    <d v="2026-06-20T00:00:00"/>
    <s v="SR-INV-AST/26-27/2787"/>
    <s v="INV"/>
    <m/>
    <s v="ARK CHAINS"/>
    <m/>
    <s v="STYLE"/>
    <s v="STYLE"/>
    <n v="0.91800000000000004"/>
    <s v="INDO-MIX-NA-22KT-YG-NA"/>
    <x v="0"/>
    <s v="G-NA-91.80-YG"/>
    <n v="80.3"/>
    <n v="73.715400000000002"/>
    <n v="1.8"/>
    <n v="75.160799999999995"/>
    <m/>
    <s v="SLIP NO-12592"/>
    <s v="SUJIT-THASAL"/>
    <d v="2026-06-20T19:36:10"/>
    <x v="0"/>
    <s v="Assort"/>
  </r>
  <r>
    <d v="2026-06-20T00:00:00"/>
    <s v="SR-INV-AST/26-27/2787"/>
    <s v="INV"/>
    <m/>
    <s v="ARK CHAINS"/>
    <m/>
    <s v="STYLE"/>
    <s v="STYLE"/>
    <n v="0.91800000000000004"/>
    <s v="ASS-PLAIN-NA-22KT-YG-NA"/>
    <x v="0"/>
    <s v="G-NA-91.80-YG"/>
    <n v="87.64"/>
    <n v="80.453500000000005"/>
    <n v="1.5"/>
    <n v="81.768100000000004"/>
    <m/>
    <s v="SLIP NO-12590"/>
    <s v="SUJIT-THASAL"/>
    <d v="2026-06-20T19:36:10"/>
    <x v="2"/>
    <s v="Assemble Chains"/>
  </r>
  <r>
    <d v="2026-06-20T00:00:00"/>
    <s v="SR-INV-AST/26-27/2786"/>
    <s v="INV"/>
    <m/>
    <s v="Royal Chain Private Limited"/>
    <m/>
    <s v="STYLE"/>
    <s v="STYLE"/>
    <n v="0.91800000000000004"/>
    <s v="CFC-P-076-4.00GM-22KT-YG-NA"/>
    <x v="0"/>
    <s v="G-NA-91.80-YG"/>
    <n v="5.2370000000000001"/>
    <n v="4.8075999999999999"/>
    <n v="0"/>
    <n v="4.8075999999999999"/>
    <s v="RC-MUSTAFA-EXP-ORD-100542"/>
    <s v="RC-MUSTAFA-EXP-ORD-100542"/>
    <s v="SUSHANT-M"/>
    <d v="2026-06-20T19:24:15"/>
    <x v="3"/>
    <s v="FUSION PENDANTS"/>
  </r>
  <r>
    <d v="2026-06-20T00:00:00"/>
    <s v="SR-INV-AST/26-27/2786"/>
    <s v="INV"/>
    <m/>
    <s v="Royal Chain Private Limited"/>
    <m/>
    <s v="STYLE"/>
    <s v="STYLE"/>
    <n v="0.91800000000000004"/>
    <s v="CFC-P-076-4.00GM-22KT-YG-NA"/>
    <x v="0"/>
    <s v="G-NA-91.80-YG"/>
    <n v="5.5090000000000003"/>
    <n v="5.0572999999999997"/>
    <n v="0"/>
    <n v="5.0572999999999997"/>
    <s v="RC-MUSTAFA-EXP-ORD-100542"/>
    <s v="RC-MUSTAFA-EXP-ORD-100542"/>
    <s v="SUSHANT-M"/>
    <d v="2026-06-20T19:24:15"/>
    <x v="3"/>
    <s v="FUSION PENDANTS"/>
  </r>
  <r>
    <d v="2026-06-20T00:00:00"/>
    <s v="SR-INV-AST/26-27/2786"/>
    <s v="INV"/>
    <m/>
    <s v="Royal Chain Private Limited"/>
    <m/>
    <s v="STYLE"/>
    <s v="STYLE"/>
    <n v="0.91800000000000004"/>
    <s v="CFC-P-076-4.00GM-22KT-YG-NA"/>
    <x v="0"/>
    <s v="G-NA-91.80-YG"/>
    <n v="5.5069999999999997"/>
    <n v="5.0553999999999997"/>
    <n v="0"/>
    <n v="5.0553999999999997"/>
    <s v="RC-MUSTAFA-EXP-ORD-100542"/>
    <s v="RC-MUSTAFA-EXP-ORD-100542"/>
    <s v="SUSHANT-M"/>
    <d v="2026-06-20T19:24:15"/>
    <x v="3"/>
    <s v="FUSION PENDANTS"/>
  </r>
  <r>
    <d v="2026-06-20T00:00:00"/>
    <s v="SR-INV-AST/26-27/2786"/>
    <s v="INV"/>
    <m/>
    <s v="Royal Chain Private Limited"/>
    <m/>
    <s v="STYLE"/>
    <s v="STYLE"/>
    <n v="0.91800000000000004"/>
    <s v="CFC-P-076-4.00GM-22KT-YG-NA"/>
    <x v="0"/>
    <s v="G-NA-91.80-YG"/>
    <n v="5.8540000000000001"/>
    <n v="5.3739999999999997"/>
    <n v="0"/>
    <n v="5.3739999999999997"/>
    <s v="RC-MUSTAFA-EXP-ORD-100542"/>
    <s v="RC-MUSTAFA-EXP-ORD-100542"/>
    <s v="SUSHANT-M"/>
    <d v="2026-06-20T19:24:15"/>
    <x v="3"/>
    <s v="FUSION PENDANTS"/>
  </r>
  <r>
    <d v="2026-06-20T00:00:00"/>
    <s v="SR-INV-AST/26-27/2786"/>
    <s v="INV"/>
    <m/>
    <s v="Royal Chain Private Limited"/>
    <m/>
    <s v="STYLE"/>
    <s v="STYLE"/>
    <n v="0.91800000000000004"/>
    <s v="CFC-P-076-4.00GM-22KT-YG-NA"/>
    <x v="0"/>
    <s v="G-NA-91.80-YG"/>
    <n v="5.2160000000000002"/>
    <n v="4.7882999999999996"/>
    <n v="0"/>
    <n v="4.7882999999999996"/>
    <s v="RC-MUSTAFA-EXP-ORD-100542"/>
    <s v="RC-MUSTAFA-EXP-ORD-100542"/>
    <s v="SUSHANT-M"/>
    <d v="2026-06-20T19:24:15"/>
    <x v="3"/>
    <s v="FUSION PENDANTS"/>
  </r>
  <r>
    <d v="2026-06-20T00:00:00"/>
    <s v="SR-INV-AST/26-27/2786"/>
    <s v="INV"/>
    <m/>
    <s v="Royal Chain Private Limited"/>
    <m/>
    <s v="STYLE"/>
    <s v="STYLE"/>
    <n v="0.91800000000000004"/>
    <s v="CFC-P-076-4.00GM-22KT-YG-NA"/>
    <x v="0"/>
    <s v="G-NA-91.80-YG"/>
    <n v="5.9119999999999999"/>
    <n v="5.4272"/>
    <n v="0"/>
    <n v="5.4272"/>
    <s v="RC-MUSTAFA-EXP-ORD-100542"/>
    <s v="RC-MUSTAFA-EXP-ORD-100542"/>
    <s v="SUSHANT-M"/>
    <d v="2026-06-20T19:24:15"/>
    <x v="3"/>
    <s v="FUSION PENDANTS"/>
  </r>
  <r>
    <d v="2026-06-20T00:00:00"/>
    <s v="SR-INV-AST/26-27/2786"/>
    <s v="INV"/>
    <m/>
    <s v="Royal Chain Private Limited"/>
    <m/>
    <s v="STYLE"/>
    <s v="STYLE"/>
    <n v="0.91800000000000004"/>
    <s v="CFC-P-076-4.00GM-22KT-YG-NA"/>
    <x v="0"/>
    <s v="G-NA-91.80-YG"/>
    <n v="5.3979999999999997"/>
    <n v="4.9554"/>
    <n v="0"/>
    <n v="4.9554"/>
    <s v="RC-MUSTAFA-EXP-ORD-100542"/>
    <s v="RC-MUSTAFA-EXP-ORD-100542"/>
    <s v="SUSHANT-M"/>
    <d v="2026-06-20T19:24:15"/>
    <x v="3"/>
    <s v="FUSION PENDANTS"/>
  </r>
  <r>
    <d v="2026-06-20T00:00:00"/>
    <s v="SR-INV-AST/26-27/2786"/>
    <s v="INV"/>
    <m/>
    <s v="Royal Chain Private Limited"/>
    <m/>
    <s v="STYLE"/>
    <s v="STYLE"/>
    <n v="0.91800000000000004"/>
    <s v="CFC-P-076-4.00GM-22KT-YG-NA"/>
    <x v="0"/>
    <s v="G-NA-91.80-YG"/>
    <n v="5.3479999999999999"/>
    <n v="4.9095000000000004"/>
    <n v="0"/>
    <n v="4.9095000000000004"/>
    <s v="RC-MUSTAFA-EXP-ORD-100542"/>
    <s v="RC-MUSTAFA-EXP-ORD-100542"/>
    <s v="SUSHANT-M"/>
    <d v="2026-06-20T19:24:15"/>
    <x v="3"/>
    <s v="FUSION PENDANTS"/>
  </r>
  <r>
    <d v="2026-06-20T00:00:00"/>
    <s v="SR-INV-AST/26-27/2786"/>
    <s v="INV"/>
    <m/>
    <s v="Royal Chain Private Limited"/>
    <m/>
    <s v="STYLE"/>
    <s v="STYLE"/>
    <n v="0.91800000000000004"/>
    <s v="CFC-P-076-4.00GM-22KT-YG-NA"/>
    <x v="0"/>
    <s v="G-NA-91.80-YG"/>
    <n v="5.5369999999999999"/>
    <n v="5.0830000000000002"/>
    <n v="0"/>
    <n v="5.0830000000000002"/>
    <s v="RC-MUSTAFA-EXP-ORD-100542"/>
    <s v="RC-MUSTAFA-EXP-ORD-100542"/>
    <s v="SUSHANT-M"/>
    <d v="2026-06-20T19:24:15"/>
    <x v="3"/>
    <s v="FUSION PENDANTS"/>
  </r>
  <r>
    <d v="2026-06-20T00:00:00"/>
    <s v="SR-INV-AST/26-27/2786"/>
    <s v="INV"/>
    <m/>
    <s v="Royal Chain Private Limited"/>
    <m/>
    <s v="STYLE"/>
    <s v="STYLE"/>
    <n v="0.91800000000000004"/>
    <s v="CFC-P-076-4.00GM-22KT-YG-NA"/>
    <x v="0"/>
    <s v="G-NA-91.80-YG"/>
    <n v="5.4960000000000004"/>
    <n v="5.0453000000000001"/>
    <n v="0"/>
    <n v="5.0453000000000001"/>
    <s v="RC-MUSTAFA-EXP-ORD-100542"/>
    <s v="RC-MUSTAFA-EXP-ORD-100542"/>
    <s v="SUSHANT-M"/>
    <d v="2026-06-20T19:24:15"/>
    <x v="3"/>
    <s v="FUSION PENDANTS"/>
  </r>
  <r>
    <d v="2026-06-20T00:00:00"/>
    <s v="SR-INV-AST/26-27/2785"/>
    <s v="INV"/>
    <m/>
    <s v="Royal Chain Private Limited"/>
    <m/>
    <s v="STYLE"/>
    <s v="STYLE"/>
    <n v="0.91800000000000004"/>
    <s v="CBR24661M8-14.00GM-22KT-YG-8 INCH"/>
    <x v="0"/>
    <s v="G-NA-91.80-YG"/>
    <n v="14.3"/>
    <n v="13.1274"/>
    <n v="0"/>
    <n v="13.1274"/>
    <s v="RC-STOCK-ORD-200007"/>
    <s v="RC-STOCK-ORD-200007"/>
    <s v="SUSHANT-M"/>
    <d v="2026-06-20T19:21:16"/>
    <x v="4"/>
    <s v="Indigo Bracelets"/>
  </r>
  <r>
    <d v="2026-06-20T00:00:00"/>
    <s v="SR-INV-AST/26-27/2785"/>
    <s v="INV"/>
    <m/>
    <s v="Royal Chain Private Limited"/>
    <m/>
    <s v="STYLE"/>
    <s v="STYLE"/>
    <n v="0.91800000000000004"/>
    <s v="CUCH24664M5-20.00GM-22KT-YG-22 INCH"/>
    <x v="0"/>
    <s v="G-NA-91.80-YG"/>
    <n v="19.015000000000001"/>
    <n v="17.4558"/>
    <n v="0"/>
    <n v="17.4558"/>
    <s v="RC-STOCK-ORD-200007"/>
    <s v="RC-STOCK-ORD-200007"/>
    <s v="SUSHANT-M"/>
    <d v="2026-06-20T19:21:16"/>
    <x v="4"/>
    <s v="Indigo Chains"/>
  </r>
  <r>
    <d v="2026-06-20T00:00:00"/>
    <s v="SR-INV-AST/26-27/2785"/>
    <s v="INV"/>
    <m/>
    <s v="Royal Chain Private Limited"/>
    <m/>
    <s v="STYLE"/>
    <s v="STYLE"/>
    <n v="0.91800000000000004"/>
    <s v="CUCH24664M7-29.00GM-22KT-YG-20 INCH"/>
    <x v="0"/>
    <s v="G-NA-91.80-YG"/>
    <n v="31.145"/>
    <n v="28.591100000000001"/>
    <n v="0"/>
    <n v="28.591100000000001"/>
    <s v="RC-STOCK-ORD-200007"/>
    <s v="RC-STOCK-ORD-200007"/>
    <s v="SUSHANT-M"/>
    <d v="2026-06-20T19:21:16"/>
    <x v="4"/>
    <s v="Indigo Chains"/>
  </r>
  <r>
    <d v="2026-06-20T00:00:00"/>
    <s v="SR-INV-AST/26-27/2785"/>
    <s v="INV"/>
    <m/>
    <s v="Royal Chain Private Limited"/>
    <m/>
    <s v="STYLE"/>
    <s v="STYLE"/>
    <n v="0.91800000000000004"/>
    <s v="CUCH24662M7C-30.00GM-22KT-YG-22 INCH"/>
    <x v="0"/>
    <s v="G-NA-91.80-YG"/>
    <n v="31.289000000000001"/>
    <n v="28.723299999999998"/>
    <n v="0"/>
    <n v="28.723299999999998"/>
    <s v="RC-STOCK-ORD-200007"/>
    <s v="RC-STOCK-ORD-200007"/>
    <s v="SUSHANT-M"/>
    <d v="2026-06-20T19:21:16"/>
    <x v="4"/>
    <s v="Indigo Chains"/>
  </r>
  <r>
    <d v="2026-06-20T00:00:00"/>
    <s v="SR-INV-AST/26-27/2785"/>
    <s v="INV"/>
    <m/>
    <s v="Royal Chain Private Limited"/>
    <m/>
    <s v="STYLE"/>
    <s v="STYLE"/>
    <n v="0.91800000000000004"/>
    <s v="CUCH24664M7-29.00GM-22KT-YG-20 INCH"/>
    <x v="0"/>
    <s v="G-NA-91.80-YG"/>
    <n v="29.591999999999999"/>
    <n v="27.165500000000002"/>
    <n v="0"/>
    <n v="27.165500000000002"/>
    <s v="RC-STOCK-ORD-200007"/>
    <s v="RC-STOCK-ORD-200007"/>
    <s v="SUSHANT-M"/>
    <d v="2026-06-20T19:21:16"/>
    <x v="4"/>
    <s v="Indigo Chains"/>
  </r>
  <r>
    <d v="2026-06-20T00:00:00"/>
    <s v="SR-INV-AST/26-27/2785"/>
    <s v="INV"/>
    <m/>
    <s v="Royal Chain Private Limited"/>
    <m/>
    <s v="STYLE"/>
    <s v="STYLE"/>
    <n v="0.91800000000000004"/>
    <s v="CUCH24662M7C-30.00GM-22KT-YG-22 INCH"/>
    <x v="0"/>
    <s v="G-NA-91.80-YG"/>
    <n v="30.812000000000001"/>
    <n v="28.285399999999999"/>
    <n v="0"/>
    <n v="28.285399999999999"/>
    <s v="RC-STOCK-ORD-200007"/>
    <s v="RC-STOCK-ORD-200007"/>
    <s v="SUSHANT-M"/>
    <d v="2026-06-20T19:21:16"/>
    <x v="4"/>
    <s v="Indigo Chains"/>
  </r>
  <r>
    <d v="2026-06-20T00:00:00"/>
    <s v="SR-INV-AST/26-27/2785"/>
    <s v="INV"/>
    <m/>
    <s v="Royal Chain Private Limited"/>
    <m/>
    <s v="STYLE"/>
    <s v="STYLE"/>
    <n v="0.91800000000000004"/>
    <s v="CBR24661M8-14.00GM-22KT-YG-8 INCH"/>
    <x v="0"/>
    <s v="G-NA-91.80-YG"/>
    <n v="14.667999999999999"/>
    <n v="13.465199999999999"/>
    <n v="0"/>
    <n v="13.465199999999999"/>
    <s v="RC-STOCK-ORD-200007"/>
    <s v="RC-STOCK-ORD-200007"/>
    <s v="SUSHANT-M"/>
    <d v="2026-06-20T19:21:16"/>
    <x v="4"/>
    <s v="Indigo Bracelets"/>
  </r>
  <r>
    <d v="2026-06-20T00:00:00"/>
    <s v="SR-INV-AST/26-27/2785"/>
    <s v="INV"/>
    <m/>
    <s v="Royal Chain Private Limited"/>
    <m/>
    <s v="STYLE"/>
    <s v="STYLE"/>
    <n v="0.91800000000000004"/>
    <s v="CUCH24664M5-20.00GM-22KT-YG-22 INCH"/>
    <x v="0"/>
    <s v="G-NA-91.80-YG"/>
    <n v="18.866"/>
    <n v="17.318999999999999"/>
    <n v="0"/>
    <n v="17.318999999999999"/>
    <s v="RC-STOCK-ORD-200007"/>
    <s v="RC-STOCK-ORD-200007"/>
    <s v="SUSHANT-M"/>
    <d v="2026-06-20T19:21:16"/>
    <x v="4"/>
    <s v="Indigo Chains"/>
  </r>
  <r>
    <d v="2026-06-20T00:00:00"/>
    <s v="SR-INV-AST/26-27/2785"/>
    <s v="INV"/>
    <m/>
    <s v="Royal Chain Private Limited"/>
    <m/>
    <s v="STYLE"/>
    <s v="STYLE"/>
    <n v="0.91800000000000004"/>
    <s v="CUCH24664M7B-31.00GM-22KT-YG-22 INCH"/>
    <x v="0"/>
    <s v="G-NA-91.80-YG"/>
    <n v="30.57"/>
    <n v="28.063300000000002"/>
    <n v="0"/>
    <n v="28.063300000000002"/>
    <s v="RC-STOCK-ORD-200007"/>
    <s v="RC-STOCK-ORD-200007"/>
    <s v="SUSHANT-M"/>
    <d v="2026-06-20T19:21:16"/>
    <x v="4"/>
    <s v="Indigo Chains"/>
  </r>
  <r>
    <d v="2026-06-20T00:00:00"/>
    <s v="SR-INV-AST/26-27/2785"/>
    <s v="INV"/>
    <m/>
    <s v="Royal Chain Private Limited"/>
    <m/>
    <s v="STYLE"/>
    <s v="STYLE"/>
    <n v="0.91800000000000004"/>
    <s v="CUCH24662M7C-30.00GM-22KT-YG-22 INCH"/>
    <x v="0"/>
    <s v="G-NA-91.80-YG"/>
    <n v="31.709"/>
    <n v="29.108899999999998"/>
    <n v="0"/>
    <n v="29.108899999999998"/>
    <s v="RC-STOCK-ORD-200007"/>
    <s v="RC-STOCK-ORD-200007"/>
    <s v="SUSHANT-M"/>
    <d v="2026-06-20T19:21:16"/>
    <x v="4"/>
    <s v="Indigo Chains"/>
  </r>
  <r>
    <d v="2026-06-20T00:00:00"/>
    <s v="SR-INV-AST/26-27/2785"/>
    <s v="INV"/>
    <m/>
    <s v="Royal Chain Private Limited"/>
    <m/>
    <s v="STYLE"/>
    <s v="STYLE"/>
    <n v="0.91800000000000004"/>
    <s v="CBR24661M8-14.00GM-22KT-YG-8 INCH"/>
    <x v="0"/>
    <s v="G-NA-91.80-YG"/>
    <n v="13.698"/>
    <n v="12.5748"/>
    <n v="0"/>
    <n v="12.5748"/>
    <s v="RC-STOCK-ORD-200007"/>
    <s v="RC-STOCK-ORD-200007"/>
    <s v="SUSHANT-M"/>
    <d v="2026-06-20T19:21:16"/>
    <x v="4"/>
    <s v="Indigo Bracelets"/>
  </r>
  <r>
    <d v="2026-06-20T00:00:00"/>
    <s v="SR-INV-AST/26-27/2785"/>
    <s v="INV"/>
    <m/>
    <s v="Royal Chain Private Limited"/>
    <m/>
    <s v="STYLE"/>
    <s v="STYLE"/>
    <n v="0.91800000000000004"/>
    <s v="CBR24661M8-14.00GM-22KT-YG-8 INCH"/>
    <x v="0"/>
    <s v="G-NA-91.80-YG"/>
    <n v="14.218999999999999"/>
    <n v="13.053000000000001"/>
    <n v="0"/>
    <n v="13.053000000000001"/>
    <s v="RC-STOCK-ORD-200007"/>
    <s v="RC-STOCK-ORD-200007"/>
    <s v="SUSHANT-M"/>
    <d v="2026-06-20T19:21:16"/>
    <x v="4"/>
    <s v="Indigo Bracelets"/>
  </r>
  <r>
    <d v="2026-06-20T00:00:00"/>
    <s v="SR-INV-AST/26-27/2785"/>
    <s v="INV"/>
    <m/>
    <s v="Royal Chain Private Limited"/>
    <m/>
    <s v="STYLE"/>
    <s v="STYLE"/>
    <n v="0.91800000000000004"/>
    <s v="CBR24661M8-14.00GM-22KT-YG-8 INCH"/>
    <x v="0"/>
    <s v="G-NA-91.80-YG"/>
    <n v="14.813000000000001"/>
    <n v="13.5983"/>
    <n v="0"/>
    <n v="13.5983"/>
    <s v="RC-STOCK-ORD-200007"/>
    <s v="RC-STOCK-ORD-200007"/>
    <s v="SUSHANT-M"/>
    <d v="2026-06-20T19:21:16"/>
    <x v="4"/>
    <s v="Indigo Bracelets"/>
  </r>
  <r>
    <d v="2026-06-20T00:00:00"/>
    <s v="SR-INV-AST/26-27/2785"/>
    <s v="INV"/>
    <m/>
    <s v="Royal Chain Private Limited"/>
    <m/>
    <s v="STYLE"/>
    <s v="STYLE"/>
    <n v="0.91800000000000004"/>
    <s v="CUCH24664M7B-31.00GM-22KT-YG-22 INCH"/>
    <x v="0"/>
    <s v="G-NA-91.80-YG"/>
    <n v="28.794"/>
    <n v="26.4329"/>
    <n v="0"/>
    <n v="26.4329"/>
    <s v="RC-STOCK-ORD-200007"/>
    <s v="RC-STOCK-ORD-200007"/>
    <s v="SUSHANT-M"/>
    <d v="2026-06-20T19:21:16"/>
    <x v="4"/>
    <s v="Indigo Chains"/>
  </r>
  <r>
    <d v="2026-06-20T00:00:00"/>
    <s v="SR-INV-AST/26-27/2785"/>
    <s v="INV"/>
    <m/>
    <s v="Royal Chain Private Limited"/>
    <m/>
    <s v="STYLE"/>
    <s v="STYLE"/>
    <n v="0.91800000000000004"/>
    <s v="CUCH24664M7-29.00GM-22KT-YG-20 INCH"/>
    <x v="0"/>
    <s v="G-NA-91.80-YG"/>
    <n v="30.614999999999998"/>
    <n v="28.104600000000001"/>
    <n v="0"/>
    <n v="28.104600000000001"/>
    <s v="RC-STOCK-ORD-200007"/>
    <s v="RC-STOCK-ORD-200007"/>
    <s v="SUSHANT-M"/>
    <d v="2026-06-20T19:21:16"/>
    <x v="4"/>
    <s v="Indigo Chains"/>
  </r>
  <r>
    <d v="2026-06-20T00:00:00"/>
    <s v="SR-INV-AST/26-27/2785"/>
    <s v="INV"/>
    <m/>
    <s v="Royal Chain Private Limited"/>
    <m/>
    <s v="STYLE"/>
    <s v="STYLE"/>
    <n v="0.91800000000000004"/>
    <s v="CUCH24664M5-20.00GM-22KT-YG-22 INCH"/>
    <x v="0"/>
    <s v="G-NA-91.80-YG"/>
    <n v="19.170000000000002"/>
    <n v="17.598099999999999"/>
    <n v="0"/>
    <n v="17.598099999999999"/>
    <s v="RC-STOCK-ORD-200007"/>
    <s v="RC-STOCK-ORD-200007"/>
    <s v="SUSHANT-M"/>
    <d v="2026-06-20T19:21:16"/>
    <x v="4"/>
    <s v="Indigo Chains"/>
  </r>
  <r>
    <d v="2026-06-20T00:00:00"/>
    <s v="SR-INV-AST/26-27/2785"/>
    <s v="INV"/>
    <m/>
    <s v="Royal Chain Private Limited"/>
    <m/>
    <s v="STYLE"/>
    <s v="STYLE"/>
    <n v="0.91800000000000004"/>
    <s v="CUCH24664M7B-31.00GM-22KT-YG-22 INCH"/>
    <x v="0"/>
    <s v="G-NA-91.80-YG"/>
    <n v="28.986999999999998"/>
    <n v="26.610099999999999"/>
    <n v="0"/>
    <n v="26.610099999999999"/>
    <s v="RC-STOCK-ORD-200007"/>
    <s v="RC-STOCK-ORD-200007"/>
    <s v="SUSHANT-M"/>
    <d v="2026-06-20T19:21:16"/>
    <x v="4"/>
    <s v="Indigo Chains"/>
  </r>
  <r>
    <d v="2026-06-20T00:00:00"/>
    <s v="SR-INV-AST/26-27/2784"/>
    <s v="INV"/>
    <m/>
    <s v="V-DIA JEWELS PRIVATE LIMITED"/>
    <m/>
    <s v="STYLE"/>
    <s v="STYLE"/>
    <n v="0.75"/>
    <s v="MENS-CH-024-5.00GM-18KT-RG-ROLL"/>
    <x v="1"/>
    <s v="G-NA-75.00-RG"/>
    <n v="36.159999999999997"/>
    <n v="27.12"/>
    <n v="2.35"/>
    <n v="27.969799999999999"/>
    <s v="AQUA-2005261-ST"/>
    <s v="MG-03017"/>
    <s v="SUJIT-THASAL"/>
    <d v="2026-06-20T19:18:16"/>
    <x v="5"/>
    <s v="MENS ITALIAN CHAINS"/>
  </r>
  <r>
    <d v="2026-06-20T00:00:00"/>
    <s v="SR-INV-AST/26-27/2784"/>
    <s v="INV"/>
    <m/>
    <s v="V-DIA JEWELS PRIVATE LIMITED"/>
    <m/>
    <s v="STYLE"/>
    <s v="STYLE"/>
    <n v="0.75"/>
    <s v="CH003-OMEGA-4SADAK-8.00GM-18KT-RG-MS"/>
    <x v="1"/>
    <s v="G-NA-75.00-RG"/>
    <n v="247.95"/>
    <n v="185.96250000000001"/>
    <n v="3"/>
    <n v="193.40100000000001"/>
    <s v="MG-03025-STOCK"/>
    <s v="MG-03025-STOCK"/>
    <s v="SUJIT-THASAL"/>
    <d v="2026-06-20T19:18:16"/>
    <x v="6"/>
    <s v="LAZER MACHINE CHAINS"/>
  </r>
  <r>
    <d v="2026-06-20T00:00:00"/>
    <s v="SR-INV-AST/26-27/2783"/>
    <s v="INV"/>
    <m/>
    <s v="Royal Chain Private Limited"/>
    <m/>
    <s v="STYLE"/>
    <s v="STYLE"/>
    <n v="0.75"/>
    <s v="ICH241942M2.25-15.00GM-18KT-YG-20 INCH"/>
    <x v="1"/>
    <s v="G-NA-75.00-YG"/>
    <n v="14.456"/>
    <n v="10.842000000000001"/>
    <n v="0"/>
    <n v="10.842000000000001"/>
    <s v="RC-STOCK-13062026"/>
    <s v="RC-STOCK-13062026"/>
    <s v="SUSHANT-M"/>
    <d v="2026-06-20T19:16:36"/>
    <x v="7"/>
    <s v="Indigo Chains"/>
  </r>
  <r>
    <d v="2026-06-20T00:00:00"/>
    <s v="SR-INV-AST/26-27/2783"/>
    <s v="INV"/>
    <m/>
    <s v="Royal Chain Private Limited"/>
    <m/>
    <s v="STYLE"/>
    <s v="STYLE"/>
    <n v="0.75"/>
    <s v="ICH241942M2.25-15.00GM-18KT-YG-20 INCH"/>
    <x v="1"/>
    <s v="G-NA-75.00-YG"/>
    <n v="14.454000000000001"/>
    <n v="10.8405"/>
    <n v="0"/>
    <n v="10.8405"/>
    <s v="RC-STOCK-13062026"/>
    <s v="RC-STOCK-13062026"/>
    <s v="SUSHANT-M"/>
    <d v="2026-06-20T19:16:36"/>
    <x v="7"/>
    <s v="Indigo Chains"/>
  </r>
  <r>
    <d v="2026-06-20T00:00:00"/>
    <s v="SR-INV-AST/26-27/2783"/>
    <s v="INV"/>
    <m/>
    <s v="Royal Chain Private Limited"/>
    <m/>
    <s v="STYLE"/>
    <s v="STYLE"/>
    <n v="0.75"/>
    <s v="ICH241942M2.25-15.00GM-18KT-YG-20 INCH"/>
    <x v="1"/>
    <s v="G-NA-75.00-YG"/>
    <n v="14.054"/>
    <n v="10.5405"/>
    <n v="0"/>
    <n v="10.5405"/>
    <s v="RC-STOCK-13062026"/>
    <s v="RC-STOCK-13062026"/>
    <s v="SUSHANT-M"/>
    <d v="2026-06-20T19:16:36"/>
    <x v="7"/>
    <s v="Indigo Chains"/>
  </r>
  <r>
    <d v="2026-06-20T00:00:00"/>
    <s v="SR-INV-AST/26-27/2783"/>
    <s v="INV"/>
    <m/>
    <s v="Royal Chain Private Limited"/>
    <m/>
    <s v="STYLE"/>
    <s v="STYLE"/>
    <n v="0.75"/>
    <s v="ICH241942M2.25-15.00GM-18KT-YG-20 INCH"/>
    <x v="1"/>
    <s v="G-NA-75.00-YG"/>
    <n v="14.401999999999999"/>
    <n v="10.801500000000001"/>
    <n v="0"/>
    <n v="10.801500000000001"/>
    <s v="RC-STOCK-13062026"/>
    <s v="RC-STOCK-13062026"/>
    <s v="SUSHANT-M"/>
    <d v="2026-06-20T19:16:36"/>
    <x v="7"/>
    <s v="Indigo Chains"/>
  </r>
  <r>
    <d v="2026-06-20T00:00:00"/>
    <s v="SR-INV-AST/26-27/2783"/>
    <s v="INV"/>
    <m/>
    <s v="Royal Chain Private Limited"/>
    <m/>
    <s v="STYLE"/>
    <s v="STYLE"/>
    <n v="0.75"/>
    <s v="ICH241942M2.25-15.00GM-18KT-YG-20 INCH"/>
    <x v="1"/>
    <s v="G-NA-75.00-YG"/>
    <n v="14.342000000000001"/>
    <n v="10.756500000000001"/>
    <n v="0"/>
    <n v="10.756500000000001"/>
    <s v="RC-STOCK-13062026"/>
    <s v="RC-STOCK-13062026"/>
    <s v="SUSHANT-M"/>
    <d v="2026-06-20T19:16:36"/>
    <x v="7"/>
    <s v="Indigo Chains"/>
  </r>
  <r>
    <d v="2026-06-20T00:00:00"/>
    <s v="SR-INV-AST/26-27/2783"/>
    <s v="INV"/>
    <m/>
    <s v="Royal Chain Private Limited"/>
    <m/>
    <s v="STYLE"/>
    <s v="STYLE"/>
    <n v="0.75"/>
    <s v="ICH241942M2.25-15.00GM-18KT-YG-20 INCH"/>
    <x v="1"/>
    <s v="G-NA-75.00-YG"/>
    <n v="14.909000000000001"/>
    <n v="11.181800000000001"/>
    <n v="0"/>
    <n v="11.181800000000001"/>
    <s v="RC-STOCK-13062026"/>
    <s v="RC-STOCK-13062026"/>
    <s v="SUSHANT-M"/>
    <d v="2026-06-20T19:16:36"/>
    <x v="7"/>
    <s v="Indigo Chains"/>
  </r>
  <r>
    <d v="2026-06-20T00:00:00"/>
    <s v="SR-INV-AST/26-27/2783"/>
    <s v="INV"/>
    <m/>
    <s v="Royal Chain Private Limited"/>
    <m/>
    <s v="STYLE"/>
    <s v="STYLE"/>
    <n v="0.75"/>
    <s v="ICH241942M2.25-15.00GM-18KT-YG-20 INCH"/>
    <x v="1"/>
    <s v="G-NA-75.00-YG"/>
    <n v="14.304"/>
    <n v="10.728"/>
    <n v="0"/>
    <n v="10.728"/>
    <s v="RC-STOCK-13062026"/>
    <s v="RC-STOCK-13062026"/>
    <s v="SUSHANT-M"/>
    <d v="2026-06-20T19:16:36"/>
    <x v="7"/>
    <s v="Indigo Chains"/>
  </r>
  <r>
    <d v="2026-06-20T00:00:00"/>
    <s v="SR-INV-AST/26-27/2783"/>
    <s v="INV"/>
    <m/>
    <s v="Royal Chain Private Limited"/>
    <m/>
    <s v="STYLE"/>
    <s v="STYLE"/>
    <n v="0.75"/>
    <s v="ICH241942M2.25-15.00GM-18KT-YG-20 INCH"/>
    <x v="1"/>
    <s v="G-NA-75.00-YG"/>
    <n v="14.226000000000001"/>
    <n v="10.669499999999999"/>
    <n v="0"/>
    <n v="10.669499999999999"/>
    <s v="RC-STOCK-13062026"/>
    <s v="RC-STOCK-13062026"/>
    <s v="SUSHANT-M"/>
    <d v="2026-06-20T19:16:36"/>
    <x v="7"/>
    <s v="Indigo Chains"/>
  </r>
  <r>
    <d v="2026-06-20T00:00:00"/>
    <s v="SR-INV-AST/26-27/2783"/>
    <s v="INV"/>
    <m/>
    <s v="Royal Chain Private Limited"/>
    <m/>
    <s v="STYLE"/>
    <s v="STYLE"/>
    <n v="0.75"/>
    <s v="ICH241942M2.25-15.00GM-18KT-YG-20 INCH"/>
    <x v="1"/>
    <s v="G-NA-75.00-YG"/>
    <n v="14.276"/>
    <n v="10.707000000000001"/>
    <n v="0"/>
    <n v="10.707000000000001"/>
    <s v="RC-STOCK-13062026"/>
    <s v="RC-STOCK-13062026"/>
    <s v="SUSHANT-M"/>
    <d v="2026-06-20T19:16:36"/>
    <x v="7"/>
    <s v="Indigo Chains"/>
  </r>
  <r>
    <d v="2026-06-20T00:00:00"/>
    <s v="SR-INV-AST/26-27/2783"/>
    <s v="INV"/>
    <m/>
    <s v="Royal Chain Private Limited"/>
    <m/>
    <s v="STYLE"/>
    <s v="STYLE"/>
    <n v="0.75"/>
    <s v="ICH241942M2.25-15.00GM-18KT-YG-20 INCH"/>
    <x v="1"/>
    <s v="G-NA-75.00-YG"/>
    <n v="13.879"/>
    <n v="10.4093"/>
    <n v="0"/>
    <n v="10.4093"/>
    <s v="RC-STOCK-13062026"/>
    <s v="RC-STOCK-13062026"/>
    <s v="SUSHANT-M"/>
    <d v="2026-06-20T19:16:36"/>
    <x v="7"/>
    <s v="Indigo Chains"/>
  </r>
  <r>
    <d v="2026-06-20T00:00:00"/>
    <s v="SR-INV-AST/26-27/2783"/>
    <s v="INV"/>
    <m/>
    <s v="Royal Chain Private Limited"/>
    <m/>
    <s v="STYLE"/>
    <s v="STYLE"/>
    <n v="0.75"/>
    <s v="ICH241942M2.25-15.00GM-18KT-YG-20 INCH"/>
    <x v="1"/>
    <s v="G-NA-75.00-YG"/>
    <n v="14.513"/>
    <n v="10.8848"/>
    <n v="0"/>
    <n v="10.8848"/>
    <s v="RC-STOCK-13062026"/>
    <s v="RC-STOCK-13062026"/>
    <s v="SUSHANT-M"/>
    <d v="2026-06-20T19:16:36"/>
    <x v="7"/>
    <s v="Indigo Chains"/>
  </r>
  <r>
    <d v="2026-06-20T00:00:00"/>
    <s v="SR-INV-AST/26-27/2783"/>
    <s v="INV"/>
    <m/>
    <s v="Royal Chain Private Limited"/>
    <m/>
    <s v="STYLE"/>
    <s v="STYLE"/>
    <n v="0.75"/>
    <s v="ICH241942M2.25-15.00GM-18KT-YG-20 INCH"/>
    <x v="1"/>
    <s v="G-NA-75.00-YG"/>
    <n v="14.824"/>
    <n v="11.118"/>
    <n v="0"/>
    <n v="11.118"/>
    <s v="RC-STOCK-13062026"/>
    <s v="RC-STOCK-13062026"/>
    <s v="SUSHANT-M"/>
    <d v="2026-06-20T19:16:36"/>
    <x v="7"/>
    <s v="Indigo Chains"/>
  </r>
  <r>
    <d v="2026-06-20T00:00:00"/>
    <s v="SR-INV-AST/26-27/2783"/>
    <s v="INV"/>
    <m/>
    <s v="Royal Chain Private Limited"/>
    <m/>
    <s v="STYLE"/>
    <s v="STYLE"/>
    <n v="0.75"/>
    <s v="ICH241942M2.25-15.00GM-18KT-YG-20 INCH"/>
    <x v="1"/>
    <s v="G-NA-75.00-YG"/>
    <n v="15.077999999999999"/>
    <n v="11.3085"/>
    <n v="0"/>
    <n v="11.3085"/>
    <s v="RC-STOCK-13062026"/>
    <s v="RC-STOCK-13062026"/>
    <s v="SUSHANT-M"/>
    <d v="2026-06-20T19:16:36"/>
    <x v="7"/>
    <s v="Indigo Chains"/>
  </r>
  <r>
    <d v="2026-06-20T00:00:00"/>
    <s v="SR-INV-AST/26-27/2782"/>
    <s v="INV"/>
    <m/>
    <s v="STAR-JEWELS"/>
    <m/>
    <s v="METAL"/>
    <s v="GOLD"/>
    <n v="0.995"/>
    <m/>
    <x v="2"/>
    <s v="PG-NA-99.50-YG"/>
    <n v="114.399"/>
    <n v="113.827"/>
    <n v="0"/>
    <n v="113.827"/>
    <m/>
    <s v="SG-104"/>
    <s v="PRAKASH-DEWASI"/>
    <d v="2026-06-20T19:14:43"/>
    <x v="8"/>
    <m/>
  </r>
  <r>
    <d v="2026-06-20T00:00:00"/>
    <s v="SR-INV-AST/26-27/2782"/>
    <s v="INV"/>
    <m/>
    <s v="STAR-JEWELS"/>
    <m/>
    <s v="METAL"/>
    <s v="GOLD"/>
    <n v="0.995"/>
    <m/>
    <x v="2"/>
    <s v="PG-NA-99.50-YG"/>
    <n v="396.50099999999998"/>
    <n v="394.51850000000002"/>
    <n v="0"/>
    <n v="394.51850000000002"/>
    <m/>
    <s v="SG-106"/>
    <s v="PRAKASH-DEWASI"/>
    <d v="2026-06-20T19:14:43"/>
    <x v="8"/>
    <m/>
  </r>
  <r>
    <d v="2026-06-20T00:00:00"/>
    <s v="SR-INV-AST/26-27/2781"/>
    <s v="INV"/>
    <m/>
    <s v="DVM AQUA GOLD PRIVATE LIMITED"/>
    <m/>
    <s v="STYLE"/>
    <s v="STYLE"/>
    <n v="0.75"/>
    <s v="MIX-CHAIN-40.00GM-18KT-RG-NA"/>
    <x v="1"/>
    <s v="G-NA-75.00-RG"/>
    <n v="30.2"/>
    <n v="22.65"/>
    <n v="0"/>
    <n v="22.65"/>
    <m/>
    <s v="AQUA SAMPLE(MENS CHAIN)"/>
    <s v="SUJIT-THASAL"/>
    <d v="2026-06-20T19:12:23"/>
    <x v="9"/>
    <s v="LAZER MACHINE CHAINS"/>
  </r>
  <r>
    <d v="2026-06-20T00:00:00"/>
    <s v="SR-INV-AST/26-27/2780"/>
    <s v="INV"/>
    <m/>
    <s v="V-DIA JEWELS PRIVATE LIMITED"/>
    <m/>
    <s v="STYLE"/>
    <s v="STYLE"/>
    <n v="0.75"/>
    <s v="ANBK-011-8.50gm-18KT-YG-1.80 ANNA"/>
    <x v="1"/>
    <s v="G-NA-75.00-YG"/>
    <n v="3.9729999999999999"/>
    <n v="2.9798"/>
    <n v="4"/>
    <n v="3.1387"/>
    <s v="MY GOLD-MG-DIVESHJI-03043- CUST/ORD"/>
    <s v="MY GOLD-MG-DIVESHJI-03043- CUST/ORD"/>
    <s v="SUSHANT-M"/>
    <d v="2026-06-20T19:11:30"/>
    <x v="10"/>
    <s v="Kids Kada"/>
  </r>
  <r>
    <d v="2026-06-20T00:00:00"/>
    <s v="SR-INV-AST/26-27/2780"/>
    <s v="INV"/>
    <m/>
    <s v="V-DIA JEWELS PRIVATE LIMITED"/>
    <m/>
    <s v="STYLE"/>
    <s v="STYLE"/>
    <n v="0.75"/>
    <s v="ANBK-011-8.50gm-18KT-YG-1.80 ANNA"/>
    <x v="1"/>
    <s v="G-NA-75.00-YG"/>
    <n v="3.9969999999999999"/>
    <n v="2.9977999999999998"/>
    <n v="4"/>
    <n v="3.1576"/>
    <s v="MY GOLD-MG-DIVESHJI-03043- CUST/ORD"/>
    <s v="MY GOLD-MG-DIVESHJI-03043- CUST/ORD"/>
    <s v="SUSHANT-M"/>
    <d v="2026-06-20T19:11:30"/>
    <x v="10"/>
    <s v="Kids Kada"/>
  </r>
  <r>
    <d v="2026-06-20T00:00:00"/>
    <s v="SR-INV-AST/26-27/2779"/>
    <s v="INV"/>
    <m/>
    <s v="Royal Chain Private Limited"/>
    <m/>
    <s v="STYLE"/>
    <s v="STYLE"/>
    <n v="0.75"/>
    <s v="VRC-246-28.50GM-18KT-RG-MS"/>
    <x v="1"/>
    <s v="G-NA-75.00-RG"/>
    <n v="97.57"/>
    <n v="73.177499999999995"/>
    <n v="0"/>
    <n v="73.177499999999995"/>
    <m/>
    <s v="RC- EXTRA ( HUID DONE )"/>
    <s v="AMIT DAVRE"/>
    <d v="2026-06-20T19:09:11"/>
    <x v="11"/>
    <s v="Verona Chains"/>
  </r>
  <r>
    <d v="2026-06-20T00:00:00"/>
    <s v="SR-INV-AST/26-27/2779"/>
    <s v="INV"/>
    <m/>
    <s v="Royal Chain Private Limited"/>
    <m/>
    <s v="STYLE"/>
    <s v="STYLE"/>
    <n v="0.75"/>
    <s v="ITALIAN LAZER MACHINE CHAINS PAVE-5.00GM-18KT-RG-MS"/>
    <x v="1"/>
    <s v="G-NA-75.00-RG"/>
    <n v="111.72"/>
    <n v="83.79"/>
    <n v="0"/>
    <n v="83.79"/>
    <s v="RC-EXTRA-ST-1906/2"/>
    <s v="RC-EXTRA-ST-1906/2 ( HUID DONE )"/>
    <s v="AMIT DAVRE"/>
    <d v="2026-06-20T19:09:11"/>
    <x v="12"/>
    <s v="LAZER MACHINE CHAINS"/>
  </r>
  <r>
    <d v="2026-06-20T00:00:00"/>
    <s v="SR-INV-AST/26-27/2779"/>
    <s v="INV"/>
    <m/>
    <s v="Royal Chain Private Limited"/>
    <m/>
    <s v="STYLE"/>
    <s v="STYLE"/>
    <n v="0.75"/>
    <s v="12YPV70K-7BOX-FANCY-CHECKS+BORDER-YP-5.00GM-18KT-YG-MS"/>
    <x v="1"/>
    <s v="G-NA-75.00-YG"/>
    <n v="253.75"/>
    <n v="190.3125"/>
    <n v="0"/>
    <n v="190.3125"/>
    <s v="RC-11923-ST"/>
    <s v="RC-11923-ST ( HUID DONE )"/>
    <s v="AMIT DAVRE"/>
    <d v="2026-06-20T19:09:11"/>
    <x v="12"/>
    <s v="ITALIAN LAZER MACHINE CHAINS"/>
  </r>
  <r>
    <d v="2026-06-20T00:00:00"/>
    <s v="SR-INV-AST/26-27/2778"/>
    <s v="INV"/>
    <m/>
    <s v="DVM AQUA GOLD PRIVATE LIMITED"/>
    <m/>
    <s v="STYLE"/>
    <s v="STYLE"/>
    <n v="0.75"/>
    <s v="CUCH24666M6-15.50gm-18KT-YG-17 INCH"/>
    <x v="1"/>
    <s v="G-NA-75.00-YG"/>
    <n v="15.648"/>
    <n v="11.736000000000001"/>
    <n v="3"/>
    <n v="12.205399999999999"/>
    <s v="DVM-AQUA-GOKUL MOLE"/>
    <s v="DVM-AQUA-GOKUL MOLE"/>
    <s v="SUSHANT-M"/>
    <d v="2026-06-20T19:07:33"/>
    <x v="4"/>
    <s v="Indigo Chains"/>
  </r>
  <r>
    <d v="2026-06-20T00:00:00"/>
    <s v="SR-INV-AST/26-27/2777"/>
    <s v="INV"/>
    <m/>
    <s v="DVM AQUA GOLD PRIVATE LIMITED"/>
    <m/>
    <s v="STYLE"/>
    <s v="STYLE"/>
    <n v="0.75"/>
    <s v="KADA-20.00GM-18KT-YG-NA"/>
    <x v="1"/>
    <s v="G-NA-75.00-YG"/>
    <n v="8.5500000000000007"/>
    <n v="6.4124999999999996"/>
    <n v="3"/>
    <n v="6.6689999999999996"/>
    <m/>
    <s v="DVM AQUA/REPAIR-DN-44"/>
    <s v="SUSHANT-M"/>
    <d v="2026-06-20T19:00:50"/>
    <x v="13"/>
    <s v="LAPEL Bracelets"/>
  </r>
  <r>
    <d v="2026-06-20T00:00:00"/>
    <s v="SR-INV-AST/26-27/2777"/>
    <s v="INV"/>
    <m/>
    <s v="DVM AQUA GOLD PRIVATE LIMITED"/>
    <m/>
    <s v="STYLE"/>
    <s v="STYLE"/>
    <n v="0.75"/>
    <s v="BRACELET-15.00GM-18KT-RG-MS"/>
    <x v="1"/>
    <s v="G-NA-75.00-RG"/>
    <n v="15.736000000000001"/>
    <n v="11.802"/>
    <n v="3"/>
    <n v="12.274100000000001"/>
    <s v="DVM AQUA/REPAIR -19/06"/>
    <s v="DVM AQUA/REPAIR -19/06 DN-43"/>
    <s v="SUSHANT-M"/>
    <d v="2026-06-20T19:00:50"/>
    <x v="14"/>
    <s v="Kids Bracelets"/>
  </r>
  <r>
    <d v="2026-06-20T00:00:00"/>
    <s v="SR-INV-AST/26-27/2776"/>
    <s v="INV"/>
    <m/>
    <s v="MALABAR GOLD AND DIAMONDS LIMITED"/>
    <m/>
    <s v="STYLE"/>
    <s v="STYLE"/>
    <n v="0.91800000000000004"/>
    <s v="MIX-CHAIN-40.00GM-22KT-YG-NA"/>
    <x v="0"/>
    <s v="G-NA-91.80-YG"/>
    <n v="191.36"/>
    <n v="175.66849999999999"/>
    <n v="1.7"/>
    <n v="178.92160000000001"/>
    <m/>
    <s v="MALABAR CHAIN SELECTION"/>
    <s v="SUJIT-THASAL"/>
    <d v="2026-06-20T18:44:13"/>
    <x v="9"/>
    <s v="LAZER MACHINE CHAINS"/>
  </r>
  <r>
    <d v="2026-06-20T00:00:00"/>
    <s v="SR-INV-AST/26-27/2776"/>
    <s v="INV"/>
    <m/>
    <s v="MALABAR GOLD AND DIAMONDS LIMITED"/>
    <m/>
    <s v="STYLE"/>
    <s v="STYLE"/>
    <n v="0.91800000000000004"/>
    <s v="MIX-CHAIN-40.00GM-22KT-YG-NA"/>
    <x v="0"/>
    <s v="G-NA-91.80-YG"/>
    <n v="84.11"/>
    <n v="77.212999999999994"/>
    <n v="2.2000000000000002"/>
    <n v="79.063400000000001"/>
    <m/>
    <s v="MALABAR CHAIN SELECTION"/>
    <s v="SUJIT-THASAL"/>
    <d v="2026-06-20T18:44:13"/>
    <x v="9"/>
    <s v="LAZER MACHINE CHAINS"/>
  </r>
  <r>
    <d v="2026-06-20T00:00:00"/>
    <s v="SR-INV-AST/26-27/2775"/>
    <s v="INV"/>
    <m/>
    <s v="Royal Chain Private Limited"/>
    <m/>
    <s v="STYLE"/>
    <s v="STYLE"/>
    <n v="0.75"/>
    <s v="OLK262521-7.50gm-18KT-YG-2.40 ANNA"/>
    <x v="1"/>
    <s v="G-NA-75.00-YG"/>
    <n v="7.6980000000000004"/>
    <n v="5.7735000000000003"/>
    <n v="0"/>
    <n v="5.7735000000000003"/>
    <m/>
    <s v="GIVE TO YASH BHAI ON MONDAY RETURN  BACK TO FACTORY"/>
    <s v="SUJIT-THASAL"/>
    <d v="2026-06-20T18:18:25"/>
    <x v="15"/>
    <s v="ORANT KADA"/>
  </r>
  <r>
    <d v="2026-06-20T00:00:00"/>
    <s v="SR-INV-AST/26-27/2775"/>
    <s v="INV"/>
    <m/>
    <s v="Royal Chain Private Limited"/>
    <m/>
    <s v="STYLE"/>
    <s v="STYLE"/>
    <n v="0.75"/>
    <s v="SAMPLE-PCS-1.00GM-18KT-YG-NA"/>
    <x v="1"/>
    <s v="G-NA-75.00-YG"/>
    <n v="4.891"/>
    <n v="3.6682999999999999"/>
    <n v="0"/>
    <n v="3.6682999999999999"/>
    <m/>
    <s v="GIVE TO YASH BHAI ON MONDAY RETURN  BACK TO FACTORY"/>
    <s v="SUJIT-THASAL"/>
    <d v="2026-06-20T18:18:25"/>
    <x v="16"/>
    <s v="NA"/>
  </r>
  <r>
    <d v="2026-06-20T00:00:00"/>
    <s v="SR-INV-AST/26-27/2775"/>
    <s v="INV"/>
    <m/>
    <s v="Royal Chain Private Limited"/>
    <m/>
    <s v="STYLE"/>
    <s v="STYLE"/>
    <n v="0.75"/>
    <s v="OLK262524-7.50gm-18KT-YG-2.40 ANNA"/>
    <x v="1"/>
    <s v="G-NA-75.00-YG"/>
    <n v="7.7110000000000003"/>
    <n v="5.7832999999999997"/>
    <n v="0"/>
    <n v="5.7832999999999997"/>
    <m/>
    <s v="GIVE TO YASH BHAI ON MONDAY RETURN  BACK TO FACTORY"/>
    <s v="SUJIT-THASAL"/>
    <d v="2026-06-20T18:18:25"/>
    <x v="15"/>
    <s v="ORANT KADA"/>
  </r>
  <r>
    <d v="2026-06-20T00:00:00"/>
    <s v="SR-INV-AST/26-27/2775"/>
    <s v="INV"/>
    <m/>
    <s v="Royal Chain Private Limited"/>
    <m/>
    <s v="STYLE"/>
    <s v="STYLE"/>
    <n v="0.75"/>
    <s v="SAMPLE-PCS-1.00GM-18KT-YG-NA"/>
    <x v="1"/>
    <s v="G-NA-75.00-YG"/>
    <n v="4.6520000000000001"/>
    <n v="3.4889999999999999"/>
    <n v="0"/>
    <n v="3.4889999999999999"/>
    <m/>
    <s v="GIVE TO YASH BHAI ON MONDAY RETURN  BACK TO FACTORY"/>
    <s v="SUJIT-THASAL"/>
    <d v="2026-06-20T18:18:25"/>
    <x v="16"/>
    <s v="NA"/>
  </r>
  <r>
    <d v="2026-06-20T00:00:00"/>
    <s v="SR-INV-AST/26-27/2775"/>
    <s v="INV"/>
    <m/>
    <s v="Royal Chain Private Limited"/>
    <m/>
    <s v="STYLE"/>
    <s v="STYLE"/>
    <n v="0.75"/>
    <s v="SAMPLE-PCS-1.00GM-18KT-YG-NA"/>
    <x v="1"/>
    <s v="G-NA-75.00-YG"/>
    <n v="5.0199999999999996"/>
    <n v="3.7650000000000001"/>
    <n v="0"/>
    <n v="3.7650000000000001"/>
    <m/>
    <s v="GIVE TO YASH BHAI ON MONDAY RETURN  BACK TO FACTORY"/>
    <s v="SUJIT-THASAL"/>
    <d v="2026-06-20T18:18:25"/>
    <x v="16"/>
    <s v="NA"/>
  </r>
  <r>
    <d v="2026-06-20T00:00:00"/>
    <s v="SR-INV-AST/26-27/2775"/>
    <s v="INV"/>
    <m/>
    <s v="Royal Chain Private Limited"/>
    <m/>
    <s v="STYLE"/>
    <s v="STYLE"/>
    <n v="0.75"/>
    <s v="SAMPLE-PCS-1.00GM-18KT-YG-NA"/>
    <x v="1"/>
    <s v="G-NA-75.00-YG"/>
    <n v="5.0069999999999997"/>
    <n v="3.7553000000000001"/>
    <n v="0"/>
    <n v="3.7553000000000001"/>
    <m/>
    <s v="GIVE TO YASH BHAI ON MONDAY RETURN  BACK TO FACTORY"/>
    <s v="SUJIT-THASAL"/>
    <d v="2026-06-20T18:18:25"/>
    <x v="16"/>
    <s v="NA"/>
  </r>
  <r>
    <d v="2026-06-20T00:00:00"/>
    <s v="SR-INV-AST/26-27/2775"/>
    <s v="INV"/>
    <m/>
    <s v="Royal Chain Private Limited"/>
    <m/>
    <s v="STYLE"/>
    <s v="STYLE"/>
    <n v="0.75"/>
    <s v="SAMPLE-PCS-1.00GM-18KT-YG-NA"/>
    <x v="1"/>
    <s v="G-NA-75.00-YG"/>
    <n v="5.0880000000000001"/>
    <n v="3.8159999999999998"/>
    <n v="0"/>
    <n v="3.8159999999999998"/>
    <m/>
    <s v="GIVE TO YASH BHAI ON MONDAY RETURN  BACK TO FACTORY"/>
    <s v="SUJIT-THASAL"/>
    <d v="2026-06-20T18:18:25"/>
    <x v="16"/>
    <s v="NA"/>
  </r>
  <r>
    <d v="2026-06-20T00:00:00"/>
    <s v="SR-INV-AST/26-27/2775"/>
    <s v="INV"/>
    <m/>
    <s v="Royal Chain Private Limited"/>
    <m/>
    <s v="STYLE"/>
    <s v="STYLE"/>
    <n v="0.75"/>
    <s v="OLK262523-6.00GM-18KT-YG-2.40 ANNA"/>
    <x v="1"/>
    <s v="G-NA-75.00-YG"/>
    <n v="6.1449999999999996"/>
    <n v="4.6087999999999996"/>
    <n v="0"/>
    <n v="4.6087999999999996"/>
    <m/>
    <s v="GIVE TO YASH BHAI ON MONDAY RETURN  BACK TO FACTORY"/>
    <s v="SUJIT-THASAL"/>
    <d v="2026-06-20T18:18:25"/>
    <x v="15"/>
    <s v="ORANT KADA"/>
  </r>
  <r>
    <d v="2026-06-20T00:00:00"/>
    <s v="SR-INV-AST/26-27/2775"/>
    <s v="INV"/>
    <m/>
    <s v="Royal Chain Private Limited"/>
    <m/>
    <s v="STYLE"/>
    <s v="STYLE"/>
    <n v="0.75"/>
    <s v="OLK262522-8gm-18KT-YG-2.40 ANNA"/>
    <x v="1"/>
    <s v="G-NA-75.00-YG"/>
    <n v="8.0289999999999999"/>
    <n v="6.0217999999999998"/>
    <n v="0"/>
    <n v="6.0217999999999998"/>
    <m/>
    <s v="GIVE TO YASH BHAI ON MONDAY RETURN  BACK TO FACTORY"/>
    <s v="SUJIT-THASAL"/>
    <d v="2026-06-20T18:18:25"/>
    <x v="15"/>
    <s v="ORANT KADA"/>
  </r>
  <r>
    <d v="2026-06-20T00:00:00"/>
    <s v="SR-INV-AST/26-27/2775"/>
    <s v="INV"/>
    <m/>
    <s v="Royal Chain Private Limited"/>
    <m/>
    <s v="STYLE"/>
    <s v="STYLE"/>
    <n v="0.75"/>
    <s v="SAMPLE-PCS-1.00GM-18KT-YG-NA"/>
    <x v="1"/>
    <s v="G-NA-75.00-YG"/>
    <n v="4.694"/>
    <n v="3.5205000000000002"/>
    <n v="0"/>
    <n v="3.5205000000000002"/>
    <m/>
    <s v="GIVE TO YASH BHAI ON MONDAY RETURN  BACK TO FACTORY"/>
    <s v="SUJIT-THASAL"/>
    <d v="2026-06-20T18:18:25"/>
    <x v="16"/>
    <s v="NA"/>
  </r>
  <r>
    <d v="2026-06-20T00:00:00"/>
    <s v="SR-INV-AST/26-27/2775"/>
    <s v="INV"/>
    <m/>
    <s v="Royal Chain Private Limited"/>
    <m/>
    <s v="STYLE"/>
    <s v="STYLE"/>
    <n v="0.75"/>
    <s v="SAMPLE-PCS-1.00GM-18KT-YG-NA"/>
    <x v="1"/>
    <s v="G-NA-75.00-YG"/>
    <n v="4.6929999999999996"/>
    <n v="3.5198"/>
    <n v="0"/>
    <n v="3.5198"/>
    <m/>
    <s v="GIVE TO YASH BHAI ON MONDAY RETURN  BACK TO FACTORY"/>
    <s v="SUJIT-THASAL"/>
    <d v="2026-06-20T18:18:25"/>
    <x v="16"/>
    <s v="NA"/>
  </r>
  <r>
    <d v="2026-06-20T00:00:00"/>
    <s v="SR-INV-AST/26-27/2775"/>
    <s v="INV"/>
    <m/>
    <s v="Royal Chain Private Limited"/>
    <m/>
    <s v="STYLE"/>
    <s v="STYLE"/>
    <n v="0.75"/>
    <s v="OLK262525-7gm-18KT-YG-2.40 ANNA"/>
    <x v="1"/>
    <s v="G-NA-75.00-YG"/>
    <n v="6.9669999999999996"/>
    <n v="5.2252999999999998"/>
    <n v="0"/>
    <n v="5.2252999999999998"/>
    <m/>
    <s v="GIVE TO YASH BHAI ON MONDAY RETURN  BACK TO FACTORY"/>
    <s v="SUJIT-THASAL"/>
    <d v="2026-06-20T18:18:25"/>
    <x v="15"/>
    <s v="ORANT KADA"/>
  </r>
  <r>
    <d v="2026-06-20T00:00:00"/>
    <s v="SR-INV-AST/26-27/2775"/>
    <s v="INV"/>
    <m/>
    <s v="Royal Chain Private Limited"/>
    <m/>
    <s v="STYLE"/>
    <s v="STYLE"/>
    <n v="0.75"/>
    <s v="OLK262527-7gm-18KT-YG-2.40 ANNA"/>
    <x v="1"/>
    <s v="G-NA-75.00-YG"/>
    <n v="7.1210000000000004"/>
    <n v="5.3407999999999998"/>
    <n v="0"/>
    <n v="5.3407999999999998"/>
    <m/>
    <s v="GIVE TO YASH BHAI ON MONDAY RETURN  BACK TO FACTORY"/>
    <s v="SUJIT-THASAL"/>
    <d v="2026-06-20T18:18:25"/>
    <x v="15"/>
    <s v="ORANT KADA"/>
  </r>
  <r>
    <d v="2026-06-20T00:00:00"/>
    <s v="SR-INV-AST/26-27/2775"/>
    <s v="INV"/>
    <m/>
    <s v="Royal Chain Private Limited"/>
    <m/>
    <s v="STYLE"/>
    <s v="STYLE"/>
    <n v="0.75"/>
    <s v="OLK262530-7.50gm-18KT-YG-2.40 ANNA"/>
    <x v="1"/>
    <s v="G-NA-75.00-YG"/>
    <n v="7.2859999999999996"/>
    <n v="5.4645000000000001"/>
    <n v="0"/>
    <n v="5.4645000000000001"/>
    <m/>
    <s v="GIVE TO YASH BHAI ON MONDAY RETURN  BACK TO FACTORY"/>
    <s v="SUJIT-THASAL"/>
    <d v="2026-06-20T18:18:25"/>
    <x v="15"/>
    <s v="ORANT KADA"/>
  </r>
  <r>
    <d v="2026-06-20T00:00:00"/>
    <s v="SR-INV-AST/26-27/2775"/>
    <s v="INV"/>
    <m/>
    <s v="Royal Chain Private Limited"/>
    <m/>
    <s v="STYLE"/>
    <s v="STYLE"/>
    <n v="0.75"/>
    <s v="OLK262526-7.00GM-18KT-YG-2.40 ANNA"/>
    <x v="1"/>
    <s v="G-NA-75.00-YG"/>
    <n v="7.2430000000000003"/>
    <n v="5.4322999999999997"/>
    <n v="0"/>
    <n v="5.4322999999999997"/>
    <m/>
    <s v="GIVE TO YASH BHAI ON MONDAY RETURN  BACK TO FACTORY"/>
    <s v="SUJIT-THASAL"/>
    <d v="2026-06-20T18:18:25"/>
    <x v="15"/>
    <s v="ORANT KADA"/>
  </r>
  <r>
    <d v="2026-06-20T00:00:00"/>
    <s v="SR-INV-AST/26-27/2775"/>
    <s v="INV"/>
    <m/>
    <s v="Royal Chain Private Limited"/>
    <m/>
    <s v="STYLE"/>
    <s v="STYLE"/>
    <n v="0.75"/>
    <s v="OLK262529-7.50gm-18KT-YG-2.40 ANNA"/>
    <x v="1"/>
    <s v="G-NA-75.00-YG"/>
    <n v="7.5590000000000002"/>
    <n v="5.6692999999999998"/>
    <n v="0"/>
    <n v="5.6692999999999998"/>
    <m/>
    <s v="GIVE TO YASH BHAI ON MONDAY RETURN  BACK TO FACTORY"/>
    <s v="SUJIT-THASAL"/>
    <d v="2026-06-20T18:18:25"/>
    <x v="15"/>
    <s v="ORANT KADA"/>
  </r>
  <r>
    <d v="2026-06-20T00:00:00"/>
    <s v="SR-INV-AST/26-27/2775"/>
    <s v="INV"/>
    <m/>
    <s v="Royal Chain Private Limited"/>
    <m/>
    <s v="STYLE"/>
    <s v="STYLE"/>
    <n v="0.75"/>
    <s v="OLK262528-6.50gm-18KT-YG-2.40 ANNA"/>
    <x v="1"/>
    <s v="G-NA-75.00-YG"/>
    <n v="6.6710000000000003"/>
    <n v="5.0033000000000003"/>
    <n v="0"/>
    <n v="5.0033000000000003"/>
    <m/>
    <s v="GIVE TO YASH BHAI ON MONDAY RETURN  BACK TO FACTORY"/>
    <s v="SUJIT-THASAL"/>
    <d v="2026-06-20T18:18:25"/>
    <x v="15"/>
    <s v="ORANT KADA"/>
  </r>
  <r>
    <d v="2026-06-20T00:00:00"/>
    <s v="SR-INV-AST/26-27/2774"/>
    <s v="INV"/>
    <m/>
    <s v="Royal Chain Private Limited"/>
    <m/>
    <s v="STYLE"/>
    <s v="STYLE"/>
    <n v="0.91800000000000004"/>
    <s v="VERONA CHAIN-20.00GM-22KT-YG-MS"/>
    <x v="0"/>
    <s v="G-NA-91.80-YG"/>
    <n v="72.617999999999995"/>
    <n v="66.663300000000007"/>
    <n v="0"/>
    <n v="66.663300000000007"/>
    <m/>
    <s v="AJ TO RC  OFFICE"/>
    <s v="KALURAM-DEWASI"/>
    <d v="2026-06-20T17:34:30"/>
    <x v="11"/>
    <s v="Verona Chains"/>
  </r>
  <r>
    <d v="2026-06-20T00:00:00"/>
    <s v="SR-INV-AST/26-27/2773"/>
    <s v="INV"/>
    <m/>
    <s v="Aditya Birla - Novel Jewels"/>
    <m/>
    <s v="STYLE"/>
    <s v="STYLE"/>
    <n v="0.91600000000000004"/>
    <s v="30YV500K-50BOX-FANCY-CHECKS+BORDER-Y-42.00GM-22KT-YG-MS"/>
    <x v="0"/>
    <s v="G-NA-91.60-YG"/>
    <n v="31.802"/>
    <n v="29.130600000000001"/>
    <n v="0.7"/>
    <n v="29.353200000000001"/>
    <m/>
    <s v="ASN 032982"/>
    <s v="KAILASH-KUMAR"/>
    <d v="2026-06-20T17:12:44"/>
    <x v="17"/>
    <s v="LAZER MACHINE CHAINS"/>
  </r>
  <r>
    <d v="2026-06-20T00:00:00"/>
    <s v="SR-INV-AST/26-27/2773"/>
    <s v="INV"/>
    <m/>
    <s v="Aditya Birla - Novel Jewels"/>
    <m/>
    <s v="STYLE"/>
    <s v="STYLE"/>
    <n v="0.91600000000000004"/>
    <s v="22-AS475YW-5.00GM-22KT-YG-18 INCH"/>
    <x v="0"/>
    <s v="G-NA-91.60-YG"/>
    <n v="4.5709999999999997"/>
    <n v="4.1870000000000003"/>
    <n v="0.7"/>
    <n v="4.2190000000000003"/>
    <s v="CR-AB-060626006 (NO-STAMP)"/>
    <s v="ASN 032982"/>
    <s v="KAILASH-KUMAR"/>
    <d v="2026-06-20T17:12:44"/>
    <x v="18"/>
    <s v="Assemble Chains"/>
  </r>
  <r>
    <d v="2026-06-20T00:00:00"/>
    <s v="SR-INV-AST/26-27/2773"/>
    <s v="INV"/>
    <m/>
    <s v="Aditya Birla - Novel Jewels"/>
    <m/>
    <s v="STYLE"/>
    <s v="STYLE"/>
    <n v="0.91600000000000004"/>
    <s v="22-AS475YW-5.00GM-22KT-YG-18 INCH"/>
    <x v="0"/>
    <s v="G-NA-91.60-YG"/>
    <n v="4.5609999999999999"/>
    <n v="4.1779000000000002"/>
    <n v="0.7"/>
    <n v="4.2098000000000004"/>
    <s v="CR-AB-060626006 (NO-STAMP)"/>
    <s v="ASN 032982"/>
    <s v="KAILASH-KUMAR"/>
    <d v="2026-06-20T17:12:44"/>
    <x v="18"/>
    <s v="Assemble Chains"/>
  </r>
  <r>
    <d v="2026-06-20T00:00:00"/>
    <s v="SR-INV-AST/26-27/2773"/>
    <s v="INV"/>
    <m/>
    <s v="Aditya Birla - Novel Jewels"/>
    <m/>
    <s v="STYLE"/>
    <s v="STYLE"/>
    <n v="0.91600000000000004"/>
    <s v="22-AS475YW-5.00GM-22KT-YG-18 INCH"/>
    <x v="0"/>
    <s v="G-NA-91.60-YG"/>
    <n v="4.5620000000000003"/>
    <n v="4.1787999999999998"/>
    <n v="0.7"/>
    <n v="4.2107000000000001"/>
    <s v="CR-AB-060626006 (NO-STAMP)"/>
    <s v="ASN 032982"/>
    <s v="KAILASH-KUMAR"/>
    <d v="2026-06-20T17:12:44"/>
    <x v="18"/>
    <s v="Assemble Chains"/>
  </r>
  <r>
    <d v="2026-06-20T00:00:00"/>
    <s v="SR-INV-AST/26-27/2773"/>
    <s v="INV"/>
    <m/>
    <s v="Aditya Birla - Novel Jewels"/>
    <m/>
    <s v="STYLE"/>
    <s v="STYLE"/>
    <n v="0.91600000000000004"/>
    <s v="22-AS475YW-5.00GM-22KT-YG-18 INCH"/>
    <x v="0"/>
    <s v="G-NA-91.60-YG"/>
    <n v="4.5720000000000001"/>
    <n v="4.1879999999999997"/>
    <n v="0.7"/>
    <n v="4.22"/>
    <s v="CR-AB-060626006 (NO-STAMP)"/>
    <s v="ASN 032982"/>
    <s v="KAILASH-KUMAR"/>
    <d v="2026-06-20T17:12:44"/>
    <x v="18"/>
    <s v="Assemble Chains"/>
  </r>
  <r>
    <d v="2026-06-20T00:00:00"/>
    <s v="SR-INV-AST/26-27/2773"/>
    <s v="INV"/>
    <m/>
    <s v="Aditya Birla - Novel Jewels"/>
    <m/>
    <s v="STYLE"/>
    <s v="STYLE"/>
    <n v="0.91600000000000004"/>
    <s v="22-AS475YW-5.00GM-22KT-YG-18 INCH"/>
    <x v="0"/>
    <s v="G-NA-91.60-YG"/>
    <n v="4.5679999999999996"/>
    <n v="4.1843000000000004"/>
    <n v="0.7"/>
    <n v="4.2163000000000004"/>
    <s v="CR-AB-060626006 (NO-STAMP)"/>
    <s v="ASN 032982"/>
    <s v="KAILASH-KUMAR"/>
    <d v="2026-06-20T17:12:44"/>
    <x v="18"/>
    <s v="Assemble Chains"/>
  </r>
  <r>
    <d v="2026-06-20T00:00:00"/>
    <s v="SR-INV-AST/26-27/2773"/>
    <s v="INV"/>
    <m/>
    <s v="Aditya Birla - Novel Jewels"/>
    <m/>
    <s v="STYLE"/>
    <s v="STYLE"/>
    <n v="0.91600000000000004"/>
    <s v="22-AS475YW-5.00GM-22KT-YG-18 INCH"/>
    <x v="0"/>
    <s v="G-NA-91.60-YG"/>
    <n v="4.5529999999999999"/>
    <n v="4.1704999999999997"/>
    <n v="0.7"/>
    <n v="4.2023999999999999"/>
    <s v="CR-AB-060626006 (NO-STAMP)"/>
    <s v="ASN 032982"/>
    <s v="KAILASH-KUMAR"/>
    <d v="2026-06-20T17:12:44"/>
    <x v="18"/>
    <s v="Assemble Chains"/>
  </r>
  <r>
    <d v="2026-06-20T00:00:00"/>
    <s v="SR-INV-AST/26-27/2773"/>
    <s v="INV"/>
    <m/>
    <s v="Aditya Birla - Novel Jewels"/>
    <m/>
    <s v="STYLE"/>
    <s v="STYLE"/>
    <n v="0.91600000000000004"/>
    <s v="22-AS475YW-5.00GM-22KT-YG-18 INCH"/>
    <x v="0"/>
    <s v="G-NA-91.60-YG"/>
    <n v="4.5810000000000004"/>
    <n v="4.1962000000000002"/>
    <n v="0.7"/>
    <n v="4.2282999999999999"/>
    <s v="CR-AB-060626006 (NO-STAMP)"/>
    <s v="ASN 032982"/>
    <s v="KAILASH-KUMAR"/>
    <d v="2026-06-20T17:12:44"/>
    <x v="18"/>
    <s v="Assemble Chains"/>
  </r>
  <r>
    <d v="2026-06-20T00:00:00"/>
    <s v="SR-INV-AST/26-27/2773"/>
    <s v="INV"/>
    <m/>
    <s v="Aditya Birla - Novel Jewels"/>
    <m/>
    <s v="STYLE"/>
    <s v="STYLE"/>
    <n v="0.91600000000000004"/>
    <s v="22-AS475YW-5.00GM-22KT-YG-18 INCH"/>
    <x v="0"/>
    <s v="G-NA-91.60-YG"/>
    <n v="4.5359999999999996"/>
    <n v="4.1550000000000002"/>
    <n v="0.7"/>
    <n v="4.1867000000000001"/>
    <s v="CR-AB-060626006 (NO-STAMP)"/>
    <s v="ASN 032982"/>
    <s v="KAILASH-KUMAR"/>
    <d v="2026-06-20T17:12:44"/>
    <x v="18"/>
    <s v="Assemble Chains"/>
  </r>
  <r>
    <d v="2026-06-20T00:00:00"/>
    <s v="SR-INV-AST/26-27/2773"/>
    <s v="INV"/>
    <m/>
    <s v="Aditya Birla - Novel Jewels"/>
    <m/>
    <s v="STYLE"/>
    <s v="STYLE"/>
    <n v="0.91600000000000004"/>
    <s v="22-AS475YW-5.00GM-22KT-YG-18 INCH"/>
    <x v="0"/>
    <s v="G-NA-91.60-YG"/>
    <n v="4.4909999999999997"/>
    <n v="4.1138000000000003"/>
    <n v="0.7"/>
    <n v="4.1452"/>
    <s v="CR-AB-060626006 (NO-STAMP)"/>
    <s v="ASN 032982"/>
    <s v="KAILASH-KUMAR"/>
    <d v="2026-06-20T17:12:44"/>
    <x v="18"/>
    <s v="Assemble Chains"/>
  </r>
  <r>
    <d v="2026-06-20T00:00:00"/>
    <s v="SR-INV-AST/26-27/2773"/>
    <s v="INV"/>
    <m/>
    <s v="Aditya Birla - Novel Jewels"/>
    <m/>
    <s v="STYLE"/>
    <s v="STYLE"/>
    <n v="0.91600000000000004"/>
    <s v="22-AS475YW-5.00GM-22KT-YG-18 INCH"/>
    <x v="0"/>
    <s v="G-NA-91.60-YG"/>
    <n v="4.4610000000000003"/>
    <n v="4.0862999999999996"/>
    <n v="0.7"/>
    <n v="4.1174999999999997"/>
    <s v="CR-AB-060626006 (NO-STAMP)"/>
    <s v="ASN 032982"/>
    <s v="KAILASH-KUMAR"/>
    <d v="2026-06-20T17:12:44"/>
    <x v="18"/>
    <s v="Assemble Chains"/>
  </r>
  <r>
    <d v="2026-06-20T00:00:00"/>
    <s v="SR-INV-AST/26-27/2773"/>
    <s v="INV"/>
    <m/>
    <s v="Aditya Birla - Novel Jewels"/>
    <m/>
    <s v="STYLE"/>
    <s v="STYLE"/>
    <n v="0.91600000000000004"/>
    <s v="30YV500K-50BOX-FANCY-CHECKS+BORDER-Y-42.00GM-22KT-YG-MS"/>
    <x v="0"/>
    <s v="G-NA-91.60-YG"/>
    <n v="31.683"/>
    <n v="29.021599999999999"/>
    <n v="0.7"/>
    <n v="29.243400000000001"/>
    <m/>
    <s v="ASN 032982"/>
    <s v="KAILASH-KUMAR"/>
    <d v="2026-06-20T17:12:44"/>
    <x v="17"/>
    <s v="LAZER MACHINE CHAINS"/>
  </r>
  <r>
    <d v="2026-06-20T00:00:00"/>
    <s v="SR-INV-AST/26-27/2773"/>
    <s v="INV"/>
    <m/>
    <s v="Aditya Birla - Novel Jewels"/>
    <m/>
    <s v="STYLE"/>
    <s v="STYLE"/>
    <n v="0.91600000000000004"/>
    <s v="30YV500K-50BOX-FANCY-CHECKS+BORDER-Y-42.00GM-22KT-YG-MS"/>
    <x v="0"/>
    <s v="G-NA-91.60-YG"/>
    <n v="31.323"/>
    <n v="28.6919"/>
    <n v="0.7"/>
    <n v="28.911100000000001"/>
    <m/>
    <s v="ASN 032982"/>
    <s v="KAILASH-KUMAR"/>
    <d v="2026-06-20T17:12:44"/>
    <x v="17"/>
    <s v="LAZER MACHINE CHAINS"/>
  </r>
  <r>
    <d v="2026-06-20T00:00:00"/>
    <s v="SR-INV-AST/26-27/2773"/>
    <s v="INV"/>
    <m/>
    <s v="Aditya Birla - Novel Jewels"/>
    <m/>
    <s v="STYLE"/>
    <s v="STYLE"/>
    <n v="0.91600000000000004"/>
    <s v="30YV500K-50BOX-FANCY-CHECKS+BORDER-Y-42.00GM-22KT-YG-MS"/>
    <x v="0"/>
    <s v="G-NA-91.60-YG"/>
    <n v="31.484999999999999"/>
    <n v="28.840299999999999"/>
    <n v="0.7"/>
    <n v="29.060700000000001"/>
    <m/>
    <s v="ASN 032982"/>
    <s v="KAILASH-KUMAR"/>
    <d v="2026-06-20T17:12:44"/>
    <x v="17"/>
    <s v="LAZER MACHINE CHAINS"/>
  </r>
  <r>
    <d v="2026-06-20T00:00:00"/>
    <s v="SR-INV-AST/26-27/2772"/>
    <s v="INV"/>
    <m/>
    <s v="Royal Chain Private Limited"/>
    <m/>
    <s v="STYLE"/>
    <s v="STYLE"/>
    <n v="0.75"/>
    <s v="HL-28RGSR65OSLC-SQUARE-HOLLOW-ROLO-SHORT-LINK-RG-3.50GM-18KT-RG-ROLL"/>
    <x v="1"/>
    <s v="G-NA-75.00-RG"/>
    <n v="218.3"/>
    <n v="163.72499999999999"/>
    <n v="0"/>
    <n v="163.72499999999999"/>
    <m/>
    <s v="RC-3318/2-CS"/>
    <s v="KAMLESH MALI"/>
    <d v="2026-06-20T17:09:55"/>
    <x v="5"/>
    <s v="MENS ITALIAN CHAINS"/>
  </r>
  <r>
    <d v="2026-06-20T00:00:00"/>
    <s v="SR-INV-AST/26-27/2772"/>
    <s v="INV"/>
    <m/>
    <s v="Royal Chain Private Limited"/>
    <m/>
    <s v="STYLE"/>
    <s v="STYLE"/>
    <n v="0.75"/>
    <s v="27RPRB2C-PENTAGON-6GM-ICE-PAVE-RP-6.50GM-18KT-RG-MS"/>
    <x v="1"/>
    <s v="G-NA-75.00-RG"/>
    <n v="81.477999999999994"/>
    <n v="61.108499999999999"/>
    <n v="0"/>
    <n v="61.108499999999999"/>
    <s v="CR-AB-MTO8395-(NO STAMPING)"/>
    <s v="RC-EXTRA-ST(NO HUID)"/>
    <s v="KAMLESH MALI"/>
    <d v="2026-06-20T17:09:55"/>
    <x v="12"/>
    <s v="ITALIAN LAZER MACHINE CHAINS"/>
  </r>
  <r>
    <d v="2026-06-20T00:00:00"/>
    <s v="SR-INV-AST/26-27/2772"/>
    <s v="INV"/>
    <m/>
    <s v="Royal Chain Private Limited"/>
    <m/>
    <s v="STYLE"/>
    <s v="STYLE"/>
    <n v="0.75"/>
    <s v="VRC-182-14.50GM-18KT-RG-18 INCH"/>
    <x v="1"/>
    <s v="G-NA-75.00-RG"/>
    <n v="18.28"/>
    <n v="13.71"/>
    <n v="0"/>
    <n v="13.71"/>
    <s v="YASH-BHAI-(CORP SAMPLE LINE)"/>
    <s v="YASH-BHAI-(CORP SAMPLE LINE)(NO HUID)"/>
    <s v="KAMLESH MALI"/>
    <d v="2026-06-20T17:09:55"/>
    <x v="11"/>
    <s v="Verona Chains"/>
  </r>
  <r>
    <d v="2026-06-20T00:00:00"/>
    <s v="SR-INV-AST/26-27/2772"/>
    <s v="INV"/>
    <m/>
    <s v="Royal Chain Private Limited"/>
    <m/>
    <s v="STYLE"/>
    <s v="STYLE"/>
    <n v="0.75"/>
    <s v="VRC-234-28.00GM-18KT-RG-MS"/>
    <x v="1"/>
    <s v="G-NA-75.00-RG"/>
    <n v="30.33"/>
    <n v="22.747499999999999"/>
    <n v="0"/>
    <n v="22.747499999999999"/>
    <s v="YASH-BHAI-(CORP SAMPLE LINE)"/>
    <s v="YASH-BHAI-(CORP SAMPLE LINE)(NO HUID)"/>
    <s v="KAMLESH MALI"/>
    <d v="2026-06-20T17:09:55"/>
    <x v="11"/>
    <s v="Verona Chains"/>
  </r>
  <r>
    <d v="2026-06-20T00:00:00"/>
    <s v="SR-INV-AST/26-27/2772"/>
    <s v="INV"/>
    <m/>
    <s v="Royal Chain Private Limited"/>
    <m/>
    <s v="STYLE"/>
    <s v="STYLE"/>
    <n v="0.75"/>
    <s v="VRC-146-17.50GM-18KT-RG-MS"/>
    <x v="1"/>
    <s v="G-NA-75.00-RG"/>
    <n v="15.95"/>
    <n v="11.9625"/>
    <n v="0"/>
    <n v="11.9625"/>
    <s v="YASH-BHAI-(CORP SAMPLE LINE)"/>
    <s v="YASH-BHAI-(CORP SAMPLE LINE)(NO HUID)"/>
    <s v="KAMLESH MALI"/>
    <d v="2026-06-20T17:09:55"/>
    <x v="11"/>
    <s v="Verona Chains"/>
  </r>
  <r>
    <d v="2026-06-20T00:00:00"/>
    <s v="SR-INV-AST/26-27/2772"/>
    <s v="INV"/>
    <m/>
    <s v="Royal Chain Private Limited"/>
    <m/>
    <s v="STYLE"/>
    <s v="STYLE"/>
    <n v="0.75"/>
    <s v="10B4CT3-1MM-BARREL-CHAIN-SPIRAL-CUT-PAVE-TRIANGLE-7.00GM-18KT-RG-MS"/>
    <x v="1"/>
    <s v="G-NA-75.00-RG"/>
    <n v="74.48"/>
    <n v="55.86"/>
    <n v="0"/>
    <n v="55.86"/>
    <s v="RC-3319/2-CS"/>
    <s v="RC-3319/2-CS"/>
    <s v="KAMLESH MALI"/>
    <d v="2026-06-20T17:09:55"/>
    <x v="19"/>
    <s v="Ball Barrell"/>
  </r>
  <r>
    <d v="2026-06-20T00:00:00"/>
    <s v="SR-INV-AST/26-27/2772"/>
    <s v="INV"/>
    <m/>
    <s v="Royal Chain Private Limited"/>
    <m/>
    <s v="STYLE"/>
    <s v="STYLE"/>
    <n v="0.75"/>
    <s v="10B4CS4-1MM-BARREL-CHAIN-SPIRAL-CUT-PAVE-SQUARE-9.00GM-18KT-RG-MS"/>
    <x v="1"/>
    <s v="G-NA-75.00-RG"/>
    <n v="67.66"/>
    <n v="50.744999999999997"/>
    <n v="0"/>
    <n v="50.744999999999997"/>
    <s v="RC-3319/2-CS"/>
    <s v="RC-3319/2-CS"/>
    <s v="KAMLESH MALI"/>
    <d v="2026-06-20T17:09:55"/>
    <x v="19"/>
    <s v="Ball Barrell"/>
  </r>
  <r>
    <d v="2026-06-20T00:00:00"/>
    <s v="SR-INV-AST/26-27/2772"/>
    <s v="INV"/>
    <m/>
    <s v="Royal Chain Private Limited"/>
    <m/>
    <s v="STYLE"/>
    <s v="STYLE"/>
    <n v="0.75"/>
    <s v="10B5BR6-1MM-BALL+BARREL-CHAIN-8-CUT-PAVE-6L-ROUND-13.00GM-18KT-YG-MS"/>
    <x v="1"/>
    <s v="G-NA-75.00-YG"/>
    <n v="238.37"/>
    <n v="178.7775"/>
    <n v="0"/>
    <n v="178.7775"/>
    <s v="RC-3335-CS"/>
    <s v="RC-3335-CS"/>
    <s v="KAMLESH MALI"/>
    <d v="2026-06-20T17:09:55"/>
    <x v="19"/>
    <s v="Ball Barrell"/>
  </r>
  <r>
    <d v="2026-06-20T00:00:00"/>
    <s v="SR-INV-AST/26-27/2772"/>
    <s v="INV"/>
    <m/>
    <s v="Royal Chain Private Limited"/>
    <m/>
    <s v="STYLE"/>
    <s v="STYLE"/>
    <n v="0.75"/>
    <s v="16YV30CL2-3BOX-SHIVA-ICE-Y-6.00GM-18KT-YG-MS"/>
    <x v="1"/>
    <s v="G-NA-75.00-YG"/>
    <n v="252.67"/>
    <n v="189.5025"/>
    <n v="0"/>
    <n v="189.5025"/>
    <s v="RC-11920-ST"/>
    <s v="RC-11920-ST(NO HUID)"/>
    <s v="KAMLESH MALI"/>
    <d v="2026-06-20T17:09:55"/>
    <x v="20"/>
    <s v="ITALIAN LAZER MACHINE CHAINS"/>
  </r>
  <r>
    <d v="2026-06-20T00:00:00"/>
    <s v="SR-INV-AST/26-27/2772"/>
    <s v="INV"/>
    <m/>
    <s v="Royal Chain Private Limited"/>
    <m/>
    <s v="STYLE"/>
    <s v="STYLE"/>
    <n v="0.75"/>
    <s v="KLG-29-4Y-17gm-18KT-YG-MS"/>
    <x v="1"/>
    <s v="G-NA-75.00-YG"/>
    <n v="104.09"/>
    <n v="78.067499999999995"/>
    <n v="0"/>
    <n v="78.067499999999995"/>
    <s v="RC-3339/2-CS"/>
    <s v="RC-3339/2-CS"/>
    <s v="KAMLESH MALI"/>
    <d v="2026-06-20T17:09:55"/>
    <x v="21"/>
    <s v="KALGARO SETS"/>
  </r>
  <r>
    <d v="2026-06-20T00:00:00"/>
    <s v="SR-INV-AST/26-27/2772"/>
    <s v="INV"/>
    <m/>
    <s v="Royal Chain Private Limited"/>
    <m/>
    <s v="STYLE"/>
    <s v="STYLE"/>
    <n v="0.75"/>
    <s v="10YPV40K-4BOX-FANCY-CHECKS+BORDER-PAVE-YP-3.50GM-18KT-YG-MS"/>
    <x v="1"/>
    <s v="G-NA-75.00-YG"/>
    <n v="232.82"/>
    <n v="174.61500000000001"/>
    <n v="0"/>
    <n v="174.61500000000001"/>
    <s v="RC-11923-ST"/>
    <s v="RC-11923-ST(NO HUID)"/>
    <s v="KAMLESH MALI"/>
    <d v="2026-06-20T17:09:55"/>
    <x v="12"/>
    <s v="ITALIAN LAZER MACHINE CHAINS"/>
  </r>
  <r>
    <d v="2026-06-20T00:00:00"/>
    <s v="SR-INV-AST/26-27/2772"/>
    <s v="INV"/>
    <m/>
    <s v="Royal Chain Private Limited"/>
    <m/>
    <s v="STYLE"/>
    <s v="STYLE"/>
    <n v="0.75"/>
    <s v="CHOCO-MIX-NA-18KT-YG-NA"/>
    <x v="1"/>
    <s v="G-NA-75.00-YG"/>
    <n v="14.14"/>
    <n v="10.605"/>
    <n v="0"/>
    <n v="10.605"/>
    <s v="RC-3326-CS"/>
    <s v="RC-3326-CS"/>
    <s v="KAMLESH MALI"/>
    <d v="2026-06-20T17:09:55"/>
    <x v="5"/>
    <s v="CHOCO CHAINS"/>
  </r>
  <r>
    <d v="2026-06-20T00:00:00"/>
    <s v="SR-INV-AST/26-27/2772"/>
    <s v="INV"/>
    <m/>
    <s v="Royal Chain Private Limited"/>
    <m/>
    <s v="STYLE"/>
    <s v="STYLE"/>
    <n v="0.75"/>
    <s v="PRESS-CHAIN-PAVE-ICE-CUT-4.00GM-18KT-YG-MS"/>
    <x v="1"/>
    <s v="G-NA-75.00-YG"/>
    <n v="200.08"/>
    <n v="150.06"/>
    <n v="0"/>
    <n v="150.06"/>
    <s v="RC-11924-ST"/>
    <s v="RC-11924-ST(NO HUID)"/>
    <s v="KAMLESH MALI"/>
    <d v="2026-06-20T17:09:55"/>
    <x v="20"/>
    <s v="LAZER MACHINE CHAINS"/>
  </r>
  <r>
    <d v="2026-06-20T00:00:00"/>
    <s v="SR-INV-AST/26-27/2772"/>
    <s v="INV"/>
    <m/>
    <s v="Royal Chain Private Limited"/>
    <m/>
    <s v="STYLE"/>
    <s v="STYLE"/>
    <n v="0.75"/>
    <s v="ILM083-SKODA-4.00GM-18KT-YG-MS"/>
    <x v="1"/>
    <s v="G-NA-75.00-YG"/>
    <n v="5.53"/>
    <n v="4.1475"/>
    <n v="0"/>
    <n v="4.1475"/>
    <s v="RC-3337-CS"/>
    <s v="RC-3337-CS"/>
    <s v="KAMLESH MALI"/>
    <d v="2026-06-20T17:09:55"/>
    <x v="20"/>
    <s v="LAZER MACHINE CHAINS"/>
  </r>
  <r>
    <d v="2026-06-20T00:00:00"/>
    <s v="SR-INV-AST/26-27/2772"/>
    <s v="INV"/>
    <m/>
    <s v="Royal Chain Private Limited"/>
    <m/>
    <s v="STYLE"/>
    <s v="STYLE"/>
    <n v="0.75"/>
    <s v="PRESS-CHAIN-PAVE-ICE-CUT-5.00GM-18KT-YG-MS"/>
    <x v="1"/>
    <s v="G-NA-75.00-YG"/>
    <n v="153.11000000000001"/>
    <n v="114.8325"/>
    <n v="0"/>
    <n v="114.8325"/>
    <s v="RC-11924-ST"/>
    <s v="RC-11924-ST(NO HUID)"/>
    <s v="KAMLESH MALI"/>
    <d v="2026-06-20T17:09:55"/>
    <x v="22"/>
    <s v="LAZER MACHINE CHAINS"/>
  </r>
  <r>
    <d v="2026-06-20T00:00:00"/>
    <s v="SR-INV-AST/26-27/2772"/>
    <s v="INV"/>
    <m/>
    <s v="Royal Chain Private Limited"/>
    <m/>
    <s v="STYLE"/>
    <s v="STYLE"/>
    <n v="0.75"/>
    <s v="15B4RR6-1.5MM-BARREL-CHAIN-ICE-CUT-PAVE-6L-ROUND-25gm-18KT-YG-MS"/>
    <x v="1"/>
    <s v="G-NA-75.00-YG"/>
    <n v="308.39"/>
    <n v="231.29249999999999"/>
    <n v="0"/>
    <n v="231.29249999999999"/>
    <s v="RC-11913-ST"/>
    <s v="RC-11913-ST(NO HUID)"/>
    <s v="KAMLESH MALI"/>
    <d v="2026-06-20T17:09:55"/>
    <x v="23"/>
    <s v="Ball Barrell"/>
  </r>
  <r>
    <d v="2026-06-20T00:00:00"/>
    <s v="SR-INV-AST/26-27/2772"/>
    <s v="INV"/>
    <m/>
    <s v="Royal Chain Private Limited"/>
    <m/>
    <s v="STYLE"/>
    <s v="STYLE"/>
    <n v="0.75"/>
    <s v="10YV30V-3BOX-V-CUT-Y-2.50GM-18KT-YG-MS"/>
    <x v="1"/>
    <s v="G-NA-75.00-YG"/>
    <n v="248.8"/>
    <n v="186.6"/>
    <n v="0"/>
    <n v="186.6"/>
    <s v="RC-11917-ST"/>
    <s v="RC-11917-ST(NO HUID)"/>
    <s v="KAMLESH MALI"/>
    <d v="2026-06-20T17:09:55"/>
    <x v="20"/>
    <s v="ITALIAN LAZER MACHINE CHAINS"/>
  </r>
  <r>
    <d v="2026-06-20T00:00:00"/>
    <s v="SR-INV-AST/26-27/2772"/>
    <s v="INV"/>
    <m/>
    <s v="Royal Chain Private Limited"/>
    <m/>
    <s v="STYLE"/>
    <s v="STYLE"/>
    <n v="0.75"/>
    <s v="HL-28RGTR65OS11-TRIANGLE-HOLLOW-ROLO-NO-CUT-5+1-RG-2.50GM-18KT-RG-ROLL"/>
    <x v="1"/>
    <s v="G-NA-75.00-RG"/>
    <n v="367.54"/>
    <n v="275.65499999999997"/>
    <n v="0"/>
    <n v="275.65499999999997"/>
    <m/>
    <s v="RC-3318/3-CS"/>
    <s v="KAMLESH MALI"/>
    <d v="2026-06-20T17:09:55"/>
    <x v="5"/>
    <s v="MENS ITALIAN CHAINS"/>
  </r>
  <r>
    <d v="2026-06-20T00:00:00"/>
    <s v="SR-INV-AST/26-27/2772"/>
    <s v="INV"/>
    <m/>
    <s v="Royal Chain Private Limited"/>
    <m/>
    <s v="STYLE"/>
    <s v="STYLE"/>
    <n v="0.75"/>
    <s v="CNC-CHS-001-13.50GM-18KT-RG-MS"/>
    <x v="1"/>
    <s v="G-NA-75.00-RG"/>
    <n v="9.7569999999999997"/>
    <n v="7.3178000000000001"/>
    <n v="0"/>
    <n v="7.3178000000000001"/>
    <m/>
    <s v="RC-EXTRA-ST(NO HUID)"/>
    <s v="KAMLESH MALI"/>
    <d v="2026-06-20T17:09:55"/>
    <x v="1"/>
    <s v="VERTICAL CHAIN SETS"/>
  </r>
  <r>
    <d v="2026-06-20T00:00:00"/>
    <s v="SR-INV-AST/26-27/2771"/>
    <s v="INV"/>
    <m/>
    <s v="Aditya Birla - Novel Jewels"/>
    <m/>
    <s v="STYLE"/>
    <s v="STYLE"/>
    <n v="0.91600000000000004"/>
    <s v="MIX-CHAIN-40.00GM-22KT-YG-NA"/>
    <x v="0"/>
    <s v="G-NA-91.60-YG"/>
    <n v="7.0590000000000002"/>
    <n v="6.4660000000000002"/>
    <n v="0.7"/>
    <n v="6.5155000000000003"/>
    <m/>
    <s v="ASN -033149"/>
    <s v="KAILASH-KUMAR"/>
    <d v="2026-06-20T17:00:31"/>
    <x v="9"/>
    <s v="LAZER MACHINE CHAINS"/>
  </r>
  <r>
    <d v="2026-06-20T00:00:00"/>
    <s v="SR-INV-AST/26-27/2770"/>
    <s v="INV"/>
    <m/>
    <s v="Aditya Birla - Novel Jewels"/>
    <m/>
    <s v="STYLE"/>
    <s v="STYLE"/>
    <n v="0.91600000000000004"/>
    <s v="MIX-CHAIN-40.00GM-22KT-YG-NA"/>
    <x v="0"/>
    <s v="G-NA-91.60-YG"/>
    <n v="19.829000000000001"/>
    <n v="18.163399999999999"/>
    <n v="0.7"/>
    <n v="18.302199999999999"/>
    <m/>
    <s v="ASN -033150"/>
    <s v="KAILASH-KUMAR"/>
    <d v="2026-06-20T16:58:52"/>
    <x v="9"/>
    <s v="LAZER MACHINE CHAINS"/>
  </r>
  <r>
    <d v="2026-06-20T00:00:00"/>
    <s v="SR-INV-AST/26-27/2769"/>
    <s v="INV"/>
    <m/>
    <s v="Royal Chain Private Limited"/>
    <m/>
    <s v="STYLE"/>
    <s v="STYLE"/>
    <n v="0.91800000000000004"/>
    <s v="INITFC-182-20.00GM-22KT-YG-ROLL"/>
    <x v="0"/>
    <s v="G-NA-91.80-YG"/>
    <n v="1457.12"/>
    <n v="1337.6361999999999"/>
    <n v="0"/>
    <n v="1337.6361999999999"/>
    <m/>
    <s v="RC-11204-ST(NO HUID)"/>
    <s v="KAMLESH MALI"/>
    <d v="2026-06-20T16:57:14"/>
    <x v="24"/>
    <s v="Indo Fancy Chains"/>
  </r>
  <r>
    <d v="2026-06-20T00:00:00"/>
    <s v="SR-INV-AST/26-27/2768"/>
    <s v="INV"/>
    <m/>
    <s v="Aditya Birla - Novel Jewels"/>
    <m/>
    <s v="STYLE"/>
    <s v="STYLE"/>
    <n v="0.91600000000000004"/>
    <s v="MIX-ITEMS-50.00GM-22KT-YG-NA"/>
    <x v="0"/>
    <s v="G-NA-91.60-YG"/>
    <n v="38.590000000000003"/>
    <n v="35.348399999999998"/>
    <n v="0.7"/>
    <n v="35.618600000000001"/>
    <m/>
    <s v="ASN -032889"/>
    <s v="KAILASH-KUMAR"/>
    <d v="2026-06-20T16:57:07"/>
    <x v="14"/>
    <s v="NA"/>
  </r>
  <r>
    <d v="2026-06-20T00:00:00"/>
    <s v="SR-INV-AST/26-27/2767"/>
    <s v="INV"/>
    <m/>
    <s v="Aditya Birla - Novel Jewels"/>
    <m/>
    <s v="STYLE"/>
    <s v="STYLE"/>
    <n v="0.75"/>
    <s v="ASS-PLAIN-NA-18KT-YG-NA"/>
    <x v="1"/>
    <s v="G-NA-75.00-YG"/>
    <n v="16.097000000000001"/>
    <n v="12.072800000000001"/>
    <n v="0.7"/>
    <n v="12.1854"/>
    <m/>
    <s v="ASN -032966"/>
    <s v="KAILASH-KUMAR"/>
    <d v="2026-06-20T16:54:19"/>
    <x v="2"/>
    <s v="Assemble Chains"/>
  </r>
  <r>
    <d v="2026-06-20T00:00:00"/>
    <s v="SR-INV-AST/26-27/2766"/>
    <s v="INV"/>
    <m/>
    <s v="Royal Chain Private Limited"/>
    <m/>
    <s v="STYLE"/>
    <s v="STYLE"/>
    <n v="0.91800000000000004"/>
    <s v="INITFC-187-19.00GM-22KT-YG-ROLL"/>
    <x v="0"/>
    <s v="G-NA-91.80-YG"/>
    <n v="1349.18"/>
    <n v="1238.5472"/>
    <n v="0"/>
    <n v="1238.5472"/>
    <s v="RC-200002-ST"/>
    <s v="RC-200002-ST(NO HUID)"/>
    <s v="KAMLESH MALI"/>
    <d v="2026-06-20T16:54:07"/>
    <x v="24"/>
    <s v="Indo Fancy Chains"/>
  </r>
  <r>
    <d v="2026-06-20T00:00:00"/>
    <s v="SR-INV-AST/26-27/2765"/>
    <s v="INV"/>
    <m/>
    <s v="RC-REFINISHING"/>
    <m/>
    <s v="STYLE"/>
    <s v="STYLE"/>
    <n v="0.91800000000000004"/>
    <s v="MIX-CHAIN-40.00GM-22KT-YG-NA"/>
    <x v="0"/>
    <s v="G-NA-91.80-YG"/>
    <n v="15.62"/>
    <n v="14.3392"/>
    <n v="0"/>
    <n v="14.3392"/>
    <m/>
    <s v="SLIP NO-14445"/>
    <s v="KAMLESH MALI"/>
    <d v="2026-06-20T16:51:23"/>
    <x v="9"/>
    <s v="LAZER MACHINE CHAINS"/>
  </r>
  <r>
    <d v="2026-06-20T00:00:00"/>
    <s v="SR-INV-AST/26-27/2765"/>
    <s v="INV"/>
    <m/>
    <s v="RC-REFINISHING"/>
    <m/>
    <s v="STYLE"/>
    <s v="STYLE"/>
    <n v="0.91800000000000004"/>
    <s v="ASS-PLAIN--22KT-YG-NA"/>
    <x v="0"/>
    <s v="G-NA-91.80-YG"/>
    <n v="48.81"/>
    <n v="44.807600000000001"/>
    <n v="0"/>
    <n v="44.807600000000001"/>
    <m/>
    <s v="SLIP-14444"/>
    <s v="KAMLESH MALI"/>
    <d v="2026-06-20T16:51:23"/>
    <x v="2"/>
    <s v="Assemble Chains"/>
  </r>
  <r>
    <d v="2026-06-20T00:00:00"/>
    <s v="SR-INV-AST/26-27/2765"/>
    <s v="INV"/>
    <m/>
    <s v="RC-REFINISHING"/>
    <m/>
    <s v="STYLE"/>
    <s v="STYLE"/>
    <n v="0.91800000000000004"/>
    <s v="INDO-MIX-NA-22KT-YG-NA"/>
    <x v="0"/>
    <s v="G-NA-91.80-YG"/>
    <n v="46.24"/>
    <n v="42.448300000000003"/>
    <n v="0"/>
    <n v="42.448300000000003"/>
    <m/>
    <s v="SLIP NO-14447"/>
    <s v="KAMLESH MALI"/>
    <d v="2026-06-20T16:51:23"/>
    <x v="0"/>
    <s v="Assort"/>
  </r>
  <r>
    <d v="2026-06-20T00:00:00"/>
    <s v="SR-INV-AST/26-27/2765"/>
    <s v="INV"/>
    <m/>
    <s v="RC-REFINISHING"/>
    <m/>
    <s v="STYLE"/>
    <s v="STYLE"/>
    <n v="0.91800000000000004"/>
    <s v="MIX-ITEMS-50.00GM-22KT-YG-NA"/>
    <x v="0"/>
    <s v="G-NA-91.80-YG"/>
    <n v="530.98"/>
    <n v="487.43959999999998"/>
    <n v="0"/>
    <n v="487.43959999999998"/>
    <m/>
    <s v="slip no-14819"/>
    <s v="KAMLESH MALI"/>
    <d v="2026-06-20T16:51:23"/>
    <x v="14"/>
    <s v="NA"/>
  </r>
  <r>
    <d v="2026-06-20T00:00:00"/>
    <s v="SR-INV-AST/26-27/2765"/>
    <s v="INV"/>
    <m/>
    <s v="RC-REFINISHING"/>
    <m/>
    <s v="STYLE"/>
    <s v="STYLE"/>
    <n v="0.91800000000000004"/>
    <s v="MIX-ITEMS-50.00GM-22KT-YG-NA"/>
    <x v="0"/>
    <s v="G-NA-91.80-YG"/>
    <n v="11.4"/>
    <n v="10.465199999999999"/>
    <n v="0"/>
    <n v="10.465199999999999"/>
    <m/>
    <s v="SLIP-14822"/>
    <s v="KAMLESH MALI"/>
    <d v="2026-06-20T16:51:23"/>
    <x v="14"/>
    <s v="NA"/>
  </r>
  <r>
    <d v="2026-06-20T00:00:00"/>
    <s v="SR-INV-AST/26-27/2765"/>
    <s v="INV"/>
    <m/>
    <s v="RC-REFINISHING"/>
    <m/>
    <s v="STYLE"/>
    <s v="STYLE"/>
    <n v="0.91800000000000004"/>
    <s v="MIX-ITEMS-NA-22KT-YG-NA"/>
    <x v="0"/>
    <s v="G-NA-91.80-YG"/>
    <n v="8.07"/>
    <n v="7.4082999999999997"/>
    <n v="0"/>
    <n v="7.4082999999999997"/>
    <m/>
    <s v="SLIP NO-14816"/>
    <s v="KAMLESH MALI"/>
    <d v="2026-06-20T16:51:23"/>
    <x v="14"/>
    <s v="NA"/>
  </r>
  <r>
    <d v="2026-06-20T00:00:00"/>
    <s v="SR-INV-AST/26-27/2764"/>
    <s v="INV"/>
    <m/>
    <s v="Royal Chain Private Limited"/>
    <m/>
    <s v="STYLE"/>
    <s v="STYLE"/>
    <n v="0.91800000000000004"/>
    <s v="22-IMBH215Y-8.50gm-22KT-YG-MS"/>
    <x v="0"/>
    <s v="G-NA-91.80-YG"/>
    <n v="8.3650000000000002"/>
    <n v="7.6791"/>
    <n v="0"/>
    <n v="7.6791"/>
    <m/>
    <s v="RC-EXTRA-ST(NO HUID)"/>
    <s v="KAMLESH MALI"/>
    <d v="2026-06-20T16:46:53"/>
    <x v="25"/>
    <s v="IMP-HALF-SET"/>
  </r>
  <r>
    <d v="2026-06-20T00:00:00"/>
    <s v="SR-INV-AST/26-27/2764"/>
    <s v="INV"/>
    <m/>
    <s v="Royal Chain Private Limited"/>
    <m/>
    <s v="STYLE"/>
    <s v="STYLE"/>
    <n v="0.91800000000000004"/>
    <s v="22-AS208YW-8.50GM-22KT-YG-MS"/>
    <x v="0"/>
    <s v="G-NA-91.80-YG"/>
    <n v="71.97"/>
    <n v="66.0685"/>
    <n v="0"/>
    <n v="66.0685"/>
    <s v="RC-200009-ST"/>
    <s v="RC-200009-ST(HUID DONE)"/>
    <s v="KAMLESH MALI"/>
    <d v="2026-06-20T16:46:53"/>
    <x v="18"/>
    <s v="Assemble Chains"/>
  </r>
  <r>
    <d v="2026-06-20T00:00:00"/>
    <s v="SR-INV-AST/26-27/2764"/>
    <s v="INV"/>
    <m/>
    <s v="Royal Chain Private Limited"/>
    <m/>
    <s v="STYLE"/>
    <s v="STYLE"/>
    <n v="0.91800000000000004"/>
    <s v="22-AS101Y-8.00GM-22KT-YG-MS"/>
    <x v="0"/>
    <s v="G-NA-91.80-YG"/>
    <n v="120.29"/>
    <n v="110.42619999999999"/>
    <n v="0"/>
    <n v="110.42619999999999"/>
    <s v="RC-21956-ST"/>
    <s v="RC-21956-ST(NO HUID)"/>
    <s v="KAMLESH MALI"/>
    <d v="2026-06-20T16:46:53"/>
    <x v="2"/>
    <s v="Assemble Chains"/>
  </r>
  <r>
    <d v="2026-06-20T00:00:00"/>
    <s v="SR-INV-AST/26-27/2764"/>
    <s v="INV"/>
    <m/>
    <s v="Royal Chain Private Limited"/>
    <m/>
    <s v="STYLE"/>
    <s v="STYLE"/>
    <n v="0.91800000000000004"/>
    <s v="ASDKY660Y-9gm-22KT-YG-MS"/>
    <x v="0"/>
    <s v="G-NA-91.80-YG"/>
    <n v="10.56"/>
    <n v="9.6941000000000006"/>
    <n v="0"/>
    <n v="9.6941000000000006"/>
    <s v="RC-100534-EXP (ONLY-916).."/>
    <s v="RC-100534-EXP (ONLY-916).."/>
    <s v="KAMLESH MALI"/>
    <d v="2026-06-20T16:46:53"/>
    <x v="2"/>
    <s v="Assemble Dokiya"/>
  </r>
  <r>
    <d v="2026-06-20T00:00:00"/>
    <s v="SR-INV-AST/26-27/2764"/>
    <s v="INV"/>
    <m/>
    <s v="Royal Chain Private Limited"/>
    <m/>
    <s v="STYLE"/>
    <s v="STYLE"/>
    <n v="0.91800000000000004"/>
    <s v="22-AS208Y-8.50GM-22KT-YG-MS"/>
    <x v="0"/>
    <s v="G-NA-91.80-YG"/>
    <n v="120.63"/>
    <n v="110.7383"/>
    <n v="0"/>
    <n v="110.7383"/>
    <s v="RC-200009-ST"/>
    <s v="RC-200009-ST(NO HUID)"/>
    <s v="KAMLESH MALI"/>
    <d v="2026-06-20T16:46:53"/>
    <x v="2"/>
    <s v="Assemble Chains"/>
  </r>
  <r>
    <d v="2026-06-20T00:00:00"/>
    <s v="SR-INV-AST/26-27/2764"/>
    <s v="INV"/>
    <m/>
    <s v="Royal Chain Private Limited"/>
    <m/>
    <s v="STYLE"/>
    <s v="STYLE"/>
    <n v="0.91800000000000004"/>
    <s v="22-IMB048Y-12.50GM-22KT-YG-MS"/>
    <x v="0"/>
    <s v="G-NA-91.80-YG"/>
    <n v="20.03"/>
    <n v="18.387499999999999"/>
    <n v="0"/>
    <n v="18.387499999999999"/>
    <s v="RC-21962-CS"/>
    <s v="RC-21962-CS"/>
    <s v="KAMLESH MALI"/>
    <d v="2026-06-20T16:46:53"/>
    <x v="21"/>
    <s v="IMP-ASSEMBLE-CHAIN"/>
  </r>
  <r>
    <d v="2026-06-20T00:00:00"/>
    <s v="SR-INV-AST/26-27/2764"/>
    <s v="INV"/>
    <m/>
    <s v="Royal Chain Private Limited"/>
    <m/>
    <s v="STYLE"/>
    <s v="STYLE"/>
    <n v="0.91800000000000004"/>
    <s v="22-ASSEMBLE-CHAIN-PLAIN-5.00GM-22KT-YG-MS"/>
    <x v="0"/>
    <s v="G-NA-91.80-YG"/>
    <n v="10.27"/>
    <n v="9.4278999999999993"/>
    <n v="0"/>
    <n v="9.4278999999999993"/>
    <s v="RC-22035-CS-1806"/>
    <s v="RC-22035-CS-1806"/>
    <s v="KAMLESH MALI"/>
    <d v="2026-06-20T16:46:53"/>
    <x v="2"/>
    <s v="Assemble Chains"/>
  </r>
  <r>
    <d v="2026-06-20T00:00:00"/>
    <s v="SR-INV-AST/26-27/2764"/>
    <s v="INV"/>
    <m/>
    <s v="Royal Chain Private Limited"/>
    <m/>
    <s v="STYLE"/>
    <s v="STYLE"/>
    <n v="0.91800000000000004"/>
    <s v="22-ASSEMBLE-CHAIN-RHODIUM-A-5.00GM-22KT-YG-MS"/>
    <x v="0"/>
    <s v="G-NA-91.80-YG"/>
    <n v="49.41"/>
    <n v="45.358400000000003"/>
    <n v="0"/>
    <n v="45.358400000000003"/>
    <s v="RC-EXTRA-ST-1806/3"/>
    <s v="RC-EXTRA-ST-1806/3((HUID DONE)"/>
    <s v="KAMLESH MALI"/>
    <d v="2026-06-20T16:46:53"/>
    <x v="18"/>
    <s v="Assemble Chains"/>
  </r>
  <r>
    <d v="2026-06-20T00:00:00"/>
    <s v="SR-INV-AST/26-27/2764"/>
    <s v="INV"/>
    <m/>
    <s v="Royal Chain Private Limited"/>
    <m/>
    <s v="STYLE"/>
    <s v="STYLE"/>
    <n v="0.91800000000000004"/>
    <s v="ASDKY371Y-6.00GM-22KT-YG-MS"/>
    <x v="0"/>
    <s v="G-NA-91.80-YG"/>
    <n v="95.1"/>
    <n v="87.3018"/>
    <n v="0"/>
    <n v="87.3018"/>
    <s v="RC-200010-ST"/>
    <s v="RC-200010-ST(NO HUID)"/>
    <s v="KAMLESH MALI"/>
    <d v="2026-06-20T16:46:53"/>
    <x v="2"/>
    <s v="Assemble Dokiya"/>
  </r>
  <r>
    <d v="2026-06-20T00:00:00"/>
    <s v="SR-INV-AST/26-27/2764"/>
    <s v="INV"/>
    <m/>
    <s v="Royal Chain Private Limited"/>
    <m/>
    <s v="STYLE"/>
    <s v="STYLE"/>
    <n v="0.91800000000000004"/>
    <s v="CHOCO-MIX-NA-22KT-YG-NA"/>
    <x v="0"/>
    <s v="G-NA-91.80-YG"/>
    <n v="39.590000000000003"/>
    <n v="36.343600000000002"/>
    <n v="0"/>
    <n v="36.343600000000002"/>
    <s v="RC-ST-1806"/>
    <s v="RC-ST-1806(NO HUID)"/>
    <s v="KAMLESH MALI"/>
    <d v="2026-06-20T16:46:53"/>
    <x v="24"/>
    <s v="CHOCO CHAINS"/>
  </r>
  <r>
    <d v="2026-06-20T00:00:00"/>
    <s v="SR-INV-AST/26-27/2764"/>
    <s v="INV"/>
    <m/>
    <s v="Royal Chain Private Limited"/>
    <m/>
    <s v="STYLE"/>
    <s v="STYLE"/>
    <n v="0.91800000000000004"/>
    <s v="22-ASSEMBLE-CHAIN-RHODIUM-B-5.00GM-22KT-YG-MS"/>
    <x v="0"/>
    <s v="G-NA-91.80-YG"/>
    <n v="40.729999999999997"/>
    <n v="37.390099999999997"/>
    <n v="0"/>
    <n v="37.390099999999997"/>
    <s v="RC-EXTRA-ST-1806/3"/>
    <s v="RC-EXTRA-ST-1806/3(HUID DONE)"/>
    <s v="KAMLESH MALI"/>
    <d v="2026-06-20T16:46:53"/>
    <x v="18"/>
    <s v="Assemble Chains"/>
  </r>
  <r>
    <d v="2026-06-20T00:00:00"/>
    <s v="SR-INV-AST/26-27/2764"/>
    <s v="INV"/>
    <m/>
    <s v="Royal Chain Private Limited"/>
    <m/>
    <s v="STYLE"/>
    <s v="STYLE"/>
    <n v="0.91800000000000004"/>
    <s v="18YV150K-15BOX-FANCY-CHECKS+BORDER-Y-14.00GM-22KT-YG-MS"/>
    <x v="0"/>
    <s v="G-NA-91.80-YG"/>
    <n v="156.19"/>
    <n v="143.38239999999999"/>
    <n v="0"/>
    <n v="143.38239999999999"/>
    <s v="RC-22004-CS"/>
    <s v="RC-22004-CS"/>
    <s v="KAMLESH MALI"/>
    <d v="2026-06-20T16:46:53"/>
    <x v="17"/>
    <s v="LAZER MACHINE CHAINS"/>
  </r>
  <r>
    <d v="2026-06-20T00:00:00"/>
    <s v="SR-INV-AST/26-27/2764"/>
    <s v="INV"/>
    <m/>
    <s v="Royal Chain Private Limited"/>
    <m/>
    <s v="STYLE"/>
    <s v="STYLE"/>
    <n v="0.91800000000000004"/>
    <s v="AS-ANK-024-11.00GM-22KT-YG-MS"/>
    <x v="0"/>
    <s v="G-NA-91.80-YG"/>
    <n v="19.43"/>
    <n v="17.8367"/>
    <n v="0"/>
    <n v="17.8367"/>
    <s v="RC-100472-DXB (ONLY 916)"/>
    <s v="RC-100472-DXB (ONLY 916)"/>
    <s v="KAMLESH MALI"/>
    <d v="2026-06-20T16:46:53"/>
    <x v="18"/>
    <s v="Assemble Anklet"/>
  </r>
  <r>
    <d v="2026-06-20T00:00:00"/>
    <s v="SR-INV-AST/26-27/2764"/>
    <s v="INV"/>
    <m/>
    <s v="Royal Chain Private Limited"/>
    <m/>
    <s v="STYLE"/>
    <s v="STYLE"/>
    <n v="0.91800000000000004"/>
    <s v="22-AS043Y-14.50GM-22KT-YG-MS"/>
    <x v="0"/>
    <s v="G-NA-91.80-YG"/>
    <n v="324.54000000000002"/>
    <n v="297.92770000000002"/>
    <n v="0"/>
    <n v="297.92770000000002"/>
    <s v="RC-100199-ST"/>
    <s v="RC-100199-ST(NO HUID)"/>
    <s v="KAMLESH MALI"/>
    <d v="2026-06-20T16:46:53"/>
    <x v="2"/>
    <s v="Assemble Chains"/>
  </r>
  <r>
    <d v="2026-06-20T00:00:00"/>
    <s v="SR-INV-AST/26-27/2764"/>
    <s v="INV"/>
    <m/>
    <s v="Royal Chain Private Limited"/>
    <m/>
    <s v="STYLE"/>
    <s v="STYLE"/>
    <n v="0.91800000000000004"/>
    <s v="17YRB11F-BOOMER-6GM-FLAT-CUT-Y-6.00GM-22KT-YG-MS"/>
    <x v="0"/>
    <s v="G-NA-91.80-YG"/>
    <n v="204.21"/>
    <n v="187.4648"/>
    <n v="0"/>
    <n v="187.4648"/>
    <s v="RC-MC-RSO-110626"/>
    <s v="RC-MC-RSO-110626(NO HUID)"/>
    <s v="KAMLESH MALI"/>
    <d v="2026-06-20T16:46:53"/>
    <x v="17"/>
    <s v="LAZER MACHINE CHAINS"/>
  </r>
  <r>
    <d v="2026-06-20T00:00:00"/>
    <s v="SR-INV-AST/26-27/2764"/>
    <s v="INV"/>
    <m/>
    <s v="Royal Chain Private Limited"/>
    <m/>
    <s v="STYLE"/>
    <s v="STYLE"/>
    <n v="0.91800000000000004"/>
    <s v="22-AS174Y-5.00GM-22KT-YG-MS"/>
    <x v="0"/>
    <s v="G-NA-91.80-YG"/>
    <n v="74.94"/>
    <n v="68.794899999999998"/>
    <n v="0"/>
    <n v="68.794899999999998"/>
    <s v="RC-200004-ST"/>
    <s v="RC-200004-ST(NO HUID)"/>
    <s v="KAMLESH MALI"/>
    <d v="2026-06-20T16:46:53"/>
    <x v="2"/>
    <s v="Assemble Chains"/>
  </r>
  <r>
    <d v="2026-06-20T00:00:00"/>
    <s v="SR-INV-AST/26-27/2764"/>
    <s v="INV"/>
    <m/>
    <s v="Royal Chain Private Limited"/>
    <m/>
    <s v="STYLE"/>
    <s v="STYLE"/>
    <n v="0.91800000000000004"/>
    <s v="22-IMP-ASSEMBLE-CHAIN-A-5.00GM-22KT-YG-MS"/>
    <x v="0"/>
    <s v="G-NA-91.80-YG"/>
    <n v="12.3"/>
    <n v="11.291399999999999"/>
    <n v="0"/>
    <n v="11.291399999999999"/>
    <s v="RC-EXTRA-ST-1806/3"/>
    <s v="RC-EXTRA-ST-1806/3(NO HUID)"/>
    <s v="KAMLESH MALI"/>
    <d v="2026-06-20T16:46:53"/>
    <x v="21"/>
    <s v="IMP Assemble"/>
  </r>
  <r>
    <d v="2026-06-20T00:00:00"/>
    <s v="SR-INV-AST/26-27/2764"/>
    <s v="INV"/>
    <m/>
    <s v="Royal Chain Private Limited"/>
    <m/>
    <s v="STYLE"/>
    <s v="STYLE"/>
    <n v="0.91800000000000004"/>
    <s v="ASDKY303Y-8.00GM-22KT-YG-MS"/>
    <x v="0"/>
    <s v="G-NA-91.80-YG"/>
    <n v="98.56"/>
    <n v="90.478099999999998"/>
    <n v="0"/>
    <n v="90.478099999999998"/>
    <s v="RC-200010-ST"/>
    <s v="RC-200010-ST(NO HUID)"/>
    <s v="KAMLESH MALI"/>
    <d v="2026-06-20T16:46:53"/>
    <x v="2"/>
    <s v="Assemble Dokiya"/>
  </r>
  <r>
    <d v="2026-06-20T00:00:00"/>
    <s v="SR-INV-AST/26-27/2764"/>
    <s v="INV"/>
    <m/>
    <s v="Royal Chain Private Limited"/>
    <m/>
    <s v="STYLE"/>
    <s v="STYLE"/>
    <n v="0.91800000000000004"/>
    <s v="AS-DKY-320-PLAIN-12.00GM-22KT-YG-MS"/>
    <x v="0"/>
    <s v="G-NA-91.80-YG"/>
    <n v="99.49"/>
    <n v="91.331800000000001"/>
    <n v="0"/>
    <n v="91.331800000000001"/>
    <s v="RC-100544-REL  (ONLY-916)"/>
    <s v="RC-100544-REL  (ONLY-916)"/>
    <s v="KAMLESH MALI"/>
    <d v="2026-06-20T16:46:53"/>
    <x v="2"/>
    <s v="Assemble Dokiya"/>
  </r>
  <r>
    <d v="2026-06-20T00:00:00"/>
    <s v="SR-INV-AST/26-27/2764"/>
    <s v="INV"/>
    <m/>
    <s v="Royal Chain Private Limited"/>
    <m/>
    <s v="STYLE"/>
    <s v="STYLE"/>
    <n v="0.91800000000000004"/>
    <s v="INITFC-193-18.00GM-22KT-YG-ROLL"/>
    <x v="0"/>
    <s v="G-NA-91.80-YG"/>
    <n v="532.5"/>
    <n v="488.83499999999998"/>
    <n v="0"/>
    <n v="488.83499999999998"/>
    <m/>
    <s v="ORD-11204-ST(NO HUID)"/>
    <s v="KAMLESH MALI"/>
    <d v="2026-06-20T16:46:53"/>
    <x v="24"/>
    <s v="Indo Fancy Chains"/>
  </r>
  <r>
    <d v="2026-06-20T00:00:00"/>
    <s v="SR-INV-AST/26-27/2764"/>
    <s v="INV"/>
    <m/>
    <s v="Royal Chain Private Limited"/>
    <m/>
    <s v="STYLE"/>
    <s v="STYLE"/>
    <n v="0.91800000000000004"/>
    <s v="22-IMBH216Y-8.50gm-22KT-YG-MS"/>
    <x v="0"/>
    <s v="G-NA-91.80-YG"/>
    <n v="8.5920000000000005"/>
    <n v="7.8875000000000002"/>
    <n v="0"/>
    <n v="7.8875000000000002"/>
    <m/>
    <s v="RC-EXTRA-ST(NO HUID)"/>
    <s v="KAMLESH MALI"/>
    <d v="2026-06-20T16:46:53"/>
    <x v="25"/>
    <s v="IMP-HALF-SET"/>
  </r>
  <r>
    <d v="2026-06-20T00:00:00"/>
    <s v="SR-INV-AST/26-27/2764"/>
    <s v="INV"/>
    <m/>
    <s v="Royal Chain Private Limited"/>
    <m/>
    <s v="STYLE"/>
    <s v="STYLE"/>
    <n v="0.91800000000000004"/>
    <s v="22-IMBH216YW-8.50gm-22KT-YG-MS"/>
    <x v="0"/>
    <s v="G-NA-91.80-YG"/>
    <n v="151.79"/>
    <n v="139.3432"/>
    <n v="0"/>
    <n v="139.3432"/>
    <m/>
    <s v="RC-21960-CS"/>
    <s v="KAMLESH MALI"/>
    <d v="2026-06-20T16:46:53"/>
    <x v="21"/>
    <s v="IMP-HALF-SET"/>
  </r>
  <r>
    <d v="2026-06-20T00:00:00"/>
    <s v="SR-INV-AST/26-27/2764"/>
    <s v="INV"/>
    <m/>
    <s v="Royal Chain Private Limited"/>
    <m/>
    <s v="STYLE"/>
    <s v="STYLE"/>
    <n v="0.91800000000000004"/>
    <s v="22-IMBH215Y-8.50gm-22KT-YG-MS"/>
    <x v="0"/>
    <s v="G-NA-91.80-YG"/>
    <n v="8.9640000000000004"/>
    <n v="8.2289999999999992"/>
    <n v="0"/>
    <n v="8.2289999999999992"/>
    <m/>
    <s v="RC-EXTRA-ST(NO HUID)"/>
    <s v="KAMLESH MALI"/>
    <d v="2026-06-20T16:46:53"/>
    <x v="25"/>
    <s v="IMP-HALF-SET"/>
  </r>
  <r>
    <d v="2026-06-20T00:00:00"/>
    <s v="SR-INV-AST/26-27/2764"/>
    <s v="INV"/>
    <m/>
    <s v="Royal Chain Private Limited"/>
    <m/>
    <s v="STYLE"/>
    <s v="STYLE"/>
    <n v="0.91800000000000004"/>
    <s v="22-IMBH211Y-8gm-22KT-YG-MS"/>
    <x v="0"/>
    <s v="G-NA-91.80-YG"/>
    <n v="8.2870000000000008"/>
    <n v="7.6074999999999999"/>
    <n v="0"/>
    <n v="7.6074999999999999"/>
    <m/>
    <s v="RC-EXTRA-ST(NO HUID)"/>
    <s v="KAMLESH MALI"/>
    <d v="2026-06-20T16:46:53"/>
    <x v="25"/>
    <s v="IMP Halfset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282999999999999"/>
    <n v="13.0832"/>
    <n v="0.7"/>
    <n v="13.183199999999999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0YC50DR4-50LRK-CURB-SUNDARI-V-CUT-Y-24.00GM-22KT-YG-MS"/>
    <x v="0"/>
    <s v="G-NA-91.60-YG"/>
    <n v="20.841000000000001"/>
    <n v="19.090399999999999"/>
    <n v="0.7"/>
    <n v="19.2362"/>
    <s v="CR-AB-060626027 (NO-STAMP)"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0YC50DR4-50LRK-CURB-SUNDARI-V-CUT-Y-24.00GM-22KT-YG-MS"/>
    <x v="0"/>
    <s v="G-NA-91.60-YG"/>
    <n v="22.456"/>
    <n v="20.569700000000001"/>
    <n v="0.7"/>
    <n v="20.726900000000001"/>
    <s v="CR-AB-060626027 (NO-STAMP)"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0YC50DR4-50LRK-CURB-SUNDARI-V-CUT-Y-24.00GM-22KT-YG-MS"/>
    <x v="0"/>
    <s v="G-NA-91.60-YG"/>
    <n v="20.663"/>
    <n v="18.927299999999999"/>
    <n v="0.7"/>
    <n v="19.071899999999999"/>
    <s v="CR-AB-060626027 (NO-STAMP)"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0YC50DR4-50LRK-CURB-SUNDARI-V-CUT-Y-24.00GM-22KT-YG-MS"/>
    <x v="0"/>
    <s v="G-NA-91.60-YG"/>
    <n v="20.762"/>
    <n v="19.018000000000001"/>
    <n v="0.7"/>
    <n v="19.1633"/>
    <s v="CR-AB-060626027 (NO-STAMP)"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0YC50DR4-50LRK-CURB-SUNDARI-V-CUT-Y-24.00GM-22KT-YG-MS"/>
    <x v="0"/>
    <s v="G-NA-91.60-YG"/>
    <n v="20.684999999999999"/>
    <n v="18.947500000000002"/>
    <n v="0.7"/>
    <n v="19.092300000000002"/>
    <s v="CR-AB-060626027 (NO-STAMP)"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0YC50DR4-50LRK-CURB-SUNDARI-V-CUT-Y-24.00GM-22KT-YG-MS"/>
    <x v="0"/>
    <s v="G-NA-91.60-YG"/>
    <n v="20.542000000000002"/>
    <n v="18.816500000000001"/>
    <n v="0.7"/>
    <n v="18.9603"/>
    <s v="CR-AB-060626027 (NO-STAMP)"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0YC50DR4-50LRK-CURB-SUNDARI-V-CUT-Y-24.00GM-22KT-YG-MS"/>
    <x v="0"/>
    <s v="G-NA-91.60-YG"/>
    <n v="20.791"/>
    <n v="19.044599999999999"/>
    <n v="0.7"/>
    <n v="19.190100000000001"/>
    <s v="CR-AB-060626027 (NO-STAMP)"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0YC50DR4-50LRK-CURB-SUNDARI-V-CUT-Y-24.00GM-22KT-YG-MS"/>
    <x v="0"/>
    <s v="G-NA-91.60-YG"/>
    <n v="20.710999999999999"/>
    <n v="18.971299999999999"/>
    <n v="0.7"/>
    <n v="19.116299999999999"/>
    <s v="CR-AB-060626027 (NO-STAMP)"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30.029"/>
    <n v="27.506599999999999"/>
    <n v="0.7"/>
    <n v="27.716799999999999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211"/>
    <n v="13.017300000000001"/>
    <n v="0.7"/>
    <n v="13.1168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29.923999999999999"/>
    <n v="27.410399999999999"/>
    <n v="0.7"/>
    <n v="27.619900000000001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30.042000000000002"/>
    <n v="27.5185"/>
    <n v="0.7"/>
    <n v="27.7288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244999999999999"/>
    <n v="13.048400000000001"/>
    <n v="0.7"/>
    <n v="13.148099999999999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29.992000000000001"/>
    <n v="27.4727"/>
    <n v="0.7"/>
    <n v="27.682600000000001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022"/>
    <n v="12.844200000000001"/>
    <n v="0.7"/>
    <n v="12.942299999999999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252000000000001"/>
    <n v="13.0548"/>
    <n v="0.7"/>
    <n v="13.1546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29.901"/>
    <n v="27.389299999999999"/>
    <n v="0.7"/>
    <n v="27.598600000000001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317"/>
    <n v="13.1144"/>
    <n v="0.7"/>
    <n v="13.214600000000001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199"/>
    <n v="13.0063"/>
    <n v="0.7"/>
    <n v="13.105700000000001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1.855"/>
    <n v="10.8592"/>
    <n v="0.7"/>
    <n v="10.9422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214"/>
    <n v="13.02"/>
    <n v="0.7"/>
    <n v="13.1195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151"/>
    <n v="12.962300000000001"/>
    <n v="0.7"/>
    <n v="13.061400000000001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30.181999999999999"/>
    <n v="27.646699999999999"/>
    <n v="0.7"/>
    <n v="27.858000000000001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30.021000000000001"/>
    <n v="27.499199999999998"/>
    <n v="0.7"/>
    <n v="27.709399999999999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30.081"/>
    <n v="27.554200000000002"/>
    <n v="0.7"/>
    <n v="27.764800000000001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30.122"/>
    <n v="27.591799999999999"/>
    <n v="0.7"/>
    <n v="27.802600000000002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30.027000000000001"/>
    <n v="27.5047"/>
    <n v="0.7"/>
    <n v="27.7149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266999999999999"/>
    <n v="13.0686"/>
    <n v="0.7"/>
    <n v="13.1684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288"/>
    <n v="13.0878"/>
    <n v="0.7"/>
    <n v="13.187799999999999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30.138000000000002"/>
    <n v="27.606400000000001"/>
    <n v="0.7"/>
    <n v="27.817399999999999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198"/>
    <n v="13.0054"/>
    <n v="0.7"/>
    <n v="13.104799999999999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30.088000000000001"/>
    <n v="27.560600000000001"/>
    <n v="0.7"/>
    <n v="27.7712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311"/>
    <n v="13.1089"/>
    <n v="0.7"/>
    <n v="13.209099999999999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6.744"/>
    <n v="15.3375"/>
    <n v="0.7"/>
    <n v="15.454700000000001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273999999999999"/>
    <n v="13.074999999999999"/>
    <n v="0.7"/>
    <n v="13.174899999999999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318"/>
    <n v="13.1153"/>
    <n v="0.7"/>
    <n v="13.2155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064"/>
    <n v="12.8826"/>
    <n v="0.7"/>
    <n v="12.9811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3.912000000000001"/>
    <n v="12.743399999999999"/>
    <n v="0.7"/>
    <n v="12.8408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0YC50DR4-50LRK-CURB-SUNDARI-V-CUT-Y-24.00GM-22KT-YG-MS"/>
    <x v="0"/>
    <s v="G-NA-91.60-YG"/>
    <n v="22.558"/>
    <n v="20.6631"/>
    <n v="0.7"/>
    <n v="20.821000000000002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30.018999999999998"/>
    <n v="27.497399999999999"/>
    <n v="0.7"/>
    <n v="27.7075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221"/>
    <n v="13.026400000000001"/>
    <n v="0.7"/>
    <n v="13.125999999999999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30.106999999999999"/>
    <n v="27.577999999999999"/>
    <n v="0.7"/>
    <n v="27.788799999999998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30.111000000000001"/>
    <n v="27.581700000000001"/>
    <n v="0.7"/>
    <n v="27.7925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ROPE-CHAIN-12.00GM-22KT-YG-MS"/>
    <x v="0"/>
    <s v="G-NA-91.60-YG"/>
    <n v="30.119"/>
    <n v="27.588999999999999"/>
    <n v="0.7"/>
    <n v="27.799800000000001"/>
    <m/>
    <s v="ASN -033136"/>
    <s v="KAILASH-KUMAR"/>
    <d v="2026-06-20T16:46:21"/>
    <x v="26"/>
    <s v="Silky Rop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102"/>
    <n v="12.917400000000001"/>
    <n v="0.7"/>
    <n v="13.0161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266"/>
    <n v="13.0677"/>
    <n v="0.7"/>
    <n v="13.1675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074999999999999"/>
    <n v="12.8927"/>
    <n v="0.7"/>
    <n v="12.991199999999999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045999999999999"/>
    <n v="12.866099999999999"/>
    <n v="0.7"/>
    <n v="12.964499999999999"/>
    <m/>
    <s v="ASN -033136"/>
    <s v="KAILASH-KUMAR"/>
    <d v="2026-06-20T16:46:21"/>
    <x v="17"/>
    <s v="LAZER MACHINE CHAINS"/>
  </r>
  <r>
    <d v="2026-06-20T00:00:00"/>
    <s v="SR-INV-AST/26-27/2763"/>
    <s v="INV"/>
    <m/>
    <s v="Aditya Birla - Novel Jewels"/>
    <m/>
    <s v="STYLE"/>
    <s v="STYLE"/>
    <n v="0.91600000000000004"/>
    <s v="31YV40DL3-4BOX-HIGHWAY-V-Y-12.50GM-22KT-YG-MS"/>
    <x v="0"/>
    <s v="G-NA-91.60-YG"/>
    <n v="14.314"/>
    <n v="13.111599999999999"/>
    <n v="0.7"/>
    <n v="13.2118"/>
    <m/>
    <s v="ASN -033136"/>
    <s v="KAILASH-KUMAR"/>
    <d v="2026-06-20T16:46:21"/>
    <x v="17"/>
    <s v="LAZER MACHINE CHAINS"/>
  </r>
  <r>
    <d v="2026-06-20T00:00:00"/>
    <s v="SR-INV-AST/26-27/2762"/>
    <s v="INV"/>
    <m/>
    <s v="Royal Chain Private Limited"/>
    <m/>
    <s v="STYLE"/>
    <s v="STYLE"/>
    <n v="0.91800000000000004"/>
    <s v="CBR24663M8-12gm-22KT-YG-8.5 INCH"/>
    <x v="0"/>
    <s v="G-NA-91.80-YG"/>
    <n v="14.291"/>
    <n v="13.1191"/>
    <n v="0"/>
    <n v="13.1191"/>
    <s v="RC-22009/CUST/ORD"/>
    <s v="RC-22009/CUST/ORD"/>
    <s v="ANAND GAIKWAD"/>
    <d v="2026-06-20T15:26:27"/>
    <x v="4"/>
    <s v="Indigo Bracelets"/>
  </r>
  <r>
    <d v="2026-06-20T00:00:00"/>
    <s v="SR-INV-AST/26-27/2762"/>
    <s v="INV"/>
    <m/>
    <s v="Royal Chain Private Limited"/>
    <m/>
    <s v="STYLE"/>
    <s v="STYLE"/>
    <n v="0.91800000000000004"/>
    <s v="CBR25341M7-12gm-22KT-YG-7.25 INCH"/>
    <x v="0"/>
    <s v="G-NA-91.80-YG"/>
    <n v="13.51"/>
    <n v="12.402200000000001"/>
    <n v="0"/>
    <n v="12.402200000000001"/>
    <s v="RC-21995/CUST/ORD"/>
    <s v="RC-21995/CUST/ORD"/>
    <s v="ANAND GAIKWAD"/>
    <d v="2026-06-20T15:26:27"/>
    <x v="4"/>
    <s v="Cuban Bracelets"/>
  </r>
  <r>
    <d v="2026-06-20T00:00:00"/>
    <s v="SR-INV-AST/26-27/2761"/>
    <s v="INV"/>
    <m/>
    <s v="RC-REFINISHING"/>
    <m/>
    <s v="STYLE"/>
    <s v="STYLE"/>
    <n v="0.91800000000000004"/>
    <s v="SBRL-017-7.00GM-22KT-YG-7 INCH"/>
    <x v="0"/>
    <s v="G-NA-91.80-YG"/>
    <n v="8.1489999999999991"/>
    <n v="7.4808000000000003"/>
    <n v="0"/>
    <n v="7.4808000000000003"/>
    <m/>
    <s v="PRASHANT/REPAIR/S-14816"/>
    <s v="ANAND GAIKWAD"/>
    <d v="2026-06-20T15:22:59"/>
    <x v="13"/>
    <s v="Kids Bracelets"/>
  </r>
  <r>
    <d v="2026-06-20T00:00:00"/>
    <s v="SR-INV-AST/26-27/2761"/>
    <s v="INV"/>
    <m/>
    <s v="RC-REFINISHING"/>
    <m/>
    <s v="STYLE"/>
    <s v="STYLE"/>
    <n v="0.91800000000000004"/>
    <s v="MIX-ITEMS-NA-22KT-YG-NA"/>
    <x v="0"/>
    <s v="G-NA-91.80-YG"/>
    <n v="7.95"/>
    <n v="7.2980999999999998"/>
    <n v="0"/>
    <n v="7.2980999999999998"/>
    <s v="PRASHANT/REPAIR/S-14816"/>
    <s v="PRASHANT/REPAIR/S-14816"/>
    <s v="ANAND GAIKWAD"/>
    <d v="2026-06-20T15:22:59"/>
    <x v="14"/>
    <s v="NA"/>
  </r>
  <r>
    <d v="2026-06-20T00:00:00"/>
    <s v="SR-INV-AST/26-27/2761"/>
    <s v="INV"/>
    <m/>
    <s v="RC-REFINISHING"/>
    <m/>
    <s v="STYLE"/>
    <s v="STYLE"/>
    <n v="0.91800000000000004"/>
    <s v="SBRL-030-7.00GM-22KT-YG-7 INCH"/>
    <x v="0"/>
    <s v="G-NA-91.80-YG"/>
    <n v="7.55"/>
    <n v="6.9309000000000003"/>
    <n v="0"/>
    <n v="6.9309000000000003"/>
    <s v="PRASHANT/REPAIR/S-14816"/>
    <s v="PRASHANT/REPAIR/S-14816"/>
    <s v="ANAND GAIKWAD"/>
    <d v="2026-06-20T15:22:59"/>
    <x v="13"/>
    <s v="Kids Bracelets"/>
  </r>
  <r>
    <d v="2026-06-20T00:00:00"/>
    <s v="SR-INV-AST/26-27/2761"/>
    <s v="INV"/>
    <m/>
    <s v="RC-REFINISHING"/>
    <m/>
    <s v="STYLE"/>
    <s v="STYLE"/>
    <n v="0.91800000000000004"/>
    <s v="MIX-ITEMS-NA-22KT-YG-NA"/>
    <x v="0"/>
    <s v="G-NA-91.80-YG"/>
    <n v="14.013"/>
    <n v="12.863899999999999"/>
    <n v="0"/>
    <n v="12.863899999999999"/>
    <s v="PRASHANT/REPAIR/S-14816"/>
    <s v="PRASHANT/REPAIR/S-14816"/>
    <s v="ANAND GAIKWAD"/>
    <d v="2026-06-20T15:22:59"/>
    <x v="14"/>
    <s v="NA"/>
  </r>
  <r>
    <d v="2026-06-20T00:00:00"/>
    <s v="SR-INV-AST/26-27/2760"/>
    <s v="INV"/>
    <m/>
    <s v="TITAN"/>
    <m/>
    <s v="STYLE"/>
    <s v="STYLE"/>
    <n v="0.75"/>
    <s v="ICH25552M3.4-17.00GM-18KT-YG-21 INCH"/>
    <x v="1"/>
    <s v="G-NA-75.00-YG"/>
    <n v="17.666"/>
    <n v="13.249499999999999"/>
    <n v="0"/>
    <n v="13.249499999999999"/>
    <m/>
    <s v="DC-NO-ROYL10147  TRANSFER NO- 32386277"/>
    <s v="KAILASH-KUMAR"/>
    <d v="2026-06-20T15:22:49"/>
    <x v="27"/>
    <s v="Indigo Chains"/>
  </r>
  <r>
    <d v="2026-06-20T00:00:00"/>
    <s v="SR-INV-AST/26-27/2760"/>
    <s v="INV"/>
    <m/>
    <s v="TITAN"/>
    <m/>
    <s v="STYLE"/>
    <s v="STYLE"/>
    <n v="0.75"/>
    <s v="ICH25552M3.4-17.00GM-18KT-YG-23 INCH"/>
    <x v="1"/>
    <s v="G-NA-75.00-YG"/>
    <n v="19.207999999999998"/>
    <n v="14.406000000000001"/>
    <n v="0"/>
    <n v="14.406000000000001"/>
    <m/>
    <s v="DC-NO-ROYL10147  TRANSFER NO- 32386277"/>
    <s v="KAILASH-KUMAR"/>
    <d v="2026-06-20T15:22:49"/>
    <x v="27"/>
    <s v="Indigo Chains"/>
  </r>
  <r>
    <d v="2026-06-20T00:00:00"/>
    <s v="SR-INV-AST/26-27/2760"/>
    <s v="INV"/>
    <m/>
    <s v="TITAN"/>
    <m/>
    <s v="STYLE"/>
    <s v="STYLE"/>
    <n v="0.75"/>
    <s v="ICH242019M3-15.00GM-18KT-YG-19 INCH"/>
    <x v="1"/>
    <s v="G-NA-75.00-YG"/>
    <n v="15.148999999999999"/>
    <n v="11.361800000000001"/>
    <n v="0"/>
    <n v="11.361800000000001"/>
    <m/>
    <s v="DC-NO-ROYL10147  TRANSFER NO- 32386277"/>
    <s v="KAILASH-KUMAR"/>
    <d v="2026-06-20T15:22:49"/>
    <x v="27"/>
    <s v="Indigo Chains"/>
  </r>
  <r>
    <d v="2026-06-20T00:00:00"/>
    <s v="SR-INV-AST/26-27/2760"/>
    <s v="INV"/>
    <m/>
    <s v="TITAN"/>
    <m/>
    <s v="STYLE"/>
    <s v="STYLE"/>
    <n v="0.75"/>
    <s v="ICH10335M4-30.00GM-18KT-YG-25 INCH"/>
    <x v="1"/>
    <s v="G-NA-75.00-YG"/>
    <n v="29.745999999999999"/>
    <n v="22.3095"/>
    <n v="0"/>
    <n v="22.3095"/>
    <m/>
    <s v="DC-NO-ROYL10147  TRANSFER NO- 32386277"/>
    <s v="KAILASH-KUMAR"/>
    <d v="2026-06-20T15:22:49"/>
    <x v="27"/>
    <s v="Indigo Chains"/>
  </r>
  <r>
    <d v="2026-06-20T00:00:00"/>
    <s v="SR-INV-AST/26-27/2760"/>
    <s v="INV"/>
    <m/>
    <s v="TITAN"/>
    <m/>
    <s v="STYLE"/>
    <s v="STYLE"/>
    <n v="0.75"/>
    <s v="ICH242019M3-15.00GM-18KT-YG-25 INCH"/>
    <x v="1"/>
    <s v="G-NA-75.00-YG"/>
    <n v="19.593"/>
    <n v="14.694800000000001"/>
    <n v="0"/>
    <n v="14.694800000000001"/>
    <m/>
    <s v="DC-NO-ROYL10147  TRANSFER NO- 32386277"/>
    <s v="KAILASH-KUMAR"/>
    <d v="2026-06-20T15:22:49"/>
    <x v="27"/>
    <s v="Indigo Chains"/>
  </r>
  <r>
    <d v="2026-06-20T00:00:00"/>
    <s v="SR-INV-AST/26-27/2759"/>
    <s v="INV"/>
    <m/>
    <s v="RC-REFINISHING"/>
    <m/>
    <s v="STYLE"/>
    <s v="STYLE"/>
    <n v="0.91800000000000004"/>
    <s v="CUCH24662M9C-42.00GM-22KT-YG-22 INCH"/>
    <x v="0"/>
    <s v="G-NA-91.80-YG"/>
    <n v="35.209000000000003"/>
    <n v="32.321899999999999"/>
    <n v="0"/>
    <n v="32.321899999999999"/>
    <m/>
    <s v="RC REPAIR# 16027"/>
    <s v="ANAND GAIKWAD"/>
    <d v="2026-06-20T15:17:15"/>
    <x v="4"/>
    <s v="Indigo Chains"/>
  </r>
  <r>
    <d v="2026-06-20T00:00:00"/>
    <s v="SR-INV-AST/26-27/2759"/>
    <s v="INV"/>
    <m/>
    <s v="RC-REFINISHING"/>
    <m/>
    <s v="STYLE"/>
    <s v="STYLE"/>
    <n v="0.91800000000000004"/>
    <s v="ICH4803-5MM-53.50GM-22KT-YG-24 INCH"/>
    <x v="0"/>
    <s v="G-NA-91.80-YG"/>
    <n v="50.731999999999999"/>
    <n v="46.572000000000003"/>
    <n v="0"/>
    <n v="46.572000000000003"/>
    <s v="SAHIL/REPAIR/S-14818"/>
    <s v="SAHIL/REPAIR/S-14818"/>
    <s v="ANAND GAIKWAD"/>
    <d v="2026-06-20T15:17:15"/>
    <x v="28"/>
    <s v="Indigo Chains"/>
  </r>
  <r>
    <d v="2026-06-20T00:00:00"/>
    <s v="SR-INV-AST/26-27/2759"/>
    <s v="INV"/>
    <m/>
    <s v="RC-REFINISHING"/>
    <m/>
    <s v="STYLE"/>
    <s v="STYLE"/>
    <n v="0.91800000000000004"/>
    <s v="MIX-CHAIN-40.00GM-22KT-YG-NA"/>
    <x v="0"/>
    <s v="G-NA-91.80-YG"/>
    <n v="14.736000000000001"/>
    <n v="13.5276"/>
    <n v="0"/>
    <n v="13.5276"/>
    <s v="SAHIL/REPAIR/S-14818"/>
    <s v="SAHIL/REPAIR/S-14818"/>
    <s v="ANAND GAIKWAD"/>
    <d v="2026-06-20T15:17:15"/>
    <x v="9"/>
    <s v="LAZER MACHINE CHAINS"/>
  </r>
  <r>
    <d v="2026-06-20T00:00:00"/>
    <s v="SR-INV-AST/26-27/2759"/>
    <s v="INV"/>
    <m/>
    <s v="RC-REFINISHING"/>
    <m/>
    <s v="STYLE"/>
    <s v="STYLE"/>
    <n v="0.91800000000000004"/>
    <s v="OOK241611-12.00GM-22KT-YG-2.40 ANNA"/>
    <x v="0"/>
    <s v="G-NA-91.80-YG"/>
    <n v="8.8840000000000003"/>
    <n v="8.1555"/>
    <n v="0"/>
    <n v="8.1555"/>
    <s v="PRASHANT/REPAIR/14816"/>
    <s v="PRASHANT/REPAIR/14816"/>
    <s v="ANAND GAIKWAD"/>
    <d v="2026-06-20T15:17:15"/>
    <x v="29"/>
    <s v="ORANT KADA"/>
  </r>
  <r>
    <d v="2026-06-20T00:00:00"/>
    <s v="SR-INV-AST/26-27/2759"/>
    <s v="INV"/>
    <m/>
    <s v="RC-REFINISHING"/>
    <m/>
    <s v="STYLE"/>
    <s v="STYLE"/>
    <n v="0.91800000000000004"/>
    <s v="MIX-CHAIN-40.00GM-22KT-YG-NA"/>
    <x v="0"/>
    <s v="G-NA-91.80-YG"/>
    <n v="21.295999999999999"/>
    <n v="19.549700000000001"/>
    <n v="0"/>
    <n v="19.549700000000001"/>
    <s v="SAHIL/REPAIR/S-14818"/>
    <s v="SAHIL/REPAIR/S-14818"/>
    <s v="ANAND GAIKWAD"/>
    <d v="2026-06-20T15:17:15"/>
    <x v="9"/>
    <s v="LAZER MACHINE CHAINS"/>
  </r>
  <r>
    <d v="2026-06-20T00:00:00"/>
    <s v="SR-INV-AST/26-27/2759"/>
    <s v="INV"/>
    <m/>
    <s v="RC-REFINISHING"/>
    <m/>
    <s v="STYLE"/>
    <s v="STYLE"/>
    <n v="0.91800000000000004"/>
    <s v="ICH9864-6MM-47.00GM-22KT-YG-22 INCH"/>
    <x v="0"/>
    <s v="G-NA-91.80-YG"/>
    <n v="48.677"/>
    <n v="44.685499999999998"/>
    <n v="0"/>
    <n v="44.685499999999998"/>
    <s v="SAHIL/REPAIR/S-14818"/>
    <s v="SAHIL/REPAIR/S-14818"/>
    <s v="ANAND GAIKWAD"/>
    <d v="2026-06-20T15:17:15"/>
    <x v="27"/>
    <s v="Indigo Chains"/>
  </r>
  <r>
    <d v="2026-06-20T00:00:00"/>
    <s v="SR-INV-AST/26-27/2759"/>
    <s v="INV"/>
    <m/>
    <s v="RC-REFINISHING"/>
    <m/>
    <s v="STYLE"/>
    <s v="STYLE"/>
    <n v="0.91800000000000004"/>
    <s v="ICH241326M7-60.00GM-22KT-YG-24 INCH"/>
    <x v="0"/>
    <s v="G-NA-91.80-YG"/>
    <n v="63.314"/>
    <n v="58.122300000000003"/>
    <n v="0"/>
    <n v="58.122300000000003"/>
    <s v="SAHIL/REPAIR/S-14818"/>
    <s v="SAHIL/REPAIR/S-14818"/>
    <s v="ANAND GAIKWAD"/>
    <d v="2026-06-20T15:17:15"/>
    <x v="7"/>
    <s v="Indigo Chains"/>
  </r>
  <r>
    <d v="2026-06-20T00:00:00"/>
    <s v="SR-INV-AST/26-27/2759"/>
    <s v="INV"/>
    <m/>
    <s v="RC-REFINISHING"/>
    <m/>
    <s v="STYLE"/>
    <s v="STYLE"/>
    <n v="0.91800000000000004"/>
    <s v="MIX-CHAIN-40.00GM-22KT-YG-NA"/>
    <x v="0"/>
    <s v="G-NA-91.80-YG"/>
    <n v="18.010999999999999"/>
    <n v="16.534099999999999"/>
    <n v="0"/>
    <n v="16.534099999999999"/>
    <s v="SAHIL/REPAIR/S-14818"/>
    <s v="SAHIL/REPAIR/S-14818"/>
    <s v="ANAND GAIKWAD"/>
    <d v="2026-06-20T15:17:15"/>
    <x v="9"/>
    <s v="LAZER MACHINE CHAINS"/>
  </r>
  <r>
    <d v="2026-06-20T00:00:00"/>
    <s v="SR-INV-AST/26-27/2759"/>
    <s v="INV"/>
    <m/>
    <s v="RC-REFINISHING"/>
    <m/>
    <s v="STYLE"/>
    <s v="STYLE"/>
    <n v="0.91800000000000004"/>
    <s v="ICH242030M3-20.00GM-22KT-YG-20 INCH"/>
    <x v="0"/>
    <s v="G-NA-91.80-YG"/>
    <n v="17.404"/>
    <n v="15.976900000000001"/>
    <n v="0"/>
    <n v="15.976900000000001"/>
    <s v="SAHIL/REPAIR/S-14818"/>
    <s v="SAHIL/REPAIR/S-14818"/>
    <s v="ANAND GAIKWAD"/>
    <d v="2026-06-20T15:17:15"/>
    <x v="27"/>
    <s v="Indigo Chains"/>
  </r>
  <r>
    <d v="2026-06-20T00:00:00"/>
    <s v="SR-INV-AST/26-27/2759"/>
    <s v="INV"/>
    <m/>
    <s v="RC-REFINISHING"/>
    <m/>
    <s v="STYLE"/>
    <s v="STYLE"/>
    <n v="0.91800000000000004"/>
    <s v="OOK241626-11.00GM-22KT-YG-2.50 ANNA"/>
    <x v="0"/>
    <s v="G-NA-91.80-YG"/>
    <n v="11.43"/>
    <n v="10.492699999999999"/>
    <n v="0"/>
    <n v="10.492699999999999"/>
    <s v="PRASHANT/REPAIR/14816"/>
    <s v="PRASHANT/REPAIR/14816"/>
    <s v="ANAND GAIKWAD"/>
    <d v="2026-06-20T15:17:15"/>
    <x v="29"/>
    <s v="ORANT KADA"/>
  </r>
  <r>
    <d v="2026-06-20T00:00:00"/>
    <s v="SR-INV-AST/26-27/2759"/>
    <s v="INV"/>
    <m/>
    <s v="RC-REFINISHING"/>
    <m/>
    <s v="STYLE"/>
    <s v="STYLE"/>
    <n v="0.91800000000000004"/>
    <s v="ICH25546M3.5-20.00GM-22KT-YG-22 INCH"/>
    <x v="0"/>
    <s v="G-NA-91.80-YG"/>
    <n v="17.050999999999998"/>
    <n v="15.652799999999999"/>
    <n v="0"/>
    <n v="15.652799999999999"/>
    <s v="SAHIL/REPAIR/S-14818"/>
    <s v="SAHIL/REPAIR/S-14818"/>
    <s v="ANAND GAIKWAD"/>
    <d v="2026-06-20T15:17:15"/>
    <x v="27"/>
    <s v="Indigo Chains"/>
  </r>
  <r>
    <d v="2026-06-20T00:00:00"/>
    <s v="SR-INV-AST/26-27/2759"/>
    <s v="INV"/>
    <m/>
    <s v="RC-REFINISHING"/>
    <m/>
    <s v="STYLE"/>
    <s v="STYLE"/>
    <n v="0.91800000000000004"/>
    <s v="OOK241626-11.00GM-22KT-YG-2.40 ANNA"/>
    <x v="0"/>
    <s v="G-NA-91.80-YG"/>
    <n v="8.9969999999999999"/>
    <n v="8.2591999999999999"/>
    <n v="0"/>
    <n v="8.2591999999999999"/>
    <s v="PRASHANT/REPAIR/14816"/>
    <s v="PRASHANT/REPAIR/14816"/>
    <s v="ANAND GAIKWAD"/>
    <d v="2026-06-20T15:17:15"/>
    <x v="29"/>
    <s v="ORANT KADA"/>
  </r>
  <r>
    <d v="2026-06-20T00:00:00"/>
    <s v="SR-INV-AST/26-27/2759"/>
    <s v="INV"/>
    <m/>
    <s v="RC-REFINISHING"/>
    <m/>
    <s v="STYLE"/>
    <s v="STYLE"/>
    <n v="0.91800000000000004"/>
    <s v="CBR24662M7C-14.00GM-22KT-YG-8 INCH"/>
    <x v="0"/>
    <s v="G-NA-91.80-YG"/>
    <n v="11.5"/>
    <n v="10.557"/>
    <n v="0"/>
    <n v="10.557"/>
    <m/>
    <s v="RC REPAIR# 16027"/>
    <s v="ANAND GAIKWAD"/>
    <d v="2026-06-20T15:17:15"/>
    <x v="4"/>
    <s v="Indigo Bracelets"/>
  </r>
  <r>
    <d v="2026-06-20T00:00:00"/>
    <s v="SR-INV-AST/26-27/2759"/>
    <s v="INV"/>
    <m/>
    <s v="RC-REFINISHING"/>
    <m/>
    <s v="STYLE"/>
    <s v="STYLE"/>
    <n v="0.91800000000000004"/>
    <s v="CUCH24663M7-26.00GM-22KT-YG-20 INCH"/>
    <x v="0"/>
    <s v="G-NA-91.80-YG"/>
    <n v="24.41"/>
    <n v="22.4084"/>
    <n v="0"/>
    <n v="22.4084"/>
    <m/>
    <s v="RC REPAIR# 16027"/>
    <s v="ANAND GAIKWAD"/>
    <d v="2026-06-20T15:17:15"/>
    <x v="4"/>
    <s v="Indigo Chains"/>
  </r>
  <r>
    <d v="2026-06-20T00:00:00"/>
    <s v="SR-INV-AST/26-27/2759"/>
    <s v="INV"/>
    <m/>
    <s v="RC-REFINISHING"/>
    <m/>
    <s v="STYLE"/>
    <s v="STYLE"/>
    <n v="0.91800000000000004"/>
    <s v="CUCH24664M7-31.00GM-22KT-YG-22 INCH"/>
    <x v="0"/>
    <s v="G-NA-91.80-YG"/>
    <n v="26.96"/>
    <n v="24.749300000000002"/>
    <n v="0"/>
    <n v="24.749300000000002"/>
    <m/>
    <s v="RC REPAIR# 16027"/>
    <s v="ANAND GAIKWAD"/>
    <d v="2026-06-20T15:17:15"/>
    <x v="4"/>
    <s v="Indigo Chains"/>
  </r>
  <r>
    <d v="2026-06-20T00:00:00"/>
    <s v="SR-INV-AST/26-27/2759"/>
    <s v="INV"/>
    <m/>
    <s v="RC-REFINISHING"/>
    <m/>
    <s v="STYLE"/>
    <s v="STYLE"/>
    <n v="0.91800000000000004"/>
    <s v="CUCH251578M9-36.00GM-22KT-YG-22 INCH"/>
    <x v="0"/>
    <s v="G-NA-91.80-YG"/>
    <n v="39.744999999999997"/>
    <n v="36.485900000000001"/>
    <n v="0"/>
    <n v="36.485900000000001"/>
    <m/>
    <s v="RC REPAIR# 16027"/>
    <s v="ANAND GAIKWAD"/>
    <d v="2026-06-20T15:17:15"/>
    <x v="4"/>
    <s v="Cuban Chains"/>
  </r>
  <r>
    <d v="2026-06-20T00:00:00"/>
    <s v="SR-INV-AST/26-27/2759"/>
    <s v="INV"/>
    <m/>
    <s v="RC-REFINISHING"/>
    <m/>
    <s v="STYLE"/>
    <s v="STYLE"/>
    <n v="0.91800000000000004"/>
    <s v="CUCH24664M7B-31.00GM-22KT-YG-22 INCH"/>
    <x v="0"/>
    <s v="G-NA-91.80-YG"/>
    <n v="29.754999999999999"/>
    <n v="27.315100000000001"/>
    <n v="0"/>
    <n v="27.315100000000001"/>
    <m/>
    <s v="RC REPAIR# 16027"/>
    <s v="ANAND GAIKWAD"/>
    <d v="2026-06-20T15:17:15"/>
    <x v="4"/>
    <s v="Indigo Chains"/>
  </r>
  <r>
    <d v="2026-06-20T00:00:00"/>
    <s v="SR-INV-AST/26-27/2759"/>
    <s v="INV"/>
    <m/>
    <s v="RC-REFINISHING"/>
    <m/>
    <s v="STYLE"/>
    <s v="STYLE"/>
    <n v="0.91800000000000004"/>
    <s v="CBR25342M8-15.00GM-22KT-YG-8 INCH"/>
    <x v="0"/>
    <s v="G-NA-91.80-YG"/>
    <n v="16.957999999999998"/>
    <n v="15.567399999999999"/>
    <n v="0"/>
    <n v="15.567399999999999"/>
    <m/>
    <s v="RC REPAIR# 16027"/>
    <s v="ANAND GAIKWAD"/>
    <d v="2026-06-20T15:17:15"/>
    <x v="4"/>
    <s v="Cuban Bracelets"/>
  </r>
  <r>
    <d v="2026-06-20T00:00:00"/>
    <s v="SR-INV-AST/26-27/2759"/>
    <s v="INV"/>
    <m/>
    <s v="RC-REFINISHING"/>
    <m/>
    <s v="STYLE"/>
    <s v="STYLE"/>
    <n v="0.91800000000000004"/>
    <s v="CUBR-23514-9MM-19.00GM-22KT-YG-8 INCH"/>
    <x v="0"/>
    <s v="G-NA-91.80-YG"/>
    <n v="16.568999999999999"/>
    <n v="15.2103"/>
    <n v="0"/>
    <n v="15.2103"/>
    <m/>
    <s v="RC REPAIR# 16027"/>
    <s v="ANAND GAIKWAD"/>
    <d v="2026-06-20T15:17:15"/>
    <x v="4"/>
    <s v="Cuban Chains"/>
  </r>
  <r>
    <d v="2026-06-20T00:00:00"/>
    <s v="SR-INV-AST/26-27/2759"/>
    <s v="INV"/>
    <m/>
    <s v="RC-REFINISHING"/>
    <m/>
    <s v="STYLE"/>
    <s v="STYLE"/>
    <n v="0.91800000000000004"/>
    <s v="CUBR23514-7MM-15.200GM-22KT-YG-8 INCH"/>
    <x v="0"/>
    <s v="G-NA-91.80-YG"/>
    <n v="14.625999999999999"/>
    <n v="13.4267"/>
    <n v="0"/>
    <n v="13.4267"/>
    <m/>
    <s v="RC REPAIR# 16027"/>
    <s v="ANAND GAIKWAD"/>
    <d v="2026-06-20T15:17:15"/>
    <x v="4"/>
    <s v="Cuban Bracelets"/>
  </r>
  <r>
    <d v="2026-06-20T00:00:00"/>
    <s v="SR-INV-AST/26-27/2759"/>
    <s v="INV"/>
    <m/>
    <s v="RC-REFINISHING"/>
    <m/>
    <s v="STYLE"/>
    <s v="STYLE"/>
    <n v="0.91800000000000004"/>
    <s v="CBR24664M9B-19.00GM-22KT-YG-8 INCH"/>
    <x v="0"/>
    <s v="G-NA-91.80-YG"/>
    <n v="17.623999999999999"/>
    <n v="16.178799999999999"/>
    <n v="0"/>
    <n v="16.178799999999999"/>
    <m/>
    <s v="RC REPAIR# 16027"/>
    <s v="ANAND GAIKWAD"/>
    <d v="2026-06-20T15:17:15"/>
    <x v="4"/>
    <s v="Indigo Bracelets"/>
  </r>
  <r>
    <d v="2026-06-20T00:00:00"/>
    <s v="SR-INV-AST/26-27/2759"/>
    <s v="INV"/>
    <m/>
    <s v="RC-REFINISHING"/>
    <m/>
    <s v="STYLE"/>
    <s v="STYLE"/>
    <n v="0.91800000000000004"/>
    <s v="CBR24663M9-15.00GM-22KT-YG-8 INCH"/>
    <x v="0"/>
    <s v="G-NA-91.80-YG"/>
    <n v="15.821"/>
    <n v="14.5237"/>
    <n v="0"/>
    <n v="14.5237"/>
    <m/>
    <s v="RC REPAIR# 16027"/>
    <s v="ANAND GAIKWAD"/>
    <d v="2026-06-20T15:17:15"/>
    <x v="4"/>
    <s v="Indigo Bracelets"/>
  </r>
  <r>
    <d v="2026-06-20T00:00:00"/>
    <s v="SR-INV-AST/26-27/2759"/>
    <s v="INV"/>
    <m/>
    <s v="RC-REFINISHING"/>
    <m/>
    <s v="STYLE"/>
    <s v="STYLE"/>
    <n v="0.91800000000000004"/>
    <s v="CUBR23514-11MM-17.00GM-22KT-YG-8 INCH"/>
    <x v="0"/>
    <s v="G-NA-91.80-YG"/>
    <n v="27.041"/>
    <n v="24.823599999999999"/>
    <n v="0"/>
    <n v="24.823599999999999"/>
    <m/>
    <s v="RC REPAIR# 16027"/>
    <s v="ANAND GAIKWAD"/>
    <d v="2026-06-20T15:17:15"/>
    <x v="4"/>
    <s v="Cuban Bracelets"/>
  </r>
  <r>
    <d v="2026-06-20T00:00:00"/>
    <s v="SR-INV-AST/26-27/2759"/>
    <s v="INV"/>
    <m/>
    <s v="RC-REFINISHING"/>
    <m/>
    <s v="STYLE"/>
    <s v="STYLE"/>
    <n v="0.91800000000000004"/>
    <s v="CUCH24664M7B-29.00GM-22KT-YG-20 INCH"/>
    <x v="0"/>
    <s v="G-NA-91.80-YG"/>
    <n v="25.358000000000001"/>
    <n v="23.278600000000001"/>
    <n v="0"/>
    <n v="23.278600000000001"/>
    <m/>
    <s v="RC REPAIR# 16027"/>
    <s v="ANAND GAIKWAD"/>
    <d v="2026-06-20T15:17:15"/>
    <x v="4"/>
    <s v="Indigo Chains"/>
  </r>
  <r>
    <d v="2026-06-20T00:00:00"/>
    <s v="SR-INV-AST/26-27/2759"/>
    <s v="INV"/>
    <m/>
    <s v="RC-REFINISHING"/>
    <m/>
    <s v="STYLE"/>
    <s v="STYLE"/>
    <n v="0.91800000000000004"/>
    <s v="CBR24664M11B-23.00GM-22KT-YG-8 INCH"/>
    <x v="0"/>
    <s v="G-NA-91.80-YG"/>
    <n v="19.547999999999998"/>
    <n v="17.9451"/>
    <n v="0"/>
    <n v="17.9451"/>
    <m/>
    <s v="RC REPAIR# 16027"/>
    <s v="ANAND GAIKWAD"/>
    <d v="2026-06-20T15:17:15"/>
    <x v="4"/>
    <s v="Indigo Bracelets"/>
  </r>
  <r>
    <d v="2026-06-20T00:00:00"/>
    <s v="SR-INV-AST/26-27/2759"/>
    <s v="INV"/>
    <m/>
    <s v="RC-REFINISHING"/>
    <m/>
    <s v="STYLE"/>
    <s v="STYLE"/>
    <n v="0.91800000000000004"/>
    <s v="CBR24664M13-34.50GM-22KT-YG-8.25 INCH"/>
    <x v="0"/>
    <s v="G-NA-91.80-YG"/>
    <n v="32.61"/>
    <n v="29.936"/>
    <n v="0"/>
    <n v="29.936"/>
    <m/>
    <s v="RC REPAIR# 16027"/>
    <s v="ANAND GAIKWAD"/>
    <d v="2026-06-20T15:17:15"/>
    <x v="4"/>
    <s v="Indigo Bracelets"/>
  </r>
  <r>
    <d v="2026-06-20T00:00:00"/>
    <s v="SR-INV-AST/26-27/2759"/>
    <s v="INV"/>
    <m/>
    <s v="RC-REFINISHING"/>
    <m/>
    <s v="STYLE"/>
    <s v="STYLE"/>
    <n v="0.91800000000000004"/>
    <s v="CUCH24664M7-29.00GM-22KT-YG-20 INCH"/>
    <x v="0"/>
    <s v="G-NA-91.80-YG"/>
    <n v="25.76"/>
    <n v="23.6477"/>
    <n v="0"/>
    <n v="23.6477"/>
    <m/>
    <s v="RC REPAIR# 16027"/>
    <s v="ANAND GAIKWAD"/>
    <d v="2026-06-20T15:17:15"/>
    <x v="4"/>
    <s v="Indigo Chains"/>
  </r>
  <r>
    <d v="2026-06-20T00:00:00"/>
    <s v="SR-INV-AST/26-27/2759"/>
    <s v="INV"/>
    <m/>
    <s v="RC-REFINISHING"/>
    <m/>
    <s v="STYLE"/>
    <s v="STYLE"/>
    <n v="0.91800000000000004"/>
    <s v="CUBR251578M9-16.50GM-22KT-YG-8 INCH"/>
    <x v="0"/>
    <s v="G-NA-91.80-YG"/>
    <n v="17.690000000000001"/>
    <n v="16.2394"/>
    <n v="0"/>
    <n v="16.2394"/>
    <m/>
    <s v="RC REPAIR# 16027"/>
    <s v="ANAND GAIKWAD"/>
    <d v="2026-06-20T15:17:15"/>
    <x v="4"/>
    <s v="Cuban Bracelets"/>
  </r>
  <r>
    <d v="2026-06-20T00:00:00"/>
    <s v="SR-INV-AST/26-27/2759"/>
    <s v="INV"/>
    <m/>
    <s v="RC-REFINISHING"/>
    <m/>
    <s v="STYLE"/>
    <s v="STYLE"/>
    <n v="0.91800000000000004"/>
    <s v="CUCH24667M7B-32.00GM-22KT-YG-22 INCH"/>
    <x v="0"/>
    <s v="G-NA-91.80-YG"/>
    <n v="37.25"/>
    <n v="34.195500000000003"/>
    <n v="0"/>
    <n v="34.195500000000003"/>
    <m/>
    <s v="RC REPAIR# 16027"/>
    <s v="ANAND GAIKWAD"/>
    <d v="2026-06-20T15:17:15"/>
    <x v="4"/>
    <s v="Indigo Chains"/>
  </r>
  <r>
    <d v="2026-06-20T00:00:00"/>
    <s v="SR-INV-AST/26-27/2758"/>
    <s v="INV"/>
    <m/>
    <s v="TITAN"/>
    <m/>
    <s v="STYLE"/>
    <s v="STYLE"/>
    <n v="0.91600000000000004"/>
    <s v="TQNK25182-5.50GM-22KT-YG-21 INCH"/>
    <x v="0"/>
    <s v="G-NA-91.60-YG"/>
    <n v="3.8976000000000002"/>
    <n v="3.5701999999999998"/>
    <n v="0"/>
    <n v="3.5701999999999998"/>
    <s v="CR-TT-160526"/>
    <s v="DC-NO-ROYL10148  TRANSFER NO 32386452"/>
    <s v="KAILASH-KUMAR"/>
    <d v="2026-06-20T15:11:16"/>
    <x v="15"/>
    <s v="Orant Necklaces"/>
  </r>
  <r>
    <d v="2026-06-20T00:00:00"/>
    <s v="SR-INV-AST/26-27/2758"/>
    <s v="INV"/>
    <m/>
    <s v="TITAN"/>
    <m/>
    <s v="STYLE"/>
    <s v="STYLE"/>
    <n v="0.91600000000000004"/>
    <s v="TQNK25182-5.50GM-22KT-YG-21 INCH"/>
    <x v="0"/>
    <s v="G-NA-91.60-YG"/>
    <n v="2.2302"/>
    <n v="2.0428999999999999"/>
    <n v="0"/>
    <n v="2.0428999999999999"/>
    <s v="CR-TT-160526"/>
    <s v="DC-NO-ROYL10148  TRANSFER NO 32386452"/>
    <s v="KAILASH-KUMAR"/>
    <d v="2026-06-20T15:11:16"/>
    <x v="15"/>
    <s v="Orant Necklaces"/>
  </r>
  <r>
    <d v="2026-06-20T00:00:00"/>
    <s v="SR-INV-AST/26-27/2758"/>
    <s v="INV"/>
    <m/>
    <s v="TITAN"/>
    <m/>
    <s v="STYLE"/>
    <s v="STYLE"/>
    <n v="0.91600000000000004"/>
    <s v="TQNK25182-5.50GM-22KT-YG-21 INCH"/>
    <x v="0"/>
    <s v="G-NA-91.60-YG"/>
    <n v="3.8317999999999999"/>
    <n v="3.5099"/>
    <n v="0"/>
    <n v="3.5099"/>
    <s v="CR-TT-160526"/>
    <s v="DC-NO-ROYL10148  TRANSFER NO 32386452"/>
    <s v="KAILASH-KUMAR"/>
    <d v="2026-06-20T15:11:16"/>
    <x v="15"/>
    <s v="Orant Necklaces"/>
  </r>
  <r>
    <d v="2026-06-20T00:00:00"/>
    <s v="SR-INV-AST/26-27/2758"/>
    <s v="INV"/>
    <m/>
    <s v="TITAN"/>
    <m/>
    <s v="STYLE"/>
    <s v="STYLE"/>
    <n v="0.91600000000000004"/>
    <s v="TQNK25181-5.50GM-22KT-YG-21 INCH"/>
    <x v="0"/>
    <s v="G-NA-91.60-YG"/>
    <n v="2.0337000000000001"/>
    <n v="1.8629"/>
    <n v="0"/>
    <n v="1.8629"/>
    <s v="CR-TT-160526"/>
    <s v="DC-NO-ROYL10148  TRANSFER NO 32386452"/>
    <s v="KAILASH-KUMAR"/>
    <d v="2026-06-20T15:11:16"/>
    <x v="15"/>
    <s v="Orant Necklaces"/>
  </r>
  <r>
    <d v="2026-06-20T00:00:00"/>
    <s v="SR-INV-AST/26-27/2758"/>
    <s v="INV"/>
    <m/>
    <s v="TITAN"/>
    <m/>
    <s v="STYLE"/>
    <s v="STYLE"/>
    <n v="0.91600000000000004"/>
    <s v="TQNK25181-5.50GM-22KT-YG-21 INCH"/>
    <x v="0"/>
    <s v="G-NA-91.60-YG"/>
    <n v="3.3542999999999998"/>
    <n v="3.0724999999999998"/>
    <n v="0"/>
    <n v="3.0724999999999998"/>
    <s v="CR-TT-160526"/>
    <s v="DC-NO-ROYL10148  TRANSFER NO 32386452"/>
    <s v="KAILASH-KUMAR"/>
    <d v="2026-06-20T15:11:16"/>
    <x v="15"/>
    <s v="Orant Necklaces"/>
  </r>
  <r>
    <d v="2026-06-20T00:00:00"/>
    <s v="SR-INV-AST/26-27/2758"/>
    <s v="INV"/>
    <m/>
    <s v="TITAN"/>
    <m/>
    <s v="STYLE"/>
    <s v="STYLE"/>
    <n v="0.91600000000000004"/>
    <s v="TQNK25182-5.50GM-22KT-YG-21 INCH"/>
    <x v="0"/>
    <s v="G-NA-91.60-YG"/>
    <n v="2.2684000000000002"/>
    <n v="2.0779000000000001"/>
    <n v="0"/>
    <n v="2.0779000000000001"/>
    <s v="CR-TT-160526"/>
    <s v="DC-NO-ROYL10148  TRANSFER NO 32386452"/>
    <s v="KAILASH-KUMAR"/>
    <d v="2026-06-20T15:11:16"/>
    <x v="15"/>
    <s v="Orant Necklaces"/>
  </r>
  <r>
    <d v="2026-06-20T00:00:00"/>
    <s v="SR-INV-AST/26-27/2757"/>
    <s v="INV"/>
    <m/>
    <s v="Royal Chain Private Limited"/>
    <m/>
    <s v="STYLE"/>
    <s v="STYLE"/>
    <n v="0.91800000000000004"/>
    <s v="ICH10184-4.5MM-26gm-22KT-YG-24 INCH"/>
    <x v="0"/>
    <s v="G-NA-91.80-YG"/>
    <n v="24.718"/>
    <n v="22.691099999999999"/>
    <n v="0"/>
    <n v="22.691099999999999"/>
    <s v="RC-21972/CUST/ORD"/>
    <s v="RC-21972/CUST/ORD"/>
    <s v="ANAND GAIKWAD"/>
    <d v="2026-06-20T15:06:45"/>
    <x v="27"/>
    <s v="Indigo Chains"/>
  </r>
  <r>
    <d v="2026-06-20T00:00:00"/>
    <s v="SR-INV-AST/26-27/2757"/>
    <s v="INV"/>
    <m/>
    <s v="Royal Chain Private Limited"/>
    <m/>
    <s v="STYLE"/>
    <s v="STYLE"/>
    <n v="0.91800000000000004"/>
    <s v="CBR24662M18-48.00GM-22KT-YG-8 INCH"/>
    <x v="0"/>
    <s v="G-NA-91.80-YG"/>
    <n v="38.139299999999999"/>
    <n v="35.011899999999997"/>
    <n v="0"/>
    <n v="35.011899999999997"/>
    <s v="RC-21969/CUST/ORD"/>
    <s v="RC-21969/CUST/ORD"/>
    <s v="ANAND GAIKWAD"/>
    <d v="2026-06-20T15:06:45"/>
    <x v="4"/>
    <s v="Indigo Bracelets"/>
  </r>
  <r>
    <d v="2026-06-20T00:00:00"/>
    <s v="SR-INV-AST/26-27/2757"/>
    <s v="INV"/>
    <m/>
    <s v="Royal Chain Private Limited"/>
    <m/>
    <s v="STYLE"/>
    <s v="STYLE"/>
    <n v="0.91800000000000004"/>
    <s v="CBR24662M18-48.00GM-22KT-YG-8 INCH"/>
    <x v="0"/>
    <s v="G-NA-91.80-YG"/>
    <n v="7.7000000000000002E-3"/>
    <n v="7.1000000000000004E-3"/>
    <n v="0"/>
    <n v="7.1000000000000004E-3"/>
    <s v="RC-21969/CUST/ORD"/>
    <s v="RC-21969/CUST/ORD"/>
    <s v="ANAND GAIKWAD"/>
    <d v="2026-06-20T15:06:45"/>
    <x v="4"/>
    <s v="Indigo Bracelets"/>
  </r>
  <r>
    <d v="2026-06-20T00:00:00"/>
    <s v="SR-INV-AST/26-27/2756"/>
    <s v="INV"/>
    <m/>
    <s v="Royal Chain Private Limited"/>
    <m/>
    <s v="STYLE"/>
    <s v="STYLE"/>
    <n v="0.91800000000000004"/>
    <s v="IBR251232M10-18.50GM-22KT-YG-8 INCH"/>
    <x v="0"/>
    <s v="G-NA-91.80-YG"/>
    <n v="18.754999999999999"/>
    <n v="17.217099999999999"/>
    <n v="0"/>
    <n v="17.217099999999999"/>
    <s v="RC-STOCK-ORD-200008"/>
    <s v="RC-STOCK-ORD-200008"/>
    <s v="ANAND GAIKWAD"/>
    <d v="2026-06-20T15:03:36"/>
    <x v="27"/>
    <s v="Indigo Bracelets"/>
  </r>
  <r>
    <d v="2026-06-20T00:00:00"/>
    <s v="SR-INV-AST/26-27/2756"/>
    <s v="INV"/>
    <m/>
    <s v="Royal Chain Private Limited"/>
    <m/>
    <s v="STYLE"/>
    <s v="STYLE"/>
    <n v="0.91800000000000004"/>
    <s v="CUCH24664M7-29.00GM-22KT-YG-21 INCH"/>
    <x v="0"/>
    <s v="G-NA-91.80-YG"/>
    <n v="24.016100000000002"/>
    <n v="22.046800000000001"/>
    <n v="0"/>
    <n v="22.046800000000001"/>
    <s v="ARK/1106/006(CUSTOMER ORDER)"/>
    <s v="RC STOCK"/>
    <s v="ANAND GAIKWAD"/>
    <d v="2026-06-20T15:03:36"/>
    <x v="4"/>
    <s v="Indigo Chains"/>
  </r>
  <r>
    <d v="2026-06-20T00:00:00"/>
    <s v="SR-INV-AST/26-27/2756"/>
    <s v="INV"/>
    <m/>
    <s v="Royal Chain Private Limited"/>
    <m/>
    <s v="STYLE"/>
    <s v="STYLE"/>
    <n v="0.91800000000000004"/>
    <s v="CUCH24664M7-29.00GM-22KT-YG-21 INCH"/>
    <x v="0"/>
    <s v="G-NA-91.80-YG"/>
    <n v="6.8999999999999999E-3"/>
    <n v="6.3E-3"/>
    <n v="0"/>
    <n v="6.3E-3"/>
    <s v="ARK/1106/006(CUSTOMER ORDER)"/>
    <s v="RC STOCK"/>
    <s v="ANAND GAIKWAD"/>
    <d v="2026-06-20T15:03:36"/>
    <x v="4"/>
    <s v="Indigo Chains"/>
  </r>
  <r>
    <d v="2026-06-20T00:00:00"/>
    <s v="SR-INV-AST/26-27/2756"/>
    <s v="INV"/>
    <m/>
    <s v="Royal Chain Private Limited"/>
    <m/>
    <s v="STYLE"/>
    <s v="STYLE"/>
    <n v="0.91800000000000004"/>
    <s v="ICH23917-17.00GM-22KT-YG-22 INCH"/>
    <x v="0"/>
    <s v="G-NA-91.80-YG"/>
    <n v="18.393000000000001"/>
    <n v="16.884799999999998"/>
    <n v="0"/>
    <n v="16.884799999999998"/>
    <s v="RC-STOCK-ORD-200011"/>
    <s v="RC-STOCK-ORD-200011"/>
    <s v="ANAND GAIKWAD"/>
    <d v="2026-06-20T15:03:36"/>
    <x v="27"/>
    <s v="Indigo Chains"/>
  </r>
  <r>
    <d v="2026-06-20T00:00:00"/>
    <s v="SR-INV-AST/26-27/2756"/>
    <s v="INV"/>
    <m/>
    <s v="Royal Chain Private Limited"/>
    <m/>
    <s v="STYLE"/>
    <s v="STYLE"/>
    <n v="0.91800000000000004"/>
    <s v="ICH23916-18.00GM-22KT-YG-20 INCH"/>
    <x v="0"/>
    <s v="G-NA-91.80-YG"/>
    <n v="16.885000000000002"/>
    <n v="15.500400000000001"/>
    <n v="0"/>
    <n v="15.500400000000001"/>
    <s v="RC-STOCK-ORD-200011"/>
    <s v="RC-STOCK-ORD-200011"/>
    <s v="ANAND GAIKWAD"/>
    <d v="2026-06-20T15:03:36"/>
    <x v="27"/>
    <s v="Indigo Chains"/>
  </r>
  <r>
    <d v="2026-06-20T00:00:00"/>
    <s v="SR-INV-AST/26-27/2756"/>
    <s v="INV"/>
    <m/>
    <s v="Royal Chain Private Limited"/>
    <m/>
    <s v="STYLE"/>
    <s v="STYLE"/>
    <n v="0.91800000000000004"/>
    <s v="IBR251231M10-18.00GM-22KT-YG-8 INCH"/>
    <x v="0"/>
    <s v="G-NA-91.80-YG"/>
    <n v="18.167999999999999"/>
    <n v="16.6782"/>
    <n v="0"/>
    <n v="16.6782"/>
    <s v="RC-STOCK-ORD-200008"/>
    <s v="RC-STOCK-ORD-200008"/>
    <s v="ANAND GAIKWAD"/>
    <d v="2026-06-20T15:03:36"/>
    <x v="27"/>
    <s v="Indigo Bracelets"/>
  </r>
  <r>
    <d v="2026-06-20T00:00:00"/>
    <s v="SR-INV-AST/26-27/2756"/>
    <s v="INV"/>
    <m/>
    <s v="Royal Chain Private Limited"/>
    <m/>
    <s v="STYLE"/>
    <s v="STYLE"/>
    <n v="0.91800000000000004"/>
    <s v="IBR251232M10-18.50GM-22KT-YG-8 INCH"/>
    <x v="0"/>
    <s v="G-NA-91.80-YG"/>
    <n v="19.271000000000001"/>
    <n v="17.690799999999999"/>
    <n v="0"/>
    <n v="17.690799999999999"/>
    <s v="RC-STOCK-ORD-200008"/>
    <s v="RC-STOCK-ORD-200008"/>
    <s v="ANAND GAIKWAD"/>
    <d v="2026-06-20T15:03:36"/>
    <x v="27"/>
    <s v="Indigo Bracelets"/>
  </r>
  <r>
    <d v="2026-06-20T00:00:00"/>
    <s v="SR-INV-AST/26-27/2756"/>
    <s v="INV"/>
    <m/>
    <s v="Royal Chain Private Limited"/>
    <m/>
    <s v="STYLE"/>
    <s v="STYLE"/>
    <n v="0.91800000000000004"/>
    <s v="IBR251231M10-18.00GM-22KT-YG-8 INCH"/>
    <x v="0"/>
    <s v="G-NA-91.80-YG"/>
    <n v="17.332999999999998"/>
    <n v="15.9117"/>
    <n v="0"/>
    <n v="15.9117"/>
    <s v="RC-STOCK-ORD-200008"/>
    <s v="RC-STOCK-ORD-200008"/>
    <s v="ANAND GAIKWAD"/>
    <d v="2026-06-20T15:03:36"/>
    <x v="27"/>
    <s v="Indigo Bracelets"/>
  </r>
  <r>
    <d v="2026-06-20T00:00:00"/>
    <s v="SR-INV-AST/26-27/2756"/>
    <s v="INV"/>
    <m/>
    <s v="Royal Chain Private Limited"/>
    <m/>
    <s v="STYLE"/>
    <s v="STYLE"/>
    <n v="0.91800000000000004"/>
    <s v="CBR24661M10-18.00GM-22KT-YG-8 INCH"/>
    <x v="0"/>
    <s v="G-NA-91.80-YG"/>
    <n v="19.09"/>
    <n v="17.5246"/>
    <n v="0"/>
    <n v="17.5246"/>
    <s v="RC-STOCK-ORD-200007"/>
    <s v="RC-STOCK-ORD-200007"/>
    <s v="ANAND GAIKWAD"/>
    <d v="2026-06-20T15:03:36"/>
    <x v="4"/>
    <s v="Indigo Bracelets"/>
  </r>
  <r>
    <d v="2026-06-20T00:00:00"/>
    <s v="SR-INV-AST/26-27/2756"/>
    <s v="INV"/>
    <m/>
    <s v="Royal Chain Private Limited"/>
    <m/>
    <s v="STYLE"/>
    <s v="STYLE"/>
    <n v="0.91800000000000004"/>
    <s v="IBR251231M10-18.00GM-22KT-YG-8 INCH"/>
    <x v="0"/>
    <s v="G-NA-91.80-YG"/>
    <n v="18.559000000000001"/>
    <n v="17.037199999999999"/>
    <n v="0"/>
    <n v="17.037199999999999"/>
    <s v="RC-STOCK-ORD-200008"/>
    <s v="RC-STOCK-ORD-200008"/>
    <s v="ANAND GAIKWAD"/>
    <d v="2026-06-20T15:03:36"/>
    <x v="27"/>
    <s v="Indigo Bracelets"/>
  </r>
  <r>
    <d v="2026-06-20T00:00:00"/>
    <s v="SR-INV-AST/26-27/2756"/>
    <s v="INV"/>
    <m/>
    <s v="Royal Chain Private Limited"/>
    <m/>
    <s v="STYLE"/>
    <s v="STYLE"/>
    <n v="0.91800000000000004"/>
    <s v="CBR24661M10-18.00GM-22KT-YG-8 INCH"/>
    <x v="0"/>
    <s v="G-NA-91.80-YG"/>
    <n v="19.672999999999998"/>
    <n v="18.059799999999999"/>
    <n v="0"/>
    <n v="18.059799999999999"/>
    <s v="RC-STOCK-ORD-200007"/>
    <s v="RC-STOCK-ORD-200007"/>
    <s v="ANAND GAIKWAD"/>
    <d v="2026-06-20T15:03:36"/>
    <x v="4"/>
    <s v="Indigo Bracelets"/>
  </r>
  <r>
    <d v="2026-06-20T00:00:00"/>
    <s v="SR-INV-AST/26-27/2756"/>
    <s v="INV"/>
    <m/>
    <s v="Royal Chain Private Limited"/>
    <m/>
    <s v="STYLE"/>
    <s v="STYLE"/>
    <n v="0.91800000000000004"/>
    <s v="IBR241326M5-10.00GM-22KT-YG-8 INCH"/>
    <x v="0"/>
    <s v="G-NA-91.80-YG"/>
    <n v="10.106999999999999"/>
    <n v="9.2782"/>
    <n v="0"/>
    <n v="9.2782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CBR24662M7C-14.00GM-22KT-YG-8 INCH"/>
    <x v="0"/>
    <s v="G-NA-91.80-YG"/>
    <n v="12.343"/>
    <n v="11.3309"/>
    <n v="0"/>
    <n v="11.3309"/>
    <s v="RC-STOCK-ORD-200007"/>
    <s v="RC-STOCK-ORD-200007"/>
    <s v="ANAND GAIKWAD"/>
    <d v="2026-06-20T15:03:36"/>
    <x v="4"/>
    <s v="Indigo Bracelets"/>
  </r>
  <r>
    <d v="2026-06-20T00:00:00"/>
    <s v="SR-INV-AST/26-27/2756"/>
    <s v="INV"/>
    <m/>
    <s v="Royal Chain Private Limited"/>
    <m/>
    <s v="STYLE"/>
    <s v="STYLE"/>
    <n v="0.91800000000000004"/>
    <s v="ICH23917-16.00GM-22KT-YG-20 INCH"/>
    <x v="0"/>
    <s v="G-NA-91.80-YG"/>
    <n v="17.158000000000001"/>
    <n v="15.750999999999999"/>
    <n v="0"/>
    <n v="15.750999999999999"/>
    <s v="RC-STOCK-ORD-200011"/>
    <s v="RC-STOCK-ORD-200011"/>
    <s v="ANAND GAIKWAD"/>
    <d v="2026-06-20T15:03:36"/>
    <x v="27"/>
    <s v="Indigo Chains"/>
  </r>
  <r>
    <d v="2026-06-20T00:00:00"/>
    <s v="SR-INV-AST/26-27/2756"/>
    <s v="INV"/>
    <m/>
    <s v="Royal Chain Private Limited"/>
    <m/>
    <s v="STYLE"/>
    <s v="STYLE"/>
    <n v="0.91800000000000004"/>
    <s v="IBR241326M5-10.00GM-22KT-YG-8 INCH"/>
    <x v="0"/>
    <s v="G-NA-91.80-YG"/>
    <n v="9.9260000000000002"/>
    <n v="9.1120999999999999"/>
    <n v="0"/>
    <n v="9.1120999999999999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IBR241326M8-16.00GM-22KT-YG-8 INCH"/>
    <x v="0"/>
    <s v="G-NA-91.80-YG"/>
    <n v="25.829000000000001"/>
    <n v="23.710999999999999"/>
    <n v="0"/>
    <n v="23.710999999999999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CUCH24664M6-23.00GM-22KT-YG-20 INCH"/>
    <x v="0"/>
    <s v="G-NA-91.80-YG"/>
    <n v="23.545999999999999"/>
    <n v="21.615200000000002"/>
    <n v="0"/>
    <n v="21.615200000000002"/>
    <s v="RC-STOCK-ORD-200007"/>
    <s v="RC-STOCK-ORD-200007"/>
    <s v="ANAND GAIKWAD"/>
    <d v="2026-06-20T15:03:36"/>
    <x v="4"/>
    <s v="Indigo Chains"/>
  </r>
  <r>
    <d v="2026-06-20T00:00:00"/>
    <s v="SR-INV-AST/26-27/2756"/>
    <s v="INV"/>
    <m/>
    <s v="Royal Chain Private Limited"/>
    <m/>
    <s v="STYLE"/>
    <s v="STYLE"/>
    <n v="0.91800000000000004"/>
    <s v="IBR242075M15-45.00GM-22KT-YG-8 INCH"/>
    <x v="0"/>
    <s v="G-NA-91.80-YG"/>
    <n v="43.883000000000003"/>
    <n v="40.284599999999998"/>
    <n v="0"/>
    <n v="40.284599999999998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IBR242075M15-45.00GM-22KT-YG-8 INCH"/>
    <x v="0"/>
    <s v="G-NA-91.80-YG"/>
    <n v="46.332000000000001"/>
    <n v="42.532800000000002"/>
    <n v="0"/>
    <n v="42.532800000000002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CBR24661M10-18.00GM-22KT-YG-8 INCH"/>
    <x v="0"/>
    <s v="G-NA-91.80-YG"/>
    <n v="19.047000000000001"/>
    <n v="17.485099999999999"/>
    <n v="0"/>
    <n v="17.485099999999999"/>
    <s v="RC-STOCK-ORD-200007"/>
    <s v="RC-STOCK-ORD-200007"/>
    <s v="ANAND GAIKWAD"/>
    <d v="2026-06-20T15:03:36"/>
    <x v="4"/>
    <s v="Indigo Bracelets"/>
  </r>
  <r>
    <d v="2026-06-20T00:00:00"/>
    <s v="SR-INV-AST/26-27/2756"/>
    <s v="INV"/>
    <m/>
    <s v="Royal Chain Private Limited"/>
    <m/>
    <s v="STYLE"/>
    <s v="STYLE"/>
    <n v="0.91800000000000004"/>
    <s v="ICH23917-16.00GM-22KT-YG-20 INCH"/>
    <x v="0"/>
    <s v="G-NA-91.80-YG"/>
    <n v="17.238"/>
    <n v="15.8245"/>
    <n v="0"/>
    <n v="15.8245"/>
    <s v="RC-STOCK-ORD-200011"/>
    <s v="RC-STOCK-ORD-200011"/>
    <s v="ANAND GAIKWAD"/>
    <d v="2026-06-20T15:03:36"/>
    <x v="27"/>
    <s v="Indigo Chains"/>
  </r>
  <r>
    <d v="2026-06-20T00:00:00"/>
    <s v="SR-INV-AST/26-27/2756"/>
    <s v="INV"/>
    <m/>
    <s v="Royal Chain Private Limited"/>
    <m/>
    <s v="STYLE"/>
    <s v="STYLE"/>
    <n v="0.91800000000000004"/>
    <s v="IBR241326M5-10.00GM-22KT-YG-8 INCH"/>
    <x v="0"/>
    <s v="G-NA-91.80-YG"/>
    <n v="10.051"/>
    <n v="9.2268000000000008"/>
    <n v="0"/>
    <n v="9.2268000000000008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IBR241326M8-16.00GM-22KT-YG-8 INCH"/>
    <x v="0"/>
    <s v="G-NA-91.80-YG"/>
    <n v="25.725999999999999"/>
    <n v="23.616499999999998"/>
    <n v="0"/>
    <n v="23.616499999999998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IBR251231M10-18.00GM-22KT-YG-8 INCH"/>
    <x v="0"/>
    <s v="G-NA-91.80-YG"/>
    <n v="18.632000000000001"/>
    <n v="17.104199999999999"/>
    <n v="0"/>
    <n v="17.104199999999999"/>
    <s v="RC-STOCK-ORD-200008"/>
    <s v="RC-STOCK-ORD-200008"/>
    <s v="ANAND GAIKWAD"/>
    <d v="2026-06-20T15:03:36"/>
    <x v="27"/>
    <s v="Indigo Bracelets"/>
  </r>
  <r>
    <d v="2026-06-20T00:00:00"/>
    <s v="SR-INV-AST/26-27/2756"/>
    <s v="INV"/>
    <m/>
    <s v="Royal Chain Private Limited"/>
    <m/>
    <s v="STYLE"/>
    <s v="STYLE"/>
    <n v="0.91800000000000004"/>
    <s v="CUCH24664M7-31.00GM-22KT-YG-22 INCH"/>
    <x v="0"/>
    <s v="G-NA-91.80-YG"/>
    <n v="30.09"/>
    <n v="27.622599999999998"/>
    <n v="0"/>
    <n v="27.622599999999998"/>
    <s v="RC-STOCK-ORD-200007"/>
    <s v="RC-STOCK-ORD-200007"/>
    <s v="ANAND GAIKWAD"/>
    <d v="2026-06-20T15:03:36"/>
    <x v="4"/>
    <s v="Indigo Chains"/>
  </r>
  <r>
    <d v="2026-06-20T00:00:00"/>
    <s v="SR-INV-AST/26-27/2756"/>
    <s v="INV"/>
    <m/>
    <s v="Royal Chain Private Limited"/>
    <m/>
    <s v="STYLE"/>
    <s v="STYLE"/>
    <n v="0.91800000000000004"/>
    <s v="ICH23916-18.00GM-22KT-YG-20 INCH"/>
    <x v="0"/>
    <s v="G-NA-91.80-YG"/>
    <n v="16.954999999999998"/>
    <n v="15.5647"/>
    <n v="0"/>
    <n v="15.5647"/>
    <s v="RC-STOCK-ORD-200011"/>
    <s v="RC-STOCK-ORD-200011"/>
    <s v="ANAND GAIKWAD"/>
    <d v="2026-06-20T15:03:36"/>
    <x v="27"/>
    <s v="Indigo Chains"/>
  </r>
  <r>
    <d v="2026-06-20T00:00:00"/>
    <s v="SR-INV-AST/26-27/2756"/>
    <s v="INV"/>
    <m/>
    <s v="Royal Chain Private Limited"/>
    <m/>
    <s v="STYLE"/>
    <s v="STYLE"/>
    <n v="0.91800000000000004"/>
    <s v="IBR251232M10-18.50GM-22KT-YG-8 INCH"/>
    <x v="0"/>
    <s v="G-NA-91.80-YG"/>
    <n v="18.829000000000001"/>
    <n v="17.285"/>
    <n v="0"/>
    <n v="17.285"/>
    <s v="RC-STOCK-ORD-200008"/>
    <s v="RC-STOCK-ORD-200008"/>
    <s v="ANAND GAIKWAD"/>
    <d v="2026-06-20T15:03:36"/>
    <x v="27"/>
    <s v="Indigo Bracelets"/>
  </r>
  <r>
    <d v="2026-06-20T00:00:00"/>
    <s v="SR-INV-AST/26-27/2756"/>
    <s v="INV"/>
    <m/>
    <s v="Royal Chain Private Limited"/>
    <m/>
    <s v="STYLE"/>
    <s v="STYLE"/>
    <n v="0.91800000000000004"/>
    <s v="CUCH24664M6-24.00GM-22KT-YG-22 INCH"/>
    <x v="0"/>
    <s v="G-NA-91.80-YG"/>
    <n v="23.492999999999999"/>
    <n v="21.566600000000001"/>
    <n v="0"/>
    <n v="21.566600000000001"/>
    <s v="RC-STOCK-ORD-200007"/>
    <s v="RC-STOCK-ORD-200007"/>
    <s v="ANAND GAIKWAD"/>
    <d v="2026-06-20T15:03:36"/>
    <x v="4"/>
    <s v="Indigo Chains"/>
  </r>
  <r>
    <d v="2026-06-20T00:00:00"/>
    <s v="SR-INV-AST/26-27/2756"/>
    <s v="INV"/>
    <m/>
    <s v="Royal Chain Private Limited"/>
    <m/>
    <s v="STYLE"/>
    <s v="STYLE"/>
    <n v="0.91800000000000004"/>
    <s v="CBR24662M7C-14.00GM-22KT-YG-8 INCH"/>
    <x v="0"/>
    <s v="G-NA-91.80-YG"/>
    <n v="12.054"/>
    <n v="11.0656"/>
    <n v="0"/>
    <n v="11.0656"/>
    <s v="RC-STOCK-ORD-200007"/>
    <s v="RC-STOCK-ORD-200007"/>
    <s v="ANAND GAIKWAD"/>
    <d v="2026-06-20T15:03:36"/>
    <x v="4"/>
    <s v="Indigo Bracelets"/>
  </r>
  <r>
    <d v="2026-06-20T00:00:00"/>
    <s v="SR-INV-AST/26-27/2756"/>
    <s v="INV"/>
    <m/>
    <s v="Royal Chain Private Limited"/>
    <m/>
    <s v="STYLE"/>
    <s v="STYLE"/>
    <n v="0.91800000000000004"/>
    <s v="CUCH24664M6-24.00GM-22KT-YG-22 INCH"/>
    <x v="0"/>
    <s v="G-NA-91.80-YG"/>
    <n v="24.238"/>
    <n v="22.250499999999999"/>
    <n v="0"/>
    <n v="22.250499999999999"/>
    <s v="RC-STOCK-ORD-200007"/>
    <s v="RC-STOCK-ORD-200007"/>
    <s v="ANAND GAIKWAD"/>
    <d v="2026-06-20T15:03:36"/>
    <x v="4"/>
    <s v="Indigo Chains"/>
  </r>
  <r>
    <d v="2026-06-20T00:00:00"/>
    <s v="SR-INV-AST/26-27/2756"/>
    <s v="INV"/>
    <m/>
    <s v="Royal Chain Private Limited"/>
    <m/>
    <s v="STYLE"/>
    <s v="STYLE"/>
    <n v="0.91800000000000004"/>
    <s v="IBR241326M5-10.00GM-22KT-YG-8 INCH"/>
    <x v="0"/>
    <s v="G-NA-91.80-YG"/>
    <n v="10.15"/>
    <n v="9.3177000000000003"/>
    <n v="0"/>
    <n v="9.3177000000000003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CUCH24664M6-23.00GM-22KT-YG-20 INCH"/>
    <x v="0"/>
    <s v="G-NA-91.80-YG"/>
    <n v="22.681999999999999"/>
    <n v="20.822099999999999"/>
    <n v="0"/>
    <n v="20.822099999999999"/>
    <s v="RC-STOCK-ORD-200007"/>
    <s v="RC-STOCK-ORD-200007"/>
    <s v="ANAND GAIKWAD"/>
    <d v="2026-06-20T15:03:36"/>
    <x v="4"/>
    <s v="Indigo Chains"/>
  </r>
  <r>
    <d v="2026-06-20T00:00:00"/>
    <s v="SR-INV-AST/26-27/2756"/>
    <s v="INV"/>
    <m/>
    <s v="Royal Chain Private Limited"/>
    <m/>
    <s v="STYLE"/>
    <s v="STYLE"/>
    <n v="0.91800000000000004"/>
    <s v="IBR241326M5-10.00GM-22KT-YG-8 INCH"/>
    <x v="0"/>
    <s v="G-NA-91.80-YG"/>
    <n v="9.6289999999999996"/>
    <n v="8.8393999999999995"/>
    <n v="0"/>
    <n v="8.8393999999999995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CUCH24664M6-24.00GM-22KT-YG-22 INCH"/>
    <x v="0"/>
    <s v="G-NA-91.80-YG"/>
    <n v="24.103999999999999"/>
    <n v="22.127500000000001"/>
    <n v="0"/>
    <n v="22.127500000000001"/>
    <s v="RC-STOCK-ORD-200007"/>
    <s v="RC-STOCK-ORD-200007"/>
    <s v="ANAND GAIKWAD"/>
    <d v="2026-06-20T15:03:36"/>
    <x v="4"/>
    <s v="Indigo Chains"/>
  </r>
  <r>
    <d v="2026-06-20T00:00:00"/>
    <s v="SR-INV-AST/26-27/2756"/>
    <s v="INV"/>
    <m/>
    <s v="Royal Chain Private Limited"/>
    <m/>
    <s v="STYLE"/>
    <s v="STYLE"/>
    <n v="0.91800000000000004"/>
    <s v="IBR241326M8-16.00GM-22KT-YG-8 INCH"/>
    <x v="0"/>
    <s v="G-NA-91.80-YG"/>
    <n v="25.602"/>
    <n v="23.502600000000001"/>
    <n v="0"/>
    <n v="23.502600000000001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IBR251232M10-18.50GM-22KT-YG-8 INCH"/>
    <x v="0"/>
    <s v="G-NA-91.80-YG"/>
    <n v="19.164000000000001"/>
    <n v="17.592600000000001"/>
    <n v="0"/>
    <n v="17.592600000000001"/>
    <s v="RC-STOCK-ORD-200008"/>
    <s v="RC-STOCK-ORD-200008"/>
    <s v="ANAND GAIKWAD"/>
    <d v="2026-06-20T15:03:36"/>
    <x v="27"/>
    <s v="Indigo Bracelets"/>
  </r>
  <r>
    <d v="2026-06-20T00:00:00"/>
    <s v="SR-INV-AST/26-27/2756"/>
    <s v="INV"/>
    <m/>
    <s v="Royal Chain Private Limited"/>
    <m/>
    <s v="STYLE"/>
    <s v="STYLE"/>
    <n v="0.91800000000000004"/>
    <s v="ICH23917-17.00GM-22KT-YG-22 INCH"/>
    <x v="0"/>
    <s v="G-NA-91.80-YG"/>
    <n v="18.039000000000001"/>
    <n v="16.559799999999999"/>
    <n v="0"/>
    <n v="16.559799999999999"/>
    <s v="RC-STOCK-ORD-200011"/>
    <s v="RC-STOCK-ORD-200011"/>
    <s v="ANAND GAIKWAD"/>
    <d v="2026-06-20T15:03:36"/>
    <x v="27"/>
    <s v="Indigo Chains"/>
  </r>
  <r>
    <d v="2026-06-20T00:00:00"/>
    <s v="SR-INV-AST/26-27/2756"/>
    <s v="INV"/>
    <m/>
    <s v="Royal Chain Private Limited"/>
    <m/>
    <s v="STYLE"/>
    <s v="STYLE"/>
    <n v="0.91800000000000004"/>
    <s v="CBR24662M7C-14.00GM-22KT-YG-8 INCH"/>
    <x v="0"/>
    <s v="G-NA-91.80-YG"/>
    <n v="12.398999999999999"/>
    <n v="11.382300000000001"/>
    <n v="0"/>
    <n v="11.382300000000001"/>
    <s v="RC-STOCK-ORD-200007"/>
    <s v="RC-STOCK-ORD-200007"/>
    <s v="ANAND GAIKWAD"/>
    <d v="2026-06-20T15:03:36"/>
    <x v="4"/>
    <s v="Indigo Bracelets"/>
  </r>
  <r>
    <d v="2026-06-20T00:00:00"/>
    <s v="SR-INV-AST/26-27/2756"/>
    <s v="INV"/>
    <m/>
    <s v="Royal Chain Private Limited"/>
    <m/>
    <s v="STYLE"/>
    <s v="STYLE"/>
    <n v="0.91800000000000004"/>
    <s v="IBR251231M10-18.00GM-22KT-YG-8 INCH"/>
    <x v="0"/>
    <s v="G-NA-91.80-YG"/>
    <n v="18.29"/>
    <n v="16.790199999999999"/>
    <n v="0"/>
    <n v="16.790199999999999"/>
    <s v="RC-STOCK-ORD-200008"/>
    <s v="RC-STOCK-ORD-200008"/>
    <s v="ANAND GAIKWAD"/>
    <d v="2026-06-20T15:03:36"/>
    <x v="27"/>
    <s v="Indigo Bracelets"/>
  </r>
  <r>
    <d v="2026-06-20T00:00:00"/>
    <s v="SR-INV-AST/26-27/2756"/>
    <s v="INV"/>
    <m/>
    <s v="Royal Chain Private Limited"/>
    <m/>
    <s v="STYLE"/>
    <s v="STYLE"/>
    <n v="0.91800000000000004"/>
    <s v="CBR24661M10-18.00GM-22KT-YG-8 INCH"/>
    <x v="0"/>
    <s v="G-NA-91.80-YG"/>
    <n v="19.82"/>
    <n v="18.194800000000001"/>
    <n v="0"/>
    <n v="18.194800000000001"/>
    <s v="RC-STOCK-ORD-200007"/>
    <s v="RC-STOCK-ORD-200007"/>
    <s v="ANAND GAIKWAD"/>
    <d v="2026-06-20T15:03:36"/>
    <x v="4"/>
    <s v="Indigo Bracelets"/>
  </r>
  <r>
    <d v="2026-06-20T00:00:00"/>
    <s v="SR-INV-AST/26-27/2756"/>
    <s v="INV"/>
    <m/>
    <s v="Royal Chain Private Limited"/>
    <m/>
    <s v="STYLE"/>
    <s v="STYLE"/>
    <n v="0.91800000000000004"/>
    <s v="IBR241326M5-10.00GM-22KT-YG-8 INCH"/>
    <x v="0"/>
    <s v="G-NA-91.80-YG"/>
    <n v="9.89"/>
    <n v="9.0790000000000006"/>
    <n v="0"/>
    <n v="9.0790000000000006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IBR251232M10-18.50GM-22KT-YG-8 INCH"/>
    <x v="0"/>
    <s v="G-NA-91.80-YG"/>
    <n v="18.518000000000001"/>
    <n v="16.999500000000001"/>
    <n v="0"/>
    <n v="16.999500000000001"/>
    <s v="RC-STOCK-ORD-200008"/>
    <s v="RC-STOCK-ORD-200008"/>
    <s v="ANAND GAIKWAD"/>
    <d v="2026-06-20T15:03:36"/>
    <x v="27"/>
    <s v="Indigo Bracelets"/>
  </r>
  <r>
    <d v="2026-06-20T00:00:00"/>
    <s v="SR-INV-AST/26-27/2756"/>
    <s v="INV"/>
    <m/>
    <s v="Royal Chain Private Limited"/>
    <m/>
    <s v="STYLE"/>
    <s v="STYLE"/>
    <n v="0.91800000000000004"/>
    <s v="IBR241326M5-10.00GM-22KT-YG-8 INCH"/>
    <x v="0"/>
    <s v="G-NA-91.80-YG"/>
    <n v="10.407"/>
    <n v="9.5535999999999994"/>
    <n v="0"/>
    <n v="9.5535999999999994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IBR241326M8-16.00GM-22KT-YG-8 INCH"/>
    <x v="0"/>
    <s v="G-NA-91.80-YG"/>
    <n v="25.08"/>
    <n v="23.023399999999999"/>
    <n v="0"/>
    <n v="23.023399999999999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IBR241326M8-16.00GM-22KT-YG-8 INCH"/>
    <x v="0"/>
    <s v="G-NA-91.80-YG"/>
    <n v="25.416"/>
    <n v="23.331900000000001"/>
    <n v="0"/>
    <n v="23.331900000000001"/>
    <s v="RC-STOCK-ORD-200008"/>
    <s v="RC-STOCK-ORD-200008"/>
    <s v="ANAND GAIKWAD"/>
    <d v="2026-06-20T15:03:36"/>
    <x v="7"/>
    <s v="Indigo Bracelets"/>
  </r>
  <r>
    <d v="2026-06-20T00:00:00"/>
    <s v="SR-INV-AST/26-27/2756"/>
    <s v="INV"/>
    <m/>
    <s v="Royal Chain Private Limited"/>
    <m/>
    <s v="STYLE"/>
    <s v="STYLE"/>
    <n v="0.91800000000000004"/>
    <s v="CUCH24664M6-23.00GM-22KT-YG-20 INCH"/>
    <x v="0"/>
    <s v="G-NA-91.80-YG"/>
    <n v="22.481000000000002"/>
    <n v="20.637599999999999"/>
    <n v="0"/>
    <n v="20.637599999999999"/>
    <s v="RC-STOCK-ORD-200007"/>
    <s v="RC-STOCK-ORD-200007"/>
    <s v="ANAND GAIKWAD"/>
    <d v="2026-06-20T15:03:36"/>
    <x v="4"/>
    <s v="Indigo Chains"/>
  </r>
  <r>
    <d v="2026-06-20T00:00:00"/>
    <s v="SR-INV-AST/26-27/2756"/>
    <s v="INV"/>
    <m/>
    <s v="Royal Chain Private Limited"/>
    <m/>
    <s v="STYLE"/>
    <s v="STYLE"/>
    <n v="0.91800000000000004"/>
    <s v="CUCH24664M7-31.00GM-22KT-YG-22 INCH"/>
    <x v="0"/>
    <s v="G-NA-91.80-YG"/>
    <n v="30.210999999999999"/>
    <n v="27.733699999999999"/>
    <n v="0"/>
    <n v="27.733699999999999"/>
    <s v="RC-STOCK-ORD-200007"/>
    <s v="RC-STOCK-ORD-200007"/>
    <s v="ANAND GAIKWAD"/>
    <d v="2026-06-20T15:03:36"/>
    <x v="4"/>
    <s v="Indigo Chains"/>
  </r>
  <r>
    <d v="2026-06-20T00:00:00"/>
    <s v="SR-INV-AST/26-27/2755"/>
    <s v="INV"/>
    <m/>
    <s v="TITAN"/>
    <m/>
    <s v="STYLE"/>
    <s v="STYLE"/>
    <n v="0.91600000000000004"/>
    <s v="TQER24087-4.00GM-22KT-YG-NA"/>
    <x v="0"/>
    <s v="G-NA-91.60-YG"/>
    <n v="3.8663E-3"/>
    <n v="3.5000000000000001E-3"/>
    <n v="0"/>
    <n v="3.5000000000000001E-3"/>
    <s v="CR-TT-160526"/>
    <s v="  (DC-NO-ROYL10140  TRANSF NO -32385829  )"/>
    <s v="KAILASH-KUMAR"/>
    <d v="2026-06-20T14:56:46"/>
    <x v="30"/>
    <s v="Orant Earrings"/>
  </r>
  <r>
    <d v="2026-06-20T00:00:00"/>
    <s v="SR-INV-AST/26-27/2755"/>
    <s v="INV"/>
    <m/>
    <s v="TITAN"/>
    <m/>
    <s v="STYLE"/>
    <s v="STYLE"/>
    <n v="0.91600000000000004"/>
    <s v="TQER24087-4.00GM-22KT-YG-NA"/>
    <x v="0"/>
    <s v="G-NA-91.60-YG"/>
    <n v="4.4701336999999999"/>
    <n v="4.0945999999999998"/>
    <n v="0"/>
    <n v="4.0945999999999998"/>
    <s v="CR-TT-160526"/>
    <s v="  (DC-NO-ROYL10140  TRANSF NO -32385829  )"/>
    <s v="KAILASH-KUMAR"/>
    <d v="2026-06-20T14:56:46"/>
    <x v="30"/>
    <s v="Orant Earrings"/>
  </r>
  <r>
    <d v="2026-06-20T00:00:00"/>
    <s v="SR-INV-AST/26-27/2754"/>
    <s v="INV"/>
    <m/>
    <s v="Royal Chain Private Limited"/>
    <m/>
    <s v="STYLE"/>
    <s v="STYLE"/>
    <n v="0.75"/>
    <s v="ICH23476M2.5-13.00GM-18KT-YG-20 INCH"/>
    <x v="1"/>
    <s v="G-NA-75.00-YG"/>
    <n v="11.512"/>
    <n v="8.6340000000000003"/>
    <n v="0"/>
    <n v="8.6340000000000003"/>
    <s v="RC-3348/3/CUST/ORD"/>
    <s v="RC-3348/3/CUST/ORD"/>
    <s v="ANAND GAIKWAD"/>
    <d v="2026-06-20T14:46:07"/>
    <x v="28"/>
    <s v="Indigo Chains"/>
  </r>
  <r>
    <d v="2026-06-20T00:00:00"/>
    <s v="SR-INV-AST/26-27/2754"/>
    <s v="INV"/>
    <m/>
    <s v="Royal Chain Private Limited"/>
    <m/>
    <s v="STYLE"/>
    <s v="STYLE"/>
    <n v="0.75"/>
    <s v="ICH241942M2.25-15.00GM-18KT-YG-20 INCH"/>
    <x v="1"/>
    <s v="G-NA-75.00-YG"/>
    <n v="15.034000000000001"/>
    <n v="11.275499999999999"/>
    <n v="0"/>
    <n v="11.275499999999999"/>
    <s v="RC-STOCK-13062026"/>
    <s v="RC-STOCK-13062026 HM DONE"/>
    <s v="ANAND GAIKWAD"/>
    <d v="2026-06-20T14:46:07"/>
    <x v="7"/>
    <s v="Indigo Chains"/>
  </r>
  <r>
    <d v="2026-06-20T00:00:00"/>
    <s v="SR-INV-AST/26-27/2754"/>
    <s v="INV"/>
    <m/>
    <s v="Royal Chain Private Limited"/>
    <m/>
    <s v="STYLE"/>
    <s v="STYLE"/>
    <n v="0.75"/>
    <s v="ICH241942M2.25-15.00GM-18KT-YG-20 INCH"/>
    <x v="1"/>
    <s v="G-NA-75.00-YG"/>
    <n v="14.987"/>
    <n v="11.2403"/>
    <n v="0"/>
    <n v="11.2403"/>
    <s v="RC-STOCK-13062026"/>
    <s v="RC-STOCK-13062026 HM DONE"/>
    <s v="ANAND GAIKWAD"/>
    <d v="2026-06-20T14:46:07"/>
    <x v="7"/>
    <s v="Indigo Chains"/>
  </r>
  <r>
    <d v="2026-06-20T00:00:00"/>
    <s v="SR-INV-AST/26-27/2754"/>
    <s v="INV"/>
    <m/>
    <s v="Royal Chain Private Limited"/>
    <m/>
    <s v="STYLE"/>
    <s v="STYLE"/>
    <n v="0.75"/>
    <s v="CBR25344M7-12.00GM-18KT-YG-8 INCH"/>
    <x v="1"/>
    <s v="G-NA-75.00-YG"/>
    <n v="11.651999999999999"/>
    <n v="8.7390000000000008"/>
    <n v="0"/>
    <n v="8.7390000000000008"/>
    <s v="RC-3349/CUST/ORD"/>
    <s v="RC-3349/CUST/ORD"/>
    <s v="ANAND GAIKWAD"/>
    <d v="2026-06-20T14:46:07"/>
    <x v="4"/>
    <s v="Cuban Bracelets"/>
  </r>
  <r>
    <d v="2026-06-20T00:00:00"/>
    <s v="SR-INV-AST/26-27/2754"/>
    <s v="INV"/>
    <m/>
    <s v="Royal Chain Private Limited"/>
    <m/>
    <s v="STYLE"/>
    <s v="STYLE"/>
    <n v="0.75"/>
    <s v="CBR25344M7-12.00GM-18KT-YG-8 INCH"/>
    <x v="1"/>
    <s v="G-NA-75.00-YG"/>
    <n v="11.574999999999999"/>
    <n v="8.6813000000000002"/>
    <n v="0"/>
    <n v="8.6813000000000002"/>
    <s v="RC-3349/CUST/ORD"/>
    <s v="RC-3349/CUST/ORD"/>
    <s v="ANAND GAIKWAD"/>
    <d v="2026-06-20T14:46:07"/>
    <x v="4"/>
    <s v="Cuban Bracelets"/>
  </r>
  <r>
    <d v="2026-06-20T00:00:00"/>
    <s v="SR-INV-AST/26-27/2754"/>
    <s v="INV"/>
    <m/>
    <s v="Royal Chain Private Limited"/>
    <m/>
    <s v="STYLE"/>
    <s v="STYLE"/>
    <n v="0.75"/>
    <s v="ICH241942M2.25-15.00GM-18KT-YG-20 INCH"/>
    <x v="1"/>
    <s v="G-NA-75.00-YG"/>
    <n v="14.731"/>
    <n v="11.048299999999999"/>
    <n v="0"/>
    <n v="11.048299999999999"/>
    <s v="RC-STOCK-13062026"/>
    <s v="RC-STOCK-13062026 HM DONE"/>
    <s v="ANAND GAIKWAD"/>
    <d v="2026-06-20T14:46:07"/>
    <x v="7"/>
    <s v="Indigo Chains"/>
  </r>
  <r>
    <d v="2026-06-20T00:00:00"/>
    <s v="SR-INV-AST/26-27/2754"/>
    <s v="INV"/>
    <m/>
    <s v="Royal Chain Private Limited"/>
    <m/>
    <s v="STYLE"/>
    <s v="STYLE"/>
    <n v="0.75"/>
    <s v="ICH241942M2.25-15.00GM-18KT-YG-20 INCH"/>
    <x v="1"/>
    <s v="G-NA-75.00-YG"/>
    <n v="14.355"/>
    <n v="10.766299999999999"/>
    <n v="0"/>
    <n v="10.766299999999999"/>
    <s v="RC-STOCK-13062026"/>
    <s v="RC-STOCK-13062026 HM DONE"/>
    <s v="ANAND GAIKWAD"/>
    <d v="2026-06-20T14:46:07"/>
    <x v="7"/>
    <s v="Indigo Chains"/>
  </r>
  <r>
    <d v="2026-06-20T00:00:00"/>
    <s v="SR-INV-AST/26-27/2754"/>
    <s v="INV"/>
    <m/>
    <s v="Royal Chain Private Limited"/>
    <m/>
    <s v="STYLE"/>
    <s v="STYLE"/>
    <n v="0.75"/>
    <s v="ICH241942M2.25-15.00GM-18KT-YG-20 INCH"/>
    <x v="1"/>
    <s v="G-NA-75.00-YG"/>
    <n v="14.602"/>
    <n v="10.951499999999999"/>
    <n v="0"/>
    <n v="10.951499999999999"/>
    <s v="RC-STOCK-13062026"/>
    <s v="RC-STOCK-13062026 HM DONE"/>
    <s v="ANAND GAIKWAD"/>
    <d v="2026-06-20T14:46:07"/>
    <x v="7"/>
    <s v="Indigo Chains"/>
  </r>
  <r>
    <d v="2026-06-20T00:00:00"/>
    <s v="SR-INV-AST/26-27/2754"/>
    <s v="INV"/>
    <m/>
    <s v="Royal Chain Private Limited"/>
    <m/>
    <s v="STYLE"/>
    <s v="STYLE"/>
    <n v="0.75"/>
    <s v="ICH4803-3MM-22.00GM-18KT-RG-20 INCH"/>
    <x v="1"/>
    <s v="G-NA-75.00-RG"/>
    <n v="19.937999999999999"/>
    <n v="14.9535"/>
    <n v="0"/>
    <n v="14.9535"/>
    <s v="RC-3347/2/CUST/ORD"/>
    <s v="RC-3347/2/CUST/ORD"/>
    <s v="ANAND GAIKWAD"/>
    <d v="2026-06-20T14:46:07"/>
    <x v="28"/>
    <s v="Indigo Chains"/>
  </r>
  <r>
    <d v="2026-06-20T00:00:00"/>
    <s v="SR-INV-AST/26-27/2754"/>
    <s v="INV"/>
    <m/>
    <s v="Royal Chain Private Limited"/>
    <m/>
    <s v="STYLE"/>
    <s v="STYLE"/>
    <n v="0.75"/>
    <s v="ICH4803-3MM-24.00GM-18KT-RG-22 INCH"/>
    <x v="1"/>
    <s v="G-NA-75.00-RG"/>
    <n v="24.321000000000002"/>
    <n v="18.2408"/>
    <n v="0"/>
    <n v="18.2408"/>
    <s v="RC-3347/2/CUST/ORD"/>
    <s v="RC-3347/2/CUST/ORD"/>
    <s v="ANAND GAIKWAD"/>
    <d v="2026-06-20T14:46:07"/>
    <x v="28"/>
    <s v="Indigo Chains"/>
  </r>
  <r>
    <d v="2026-06-20T00:00:00"/>
    <s v="SR-INV-AST/26-27/2754"/>
    <s v="INV"/>
    <m/>
    <s v="Royal Chain Private Limited"/>
    <m/>
    <s v="STYLE"/>
    <s v="STYLE"/>
    <n v="0.75"/>
    <s v="ICH4803-3MM-22.00GM-18KT-RG-20 INCH"/>
    <x v="1"/>
    <s v="G-NA-75.00-RG"/>
    <n v="19.768000000000001"/>
    <n v="14.826000000000001"/>
    <n v="0"/>
    <n v="14.826000000000001"/>
    <s v="RC-3347/2/CUST/ORD"/>
    <s v="RC-3347/2/CUST/ORD"/>
    <s v="ANAND GAIKWAD"/>
    <d v="2026-06-20T14:46:07"/>
    <x v="28"/>
    <s v="Indigo Chains"/>
  </r>
  <r>
    <d v="2026-06-20T00:00:00"/>
    <s v="SR-INV-AST/26-27/2754"/>
    <s v="INV"/>
    <m/>
    <s v="Royal Chain Private Limited"/>
    <m/>
    <s v="STYLE"/>
    <s v="STYLE"/>
    <n v="0.75"/>
    <s v="ICH4803-3MM-24.00GM-18KT-RG-22 INCH"/>
    <x v="1"/>
    <s v="G-NA-75.00-RG"/>
    <n v="25.376999999999999"/>
    <n v="19.032800000000002"/>
    <n v="0"/>
    <n v="19.032800000000002"/>
    <s v="RC-3347/2/CUST/ORD"/>
    <s v="RC-3347/2/CUST/ORD"/>
    <s v="ANAND GAIKWAD"/>
    <d v="2026-06-20T14:46:07"/>
    <x v="28"/>
    <s v="Indigo Chains"/>
  </r>
  <r>
    <d v="2026-06-20T00:00:00"/>
    <s v="SR-INV-AST/26-27/2754"/>
    <s v="INV"/>
    <m/>
    <s v="Royal Chain Private Limited"/>
    <m/>
    <s v="STYLE"/>
    <s v="STYLE"/>
    <n v="0.75"/>
    <s v="IGCC23832-21.00GM-18KT-RG-20 INCH"/>
    <x v="1"/>
    <s v="G-NA-75.00-RG"/>
    <n v="20.664000000000001"/>
    <n v="15.497999999999999"/>
    <n v="0"/>
    <n v="15.497999999999999"/>
    <s v="RC-3348/CUST/ORD"/>
    <s v="RC-3348/CUST/ORD"/>
    <s v="ANAND GAIKWAD"/>
    <d v="2026-06-20T14:46:07"/>
    <x v="27"/>
    <s v="Indigo Chains"/>
  </r>
  <r>
    <d v="2026-06-20T00:00:00"/>
    <s v="SR-INV-AST/26-27/2754"/>
    <s v="INV"/>
    <m/>
    <s v="Royal Chain Private Limited"/>
    <m/>
    <s v="STYLE"/>
    <s v="STYLE"/>
    <n v="0.75"/>
    <s v="ICH4803-3MM-24.00GM-18KT-RG-22 INCH"/>
    <x v="1"/>
    <s v="G-NA-75.00-RG"/>
    <n v="25.302"/>
    <n v="18.976500000000001"/>
    <n v="0"/>
    <n v="18.976500000000001"/>
    <s v="RC-3347/2/CUST/ORD"/>
    <s v="RC-3347/2/CUST/ORD"/>
    <s v="ANAND GAIKWAD"/>
    <d v="2026-06-20T14:46:07"/>
    <x v="28"/>
    <s v="Indigo Chain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d v="2026-06-20T00:00:00"/>
    <s v="SR-GRN-GRN/26-27/989"/>
    <x v="0"/>
    <m/>
    <x v="0"/>
    <s v="PG-NA-99.50-YG"/>
    <n v="563.88"/>
    <n v="0"/>
    <n v="561.06060000000002"/>
    <n v="561.06060000000002"/>
    <s v="DVM AQUA/TAX INVOICE NO = SG/26-27/519  = 995 METAL"/>
    <x v="0"/>
  </r>
  <r>
    <d v="2026-06-20T00:00:00"/>
    <s v="SR-GRN-GRN/26-27/988"/>
    <x v="1"/>
    <m/>
    <x v="0"/>
    <s v="PG-NA-99.50-YG"/>
    <n v="1000"/>
    <n v="0"/>
    <n v="995"/>
    <n v="995"/>
    <s v="TITAN/DC NO =500579643/ 995 METAL(ANDHERI)"/>
    <x v="1"/>
  </r>
  <r>
    <d v="2026-06-20T00:00:00"/>
    <s v="SR-GRN-GRN/26-27/987"/>
    <x v="2"/>
    <m/>
    <x v="0"/>
    <s v="PG-NA-99.90-YG"/>
    <n v="1500"/>
    <n v="0"/>
    <n v="1498.5"/>
    <n v="1498.5"/>
    <s v="ARK/ JOB WORK ISSUE / DELIVERY CHALLAN NO-IS/60 / 999 METAL"/>
    <x v="2"/>
  </r>
  <r>
    <d v="2026-06-20T00:00:00"/>
    <s v="SR-GRN-GRN/26-27/986"/>
    <x v="3"/>
    <s v="VERONA CHAIN-20.00GM-22KT-YG-MS"/>
    <x v="1"/>
    <s v="G-NA-91.80-YG"/>
    <n v="72.617999999999995"/>
    <n v="2.25"/>
    <n v="66.663300000000007"/>
    <n v="68.297200000000004"/>
    <s v="AJ/DEBIT NOTE NO = DG-19/RETURN /SG-408/D TO OFFICE"/>
    <x v="3"/>
  </r>
  <r>
    <d v="2026-06-20T00:00:00"/>
    <s v="SR-GRN-GRN/26-27/985"/>
    <x v="4"/>
    <s v="TLK-015-7.50GM-22KT-YG-2.40 ANNA"/>
    <x v="1"/>
    <s v="G-NA-91.80-YG"/>
    <n v="7.3789999999999996"/>
    <n v="0"/>
    <n v="6.7739000000000003"/>
    <n v="6.7739000000000003"/>
    <s v="AJ/REPAIRING VCH NO = IA-112/SLIP NO = 917/REGULAR RHODIUM KARNA HAI"/>
    <x v="4"/>
  </r>
  <r>
    <d v="2026-06-20T00:00:00"/>
    <s v="SR-GRN-GRN/26-27/985"/>
    <x v="4"/>
    <s v="TLK-015-7.50GM-22KT-YG-2.40 ANNA"/>
    <x v="1"/>
    <s v="G-NA-91.80-YG"/>
    <n v="7.4889999999999999"/>
    <n v="0"/>
    <n v="6.8749000000000002"/>
    <n v="6.8749000000000002"/>
    <s v="AJ/REPAIRING VCH NO = IA-112/SLIP NO = 917/REGULAR RHODIUM KARNA HAI"/>
    <x v="4"/>
  </r>
  <r>
    <d v="2026-06-20T00:00:00"/>
    <s v="SR-GRN-GRN/26-27/985"/>
    <x v="4"/>
    <s v="TLK-017-6.50GM-22KT-YG-2.40 ANNA"/>
    <x v="1"/>
    <s v="G-NA-91.80-YG"/>
    <n v="6.3659999999999997"/>
    <n v="0"/>
    <n v="5.8440000000000003"/>
    <n v="5.8440000000000003"/>
    <s v="AJ/REPAIRING VCH NO = IA-112/SLIP NO = 917/REGULAR RHODIUM KARNA HAI"/>
    <x v="4"/>
  </r>
  <r>
    <d v="2026-06-20T00:00:00"/>
    <s v="SR-GRN-GRN/26-27/985"/>
    <x v="4"/>
    <s v="TLK-013-7.00GM-22KT-YG-2.40 ANNA"/>
    <x v="1"/>
    <s v="G-NA-91.80-YG"/>
    <n v="7.202"/>
    <n v="0"/>
    <n v="6.6113999999999997"/>
    <n v="6.6113999999999997"/>
    <s v="AJ/REPAIRING VCH NO = IA-112/SLIP NO = 917/REGULAR RHODIUM KARNA HAI"/>
    <x v="4"/>
  </r>
  <r>
    <d v="2026-06-20T00:00:00"/>
    <s v="SR-GRN-GRN/26-27/985"/>
    <x v="4"/>
    <s v="TLK-012-6.50GM-22KT-YG-2.40 ANNA"/>
    <x v="1"/>
    <s v="G-NA-91.80-YG"/>
    <n v="5.6189999999999998"/>
    <n v="0"/>
    <n v="5.1581999999999999"/>
    <n v="5.1581999999999999"/>
    <s v="AJ/REPAIRING VCH NO = IA-112/SLIP NO = 917/REGULAR RHODIUM KARNA HAI"/>
    <x v="4"/>
  </r>
  <r>
    <d v="2026-06-20T00:00:00"/>
    <s v="SR-GRN-GRN/26-27/985"/>
    <x v="4"/>
    <s v="TLK-012-6.50GM-22KT-YG-2.40 ANNA"/>
    <x v="1"/>
    <s v="G-NA-91.80-YG"/>
    <n v="6.077"/>
    <n v="0"/>
    <n v="5.5787000000000004"/>
    <n v="5.5787000000000004"/>
    <s v="AJ/REPAIRING VCH NO = IA-112/SLIP NO = 917/REGULAR RHODIUM KARNA HAI"/>
    <x v="4"/>
  </r>
  <r>
    <d v="2026-06-20T00:00:00"/>
    <s v="SR-GRN-GRN/26-27/985"/>
    <x v="4"/>
    <s v="TLK-016-6.00GM-22KT-YG-2.40 ANNA"/>
    <x v="1"/>
    <s v="G-NA-91.80-YG"/>
    <n v="6.3769999999999998"/>
    <n v="0"/>
    <n v="5.8540999999999999"/>
    <n v="5.8540999999999999"/>
    <s v="AJ/REPAIRING VCH NO = IA-112/SLIP NO = 917/REGULAR RHODIUM KARNA HAI"/>
    <x v="4"/>
  </r>
  <r>
    <d v="2026-06-20T00:00:00"/>
    <s v="SR-GRN-GRN/26-27/985"/>
    <x v="4"/>
    <s v="TLK-016-6.00GM-22KT-YG-2.40 ANNA"/>
    <x v="1"/>
    <s v="G-NA-91.80-YG"/>
    <n v="6.2480000000000002"/>
    <n v="0"/>
    <n v="5.7356999999999996"/>
    <n v="5.7356999999999996"/>
    <s v="AJ/REPAIRING VCH NO = IA-112/SLIP NO = 917/REGULAR RHODIUM KARNA HAI"/>
    <x v="4"/>
  </r>
  <r>
    <d v="2026-06-20T00:00:00"/>
    <s v="SR-GRN-GRN/26-27/985"/>
    <x v="4"/>
    <s v="TLK-017-6.50GM-22KT-YG-2.40 ANNA"/>
    <x v="1"/>
    <s v="G-NA-91.80-YG"/>
    <n v="6.181"/>
    <n v="0"/>
    <n v="5.6741999999999999"/>
    <n v="5.6741999999999999"/>
    <s v="AJ/REPAIRING VCH NO = IA-112/SLIP NO = 917/REGULAR RHODIUM KARNA HAI"/>
    <x v="4"/>
  </r>
  <r>
    <d v="2026-06-20T00:00:00"/>
    <s v="SR-GRN-GRN/26-27/985"/>
    <x v="4"/>
    <s v="TLK-010-6.00GM-22KT-YG-2.40 ANNA"/>
    <x v="1"/>
    <s v="G-NA-91.80-YG"/>
    <n v="6.0819999999999999"/>
    <n v="0"/>
    <n v="5.5833000000000004"/>
    <n v="5.5833000000000004"/>
    <s v="AJ/REPAIRING VCH NO = IA-112/SLIP NO = 917/REGULAR RHODIUM KARNA HAI"/>
    <x v="4"/>
  </r>
  <r>
    <d v="2026-06-20T00:00:00"/>
    <s v="SR-GRN-GRN/26-27/985"/>
    <x v="4"/>
    <s v="TLK-014-7.00GM-22KT-YG-2.40 ANNA"/>
    <x v="1"/>
    <s v="G-NA-91.80-YG"/>
    <n v="6.8410000000000002"/>
    <n v="0"/>
    <n v="6.28"/>
    <n v="6.28"/>
    <s v="AJ/REPAIRING VCH NO = IA-112/SLIP NO = 917/REGULAR RHODIUM KARNA HAI"/>
    <x v="4"/>
  </r>
  <r>
    <d v="2026-06-20T00:00:00"/>
    <s v="SR-GRN-GRN/26-27/985"/>
    <x v="4"/>
    <s v="TLK-006-7.00GM-22KT-YG-2.40 ANNA"/>
    <x v="1"/>
    <s v="G-NA-91.80-YG"/>
    <n v="7.2510000000000003"/>
    <n v="0"/>
    <n v="6.6563999999999997"/>
    <n v="6.6563999999999997"/>
    <s v="AJ/REPAIRING VCH NO = IA-112/SLIP NO = 917/REGULAR RHODIUM KARNA HAI"/>
    <x v="4"/>
  </r>
  <r>
    <d v="2026-06-20T00:00:00"/>
    <s v="SR-GRN-GRN/26-27/985"/>
    <x v="4"/>
    <s v="TLK-013-7.00GM-22KT-YG-2.40 ANNA"/>
    <x v="1"/>
    <s v="G-NA-91.80-YG"/>
    <n v="6.9580000000000002"/>
    <n v="0"/>
    <n v="6.3874000000000004"/>
    <n v="6.3874000000000004"/>
    <s v="AJ/REPAIRING VCH NO = IA-112/SLIP NO = 917/REGULAR RHODIUM KARNA HAI"/>
    <x v="4"/>
  </r>
  <r>
    <d v="2026-06-20T00:00:00"/>
    <s v="SR-GRN-GRN/26-27/985"/>
    <x v="4"/>
    <s v="TLK-010-6.00GM-22KT-YG-2.40 ANNA"/>
    <x v="1"/>
    <s v="G-NA-91.80-YG"/>
    <n v="5.6959999999999997"/>
    <n v="0"/>
    <n v="5.2289000000000003"/>
    <n v="5.2289000000000003"/>
    <s v="AJ/REPAIRING VCH NO = IA-112/SLIP NO = 917/REGULAR RHODIUM KARNA HAI"/>
    <x v="4"/>
  </r>
  <r>
    <d v="2026-06-20T00:00:00"/>
    <s v="SR-GRN-GRN/26-27/985"/>
    <x v="4"/>
    <s v="TLK-014-7.00GM-22KT-YG-2.40 ANNA"/>
    <x v="1"/>
    <s v="G-NA-91.80-YG"/>
    <n v="6.516"/>
    <n v="0"/>
    <n v="5.9817"/>
    <n v="5.9817"/>
    <s v="AJ/REPAIRING VCH NO = IA-112/SLIP NO = 917/REGULAR RHODIUM KARNA HAI"/>
    <x v="4"/>
  </r>
  <r>
    <d v="2026-06-20T00:00:00"/>
    <s v="SR-GRN-GRN/26-27/985"/>
    <x v="4"/>
    <s v="TLK-014-7.00GM-22KT-YG-2.40 ANNA"/>
    <x v="1"/>
    <s v="G-NA-91.80-YG"/>
    <n v="6.5819999999999999"/>
    <n v="0"/>
    <n v="6.0423"/>
    <n v="6.0423"/>
    <s v="AJ/REPAIRING VCH NO = IA-112/SLIP NO = 917/REGULAR RHODIUM KARNA HAI"/>
    <x v="4"/>
  </r>
  <r>
    <d v="2026-06-20T00:00:00"/>
    <s v="SR-GRN-GRN/26-27/985"/>
    <x v="4"/>
    <s v="TLK-011-7.00GM-22KT-YG-2.40 ANNA"/>
    <x v="1"/>
    <s v="G-NA-91.80-YG"/>
    <n v="6.8209999999999997"/>
    <n v="0"/>
    <n v="6.2617000000000003"/>
    <n v="6.2617000000000003"/>
    <s v="AJ/REPAIRING VCH NO = IA-112/SLIP NO = 917/REGULAR RHODIUM KARNA HAI"/>
    <x v="4"/>
  </r>
  <r>
    <d v="2026-06-20T00:00:00"/>
    <s v="SR-GRN-GRN/26-27/985"/>
    <x v="4"/>
    <s v="TLK-007-6.50GM-22KT-YG-2.40 ANNA"/>
    <x v="1"/>
    <s v="G-NA-91.80-YG"/>
    <n v="6.3789999999999996"/>
    <n v="0"/>
    <n v="5.8559000000000001"/>
    <n v="5.8559000000000001"/>
    <s v="AJ/REPAIRING VCH NO = IA-112/SLIP NO = 917/REGULAR RHODIUM KARNA HAI"/>
    <x v="4"/>
  </r>
  <r>
    <d v="2026-06-20T00:00:00"/>
    <s v="SR-GRN-GRN/26-27/984"/>
    <x v="5"/>
    <s v="MIX-ITEMS-50.00GM-18KT-RG-NA"/>
    <x v="2"/>
    <s v="G-NA-75.00-RG"/>
    <n v="0.24099999999999999"/>
    <n v="0"/>
    <n v="0.18079999999999999"/>
    <n v="0.18079999999999999"/>
    <s v="RC/OG-93"/>
    <x v="5"/>
  </r>
  <r>
    <d v="2026-06-20T00:00:00"/>
    <s v="SR-GRN-GRN/26-27/983"/>
    <x v="4"/>
    <s v="TRNKS251588-14.00GM-22KT-YG-8 INCH"/>
    <x v="1"/>
    <s v="G-NA-91.80-YG"/>
    <n v="14.553000000000001"/>
    <n v="0"/>
    <n v="13.3597"/>
    <n v="13.3597"/>
    <s v="AJ/REPAIRING VCH NO = IA-112/SLIP NO= 916/RHODIUM KARNA HAI"/>
    <x v="4"/>
  </r>
  <r>
    <d v="2026-06-20T00:00:00"/>
    <s v="SR-GRN-GRN/26-27/983"/>
    <x v="4"/>
    <s v="ONKS25152A-13.00GM-22KT-YG-8 INCH"/>
    <x v="1"/>
    <s v="G-NA-91.80-YG"/>
    <n v="12.725"/>
    <n v="0"/>
    <n v="11.6816"/>
    <n v="11.6816"/>
    <s v="AJ/REPAIRING VCH NO = IA-112/SLIP NO= 916/RHODIUM KARNA HAI"/>
    <x v="4"/>
  </r>
  <r>
    <d v="2026-06-20T00:00:00"/>
    <s v="SR-GRN-GRN/26-27/983"/>
    <x v="4"/>
    <s v="OOK241615-11.00GM-22KT-YG-2.30 ANNA"/>
    <x v="1"/>
    <s v="G-NA-91.80-YG"/>
    <n v="9.23"/>
    <n v="0"/>
    <n v="8.4731000000000005"/>
    <n v="8.4731000000000005"/>
    <s v="AJ/REPAIRING VCH NO = IA-112/SLIP NO= 916/RHODIUM KARNA HAI"/>
    <x v="4"/>
  </r>
  <r>
    <d v="2026-06-20T00:00:00"/>
    <s v="SR-GRN-GRN/26-27/983"/>
    <x v="4"/>
    <s v="ONKS25147A-13.00GM-22KT-YG-8 INCH"/>
    <x v="1"/>
    <s v="G-NA-91.80-YG"/>
    <n v="13.172000000000001"/>
    <n v="0"/>
    <n v="12.091900000000001"/>
    <n v="12.091900000000001"/>
    <s v="AJ/REPAIRING VCH NO = IA-112/SLIP NO= 916/RHODIUM KARNA HAI"/>
    <x v="4"/>
  </r>
  <r>
    <d v="2026-06-20T00:00:00"/>
    <s v="SR-GRN-GRN/26-27/983"/>
    <x v="4"/>
    <s v="OOK241616-11.00GM-22KT-YG-2.30 ANNA"/>
    <x v="1"/>
    <s v="G-NA-91.80-YG"/>
    <n v="11.428000000000001"/>
    <n v="0"/>
    <n v="10.4909"/>
    <n v="10.4909"/>
    <s v="AJ/REPAIRING VCH NO = IA-112/SLIP NO= 916/RHODIUM KARNA HAI"/>
    <x v="4"/>
  </r>
  <r>
    <d v="2026-06-20T00:00:00"/>
    <s v="SR-GRN-GRN/26-27/983"/>
    <x v="4"/>
    <s v="OOK241618-12.00GM-22KT-YG-2.30 ANNA"/>
    <x v="1"/>
    <s v="G-NA-91.80-YG"/>
    <n v="11.544"/>
    <n v="0"/>
    <n v="10.5974"/>
    <n v="10.5974"/>
    <s v="AJ/REPAIRING VCH NO = IA-112/SLIP NO= 916/RHODIUM KARNA HAI"/>
    <x v="4"/>
  </r>
  <r>
    <d v="2026-06-20T00:00:00"/>
    <s v="SR-GRN-GRN/26-27/982"/>
    <x v="6"/>
    <s v="MIX-CHAIN-40.00GM-22KT-YG-NA"/>
    <x v="1"/>
    <s v="G-NA-91.80-YG"/>
    <n v="854.02"/>
    <n v="0"/>
    <n v="783.99040000000002"/>
    <n v="783.99040000000002"/>
    <s v="MALABAR/ON APPROVAL DC NO = 10AIR000108763/ SAMPLE RETURN"/>
    <x v="6"/>
  </r>
  <r>
    <d v="2026-06-20T00:00:00"/>
    <s v="SR-GRN-GRN/26-27/981"/>
    <x v="7"/>
    <s v="MIX-CHAIN-40.00GM-22KT-YG-NA"/>
    <x v="1"/>
    <s v="G-NA-91.80-YG"/>
    <n v="729.49"/>
    <n v="0"/>
    <n v="669.67179999999996"/>
    <n v="669.67179999999996"/>
    <s v="RC/OG-93/ GIVE TO OMKAR BHAI"/>
    <x v="7"/>
  </r>
  <r>
    <d v="2026-06-20T00:00:00"/>
    <s v="SR-GRN-GRN/26-27/981"/>
    <x v="7"/>
    <s v="MIX-CHAIN-40.00GM-22KT-YG-NA"/>
    <x v="1"/>
    <s v="G-NA-91.80-YG"/>
    <n v="7.49"/>
    <n v="0"/>
    <n v="6.8757999999999999"/>
    <n v="6.8757999999999999"/>
    <s v="RC/OG-93/ MELT"/>
    <x v="7"/>
  </r>
  <r>
    <d v="2026-06-20T00:00:00"/>
    <s v="SR-GRN-GRN/26-27/981"/>
    <x v="7"/>
    <s v="MIX-CHAIN-40.00GM-22KT-YG-NA"/>
    <x v="1"/>
    <s v="G-NA-91.80-YG"/>
    <n v="253.31"/>
    <n v="0"/>
    <n v="232.5386"/>
    <n v="232.5386"/>
    <s v="RC/OG-93/ GIVE TO OMKAR BHAI"/>
    <x v="7"/>
  </r>
  <r>
    <d v="2026-06-20T00:00:00"/>
    <s v="SR-GRN-GRN/26-27/980"/>
    <x v="0"/>
    <s v="KADA-20.00GM-18KT-YG-NA"/>
    <x v="2"/>
    <s v="G-NA-75.00-YG"/>
    <n v="8.5500000000000007"/>
    <n v="3"/>
    <n v="6.4124999999999996"/>
    <n v="6.6689999999999996"/>
    <s v="DVM AQUA/DEBIT NOTE NO = 44 / LOCK REPAIR KARNA HAI"/>
    <x v="0"/>
  </r>
  <r>
    <d v="2026-06-20T00:00:00"/>
    <s v="SR-GRN-GRN/26-27/979"/>
    <x v="4"/>
    <s v="SCRAP-22KT-NA---NA"/>
    <x v="1"/>
    <s v="G-NA-91.80-YG"/>
    <n v="168.12"/>
    <n v="0"/>
    <n v="154.33420000000001"/>
    <n v="154.33420000000001"/>
    <s v="AJ/REPAIRING VCH NO = IA-110/ RETURN FOR MELT"/>
    <x v="4"/>
  </r>
  <r>
    <d v="2026-06-20T00:00:00"/>
    <s v="SR-GRN-GRN/26-27/978"/>
    <x v="7"/>
    <s v="MIX-CHAIN-40.00GM-18KT-RG-NA"/>
    <x v="2"/>
    <s v="G-NA-75.00-RG"/>
    <n v="12"/>
    <n v="0"/>
    <n v="9"/>
    <n v="9"/>
    <s v="RC/OG-93/ SHOW TO VIVEK BHAI"/>
    <x v="7"/>
  </r>
  <r>
    <d v="2026-06-20T00:00:00"/>
    <s v="SR-GRN-GRN/26-27/978"/>
    <x v="7"/>
    <s v="MIX-CHAIN-40.00GM-18KT-RG-NA"/>
    <x v="2"/>
    <s v="G-NA-75.00-RG"/>
    <n v="30.2"/>
    <n v="0"/>
    <n v="22.65"/>
    <n v="22.65"/>
    <s v="RC/OG-93/SHOW TO YASH SIR"/>
    <x v="7"/>
  </r>
  <r>
    <d v="2026-06-20T00:00:00"/>
    <s v="SR-GRN-GRN/26-27/978"/>
    <x v="7"/>
    <s v="MIX-CHAIN-40.00GM-18KT-RG-NA"/>
    <x v="2"/>
    <s v="G-NA-75.00-RG"/>
    <n v="0.91"/>
    <n v="0"/>
    <n v="0.6825"/>
    <n v="0.6825"/>
    <s v="RC/OG-93/ SHOW TO ROHIT BHAI"/>
    <x v="7"/>
  </r>
  <r>
    <d v="2026-06-20T00:00:00"/>
    <s v="SR-GRN-GRN/26-27/977"/>
    <x v="8"/>
    <m/>
    <x v="0"/>
    <s v="PG-NA-99.50-YG"/>
    <n v="727.75"/>
    <n v="0"/>
    <n v="724.11130000000003"/>
    <n v="724.11130000000003"/>
    <s v="V-DIA/TAX INVOICE NO = SG-377/ 995 METAL"/>
    <x v="8"/>
  </r>
  <r>
    <d v="2026-06-20T00:00:00"/>
    <s v="SR-GRN-GRN/26-27/976"/>
    <x v="9"/>
    <m/>
    <x v="0"/>
    <s v="PG-NA-99.50-YG"/>
    <n v="1000"/>
    <n v="0"/>
    <n v="995"/>
    <n v="995"/>
    <s v="AB/DC NO =TO-083803/995 METAL (ANDHERI)"/>
    <x v="6"/>
  </r>
  <r>
    <d v="2026-06-20T00:00:00"/>
    <s v="SR-GRN-GRN/26-27/975"/>
    <x v="5"/>
    <s v="FGK-078-15.00GM-18KT-YG-MS"/>
    <x v="2"/>
    <s v="G-NA-75.00-YG"/>
    <n v="11.808999999999999"/>
    <n v="0"/>
    <n v="8.8567999999999998"/>
    <n v="8.8567999999999998"/>
    <s v="RC/OG-93/ SLIP NO-14823/HUID REMOVE KARNA HAI &amp; 750 STAMP LAGANA HAI"/>
    <x v="5"/>
  </r>
  <r>
    <d v="2026-06-20T00:00:00"/>
    <s v="SR-GRN-GRN/26-27/975"/>
    <x v="5"/>
    <s v="MIX-CHAIN-40.00GM-18KT-YG-NA"/>
    <x v="2"/>
    <s v="G-NA-75.00-RG"/>
    <n v="12.79"/>
    <n v="0"/>
    <n v="9.5924999999999994"/>
    <n v="9.5924999999999994"/>
    <s v="RC/OG-93/ SLIP NO-16529/ 30&quot; PIPE ASSEMBLE KARNA HAI FULL YELLOW KARNA HAI"/>
    <x v="5"/>
  </r>
  <r>
    <d v="2026-06-20T00:00:00"/>
    <s v="SR-GRN-GRN/26-27/975"/>
    <x v="5"/>
    <s v="MIX-CHAIN-40.00GM-18KT-RG-NA"/>
    <x v="2"/>
    <s v="G-NA-75.00-RG"/>
    <n v="825.35"/>
    <n v="0"/>
    <n v="619.01250000000005"/>
    <n v="619.01250000000005"/>
    <s v="RC/OG-93/ SLIP NO-14825/HUID REMOVE KARNA HAI &amp; 750 STAMP LAGANA HAI"/>
    <x v="5"/>
  </r>
  <r>
    <d v="2026-06-20T00:00:00"/>
    <s v="SR-GRN-GRN/26-27/975"/>
    <x v="5"/>
    <s v="MIX-ITEMS-50.00GM-18KT-RG-NA"/>
    <x v="2"/>
    <s v="G-NA-75.00-RG"/>
    <n v="391.959"/>
    <n v="0"/>
    <n v="293.96929999999998"/>
    <n v="293.96929999999998"/>
    <s v="RC/OG-93/ SLIP NO-14823/HUID REMOVE KARNA HAI &amp; 750 STAMP LAGANA HAI"/>
    <x v="5"/>
  </r>
  <r>
    <d v="2026-06-20T00:00:00"/>
    <s v="SR-GRN-GRN/26-27/975"/>
    <x v="5"/>
    <s v="MIX-CHAIN-40.00GM-18KT-RG-NA"/>
    <x v="2"/>
    <s v="G-NA-75.00-RG"/>
    <n v="11.98"/>
    <n v="0"/>
    <n v="8.9849999999999994"/>
    <n v="8.9849999999999994"/>
    <s v="RC/OG-93/ SLIP NO-14450/ REPAIR &amp; POLISH KARNA HAI"/>
    <x v="5"/>
  </r>
  <r>
    <d v="2026-06-20T00:00:00"/>
    <s v="SR-GRN-GRN/26-27/975"/>
    <x v="5"/>
    <s v="MIX-CHAIN-40.00GM-18KT-RG-NA"/>
    <x v="2"/>
    <s v="G-NA-75.00-RG"/>
    <n v="83.38"/>
    <n v="0"/>
    <n v="62.534999999999997"/>
    <n v="62.534999999999997"/>
    <s v="RC/OG-93/ SLIP NO-14826/HUID REMOVE KARNA HAI &amp; 750 STAMP LAGANA HAI"/>
    <x v="5"/>
  </r>
  <r>
    <d v="2026-06-20T00:00:00"/>
    <s v="SR-GRN-GRN/26-27/974"/>
    <x v="7"/>
    <m/>
    <x v="0"/>
    <s v="PG-NA-24KT-YG"/>
    <n v="8.6189999999999998"/>
    <n v="0"/>
    <n v="8.6189999999999998"/>
    <n v="8.6189999999999998"/>
    <s v="RC/OG-94/9999 METAL"/>
    <x v="7"/>
  </r>
  <r>
    <d v="2026-06-20T00:00:00"/>
    <s v="SR-GRN-GRN/26-27/973"/>
    <x v="7"/>
    <m/>
    <x v="0"/>
    <s v="PG-NA-99.50-YG"/>
    <n v="1447.1859999999999"/>
    <n v="0"/>
    <n v="1439.9501"/>
    <n v="1439.9501"/>
    <s v="RC/OG-93/995 METAL"/>
    <x v="7"/>
  </r>
  <r>
    <d v="2026-06-20T00:00:00"/>
    <s v="SR-GRN-GRN/26-27/973"/>
    <x v="7"/>
    <m/>
    <x v="0"/>
    <s v="PG-NA-24KT-YG"/>
    <n v="912.36099999999999"/>
    <n v="0"/>
    <n v="912.36099999999999"/>
    <n v="912.36099999999999"/>
    <s v="RC/OG-93/9999 METAL"/>
    <x v="7"/>
  </r>
  <r>
    <d v="2026-06-20T00:00:00"/>
    <s v="SR-GRN-GRN/26-27/973"/>
    <x v="7"/>
    <m/>
    <x v="0"/>
    <s v="PG-NA-99.50-YG"/>
    <n v="9000"/>
    <n v="0"/>
    <n v="8955"/>
    <n v="8955"/>
    <s v="RC/OG-93/995 METAL"/>
    <x v="7"/>
  </r>
  <r>
    <d v="2026-06-20T00:00:00"/>
    <s v="SR-GRN-GRN/26-27/972"/>
    <x v="10"/>
    <s v="MIX-CHAIN-40.00GM-22KT-YG-NA"/>
    <x v="1"/>
    <s v="G-NA-91.80-YG"/>
    <n v="46.018000000000001"/>
    <n v="0"/>
    <n v="42.244500000000002"/>
    <n v="42.244500000000002"/>
    <s v="MALABAR/REPAIRING DC NO = 10Dcmh000410612 / REPAIR KARNA HAI"/>
    <x v="6"/>
  </r>
  <r>
    <d v="2026-06-20T00:00:00"/>
    <s v="SR-GRN-GRN/26-27/971"/>
    <x v="6"/>
    <m/>
    <x v="0"/>
    <s v="PG-NA-99.50-YG"/>
    <n v="504.38"/>
    <n v="0"/>
    <n v="501.85809999999998"/>
    <n v="501.85809999999998"/>
    <s v="MALABAR/TAX INVOICE NO = 10MHSI0000858599  / 995 METAL"/>
    <x v="6"/>
  </r>
  <r>
    <d v="2026-06-20T00:00:00"/>
    <s v="SR-GRN-GRN/26-27/970"/>
    <x v="5"/>
    <s v="INDIGO CHAIN-30.00GM-22KT-YG-NA"/>
    <x v="1"/>
    <s v="G-NA-91.80-YG"/>
    <n v="46.08"/>
    <n v="0"/>
    <n v="42.301400000000001"/>
    <n v="42.301400000000001"/>
    <s v="RC/OG-93/ SLIP NO-14449/ REPAIR &amp; POLISH KARNA HAI"/>
    <x v="5"/>
  </r>
  <r>
    <d v="2026-06-20T00:00:00"/>
    <s v="SR-GRN-GRN/26-27/970"/>
    <x v="5"/>
    <s v="BRACELET-6.50GM-22KT-YG-NA"/>
    <x v="1"/>
    <s v="G-NA-91.80-YG"/>
    <n v="145.93"/>
    <n v="0"/>
    <n v="133.96369999999999"/>
    <n v="133.96369999999999"/>
    <s v="RC/OG-93/ SLIP NO-14824/ HUID REMOVE KARNA HAI &amp; 916 STAMP LAGANA HAI"/>
    <x v="5"/>
  </r>
  <r>
    <d v="2026-06-20T00:00:00"/>
    <s v="SR-GRN-GRN/26-27/970"/>
    <x v="5"/>
    <s v="MIX-CHAIN-40.00GM-22KT-YG-NA"/>
    <x v="1"/>
    <s v="G-NA-91.80-YG"/>
    <n v="33.46"/>
    <n v="0"/>
    <n v="30.7163"/>
    <n v="30.7163"/>
    <s v="RC/OG-93/ SLIP NO-14448/ REPAIR &amp; POLISH KARNA HAI"/>
    <x v="5"/>
  </r>
  <r>
    <d v="2026-06-20T00:00:00"/>
    <s v="SR-GRN-GRN/26-27/970"/>
    <x v="5"/>
    <s v="INDO-MIX-NA-22KT-YG-NA"/>
    <x v="1"/>
    <s v="G-NA-91.80-YG"/>
    <n v="564.86"/>
    <n v="0"/>
    <n v="518.54150000000004"/>
    <n v="518.54150000000004"/>
    <s v="RC/OG-93/ SLIP NO-16028/ LOBSTER HOOK LAGANA HAI"/>
    <x v="5"/>
  </r>
  <r>
    <d v="2026-06-20T00:00:00"/>
    <s v="SR-GRN-GRN/26-27/969"/>
    <x v="3"/>
    <m/>
    <x v="0"/>
    <s v="PG-NA-99.50-YG"/>
    <n v="1300"/>
    <n v="0"/>
    <n v="1293.5"/>
    <n v="1293.5"/>
    <s v="AJ/TAX INVOICE NO = SG-586/ 995 METAL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">
  <r>
    <d v="2026-06-20T00:00:00"/>
    <s v="SR-INV-AST/26-27/2787"/>
    <x v="0"/>
    <s v="INDO-MIX-NA-22KT-YG-NA"/>
    <x v="0"/>
    <s v="G-NA-91.80-YG"/>
    <n v="97.41"/>
    <n v="1.8"/>
    <n v="89.422399999999996"/>
    <n v="91.175799999999995"/>
    <s v="SLIP NO-12591"/>
    <x v="0"/>
  </r>
  <r>
    <d v="2026-06-20T00:00:00"/>
    <s v="SR-INV-AST/26-27/2787"/>
    <x v="0"/>
    <s v="VR-ER-003-4gm-22KT-YG-NA"/>
    <x v="0"/>
    <s v="G-NA-91.80-YG"/>
    <n v="4.59"/>
    <n v="2.5"/>
    <n v="4.2135999999999996"/>
    <n v="4.3284000000000002"/>
    <s v="ARK/2605/2-(CORPORATE ORD.)"/>
    <x v="0"/>
  </r>
  <r>
    <d v="2026-06-20T00:00:00"/>
    <s v="SR-INV-AST/26-27/2787"/>
    <x v="0"/>
    <s v="INDO-134-14.00GM-22KT-YG-ROLL"/>
    <x v="0"/>
    <s v="G-NA-91.80-YG"/>
    <n v="81.5"/>
    <n v="1.8"/>
    <n v="74.816999999999993"/>
    <n v="76.284000000000006"/>
    <s v="ARK/0906/002(HUID DONE)"/>
    <x v="0"/>
  </r>
  <r>
    <d v="2026-06-20T00:00:00"/>
    <s v="SR-INV-AST/26-27/2787"/>
    <x v="0"/>
    <s v="INDO-MIX-NA-22KT-YG-NA"/>
    <x v="0"/>
    <s v="G-NA-91.80-YG"/>
    <n v="102.02"/>
    <n v="1.8"/>
    <n v="93.654399999999995"/>
    <n v="95.490700000000004"/>
    <s v="SLIP NO-12596"/>
    <x v="0"/>
  </r>
  <r>
    <d v="2026-06-20T00:00:00"/>
    <s v="SR-INV-AST/26-27/2787"/>
    <x v="0"/>
    <s v="INDO-MIX-NA-22KT-YG-NA"/>
    <x v="0"/>
    <s v="G-NA-91.80-YG"/>
    <n v="80.3"/>
    <n v="1.8"/>
    <n v="73.715400000000002"/>
    <n v="75.160799999999995"/>
    <s v="SLIP NO-12592"/>
    <x v="0"/>
  </r>
  <r>
    <d v="2026-06-20T00:00:00"/>
    <s v="SR-INV-AST/26-27/2787"/>
    <x v="0"/>
    <s v="ASS-PLAIN-NA-22KT-YG-NA"/>
    <x v="0"/>
    <s v="G-NA-91.80-YG"/>
    <n v="87.64"/>
    <n v="1.5"/>
    <n v="80.453500000000005"/>
    <n v="81.768100000000004"/>
    <s v="SLIP NO-12590"/>
    <x v="0"/>
  </r>
  <r>
    <d v="2026-06-20T00:00:00"/>
    <s v="SR-INV-AST/26-27/2786"/>
    <x v="1"/>
    <s v="CFC-P-076-4.00GM-22KT-YG-NA"/>
    <x v="0"/>
    <s v="G-NA-91.80-YG"/>
    <n v="5.2370000000000001"/>
    <n v="0"/>
    <n v="4.8075999999999999"/>
    <n v="4.8075999999999999"/>
    <s v="RC-MUSTAFA-EXP-ORD-100542"/>
    <x v="1"/>
  </r>
  <r>
    <d v="2026-06-20T00:00:00"/>
    <s v="SR-INV-AST/26-27/2786"/>
    <x v="1"/>
    <s v="CFC-P-076-4.00GM-22KT-YG-NA"/>
    <x v="0"/>
    <s v="G-NA-91.80-YG"/>
    <n v="5.5090000000000003"/>
    <n v="0"/>
    <n v="5.0572999999999997"/>
    <n v="5.0572999999999997"/>
    <s v="RC-MUSTAFA-EXP-ORD-100542"/>
    <x v="1"/>
  </r>
  <r>
    <d v="2026-06-20T00:00:00"/>
    <s v="SR-INV-AST/26-27/2786"/>
    <x v="1"/>
    <s v="CFC-P-076-4.00GM-22KT-YG-NA"/>
    <x v="0"/>
    <s v="G-NA-91.80-YG"/>
    <n v="5.5069999999999997"/>
    <n v="0"/>
    <n v="5.0553999999999997"/>
    <n v="5.0553999999999997"/>
    <s v="RC-MUSTAFA-EXP-ORD-100542"/>
    <x v="1"/>
  </r>
  <r>
    <d v="2026-06-20T00:00:00"/>
    <s v="SR-INV-AST/26-27/2786"/>
    <x v="1"/>
    <s v="CFC-P-076-4.00GM-22KT-YG-NA"/>
    <x v="0"/>
    <s v="G-NA-91.80-YG"/>
    <n v="5.8540000000000001"/>
    <n v="0"/>
    <n v="5.3739999999999997"/>
    <n v="5.3739999999999997"/>
    <s v="RC-MUSTAFA-EXP-ORD-100542"/>
    <x v="1"/>
  </r>
  <r>
    <d v="2026-06-20T00:00:00"/>
    <s v="SR-INV-AST/26-27/2786"/>
    <x v="1"/>
    <s v="CFC-P-076-4.00GM-22KT-YG-NA"/>
    <x v="0"/>
    <s v="G-NA-91.80-YG"/>
    <n v="5.2160000000000002"/>
    <n v="0"/>
    <n v="4.7882999999999996"/>
    <n v="4.7882999999999996"/>
    <s v="RC-MUSTAFA-EXP-ORD-100542"/>
    <x v="1"/>
  </r>
  <r>
    <d v="2026-06-20T00:00:00"/>
    <s v="SR-INV-AST/26-27/2786"/>
    <x v="1"/>
    <s v="CFC-P-076-4.00GM-22KT-YG-NA"/>
    <x v="0"/>
    <s v="G-NA-91.80-YG"/>
    <n v="5.9119999999999999"/>
    <n v="0"/>
    <n v="5.4272"/>
    <n v="5.4272"/>
    <s v="RC-MUSTAFA-EXP-ORD-100542"/>
    <x v="1"/>
  </r>
  <r>
    <d v="2026-06-20T00:00:00"/>
    <s v="SR-INV-AST/26-27/2786"/>
    <x v="1"/>
    <s v="CFC-P-076-4.00GM-22KT-YG-NA"/>
    <x v="0"/>
    <s v="G-NA-91.80-YG"/>
    <n v="5.3979999999999997"/>
    <n v="0"/>
    <n v="4.9554"/>
    <n v="4.9554"/>
    <s v="RC-MUSTAFA-EXP-ORD-100542"/>
    <x v="1"/>
  </r>
  <r>
    <d v="2026-06-20T00:00:00"/>
    <s v="SR-INV-AST/26-27/2786"/>
    <x v="1"/>
    <s v="CFC-P-076-4.00GM-22KT-YG-NA"/>
    <x v="0"/>
    <s v="G-NA-91.80-YG"/>
    <n v="5.3479999999999999"/>
    <n v="0"/>
    <n v="4.9095000000000004"/>
    <n v="4.9095000000000004"/>
    <s v="RC-MUSTAFA-EXP-ORD-100542"/>
    <x v="1"/>
  </r>
  <r>
    <d v="2026-06-20T00:00:00"/>
    <s v="SR-INV-AST/26-27/2786"/>
    <x v="1"/>
    <s v="CFC-P-076-4.00GM-22KT-YG-NA"/>
    <x v="0"/>
    <s v="G-NA-91.80-YG"/>
    <n v="5.5369999999999999"/>
    <n v="0"/>
    <n v="5.0830000000000002"/>
    <n v="5.0830000000000002"/>
    <s v="RC-MUSTAFA-EXP-ORD-100542"/>
    <x v="1"/>
  </r>
  <r>
    <d v="2026-06-20T00:00:00"/>
    <s v="SR-INV-AST/26-27/2786"/>
    <x v="1"/>
    <s v="CFC-P-076-4.00GM-22KT-YG-NA"/>
    <x v="0"/>
    <s v="G-NA-91.80-YG"/>
    <n v="5.4960000000000004"/>
    <n v="0"/>
    <n v="5.0453000000000001"/>
    <n v="5.0453000000000001"/>
    <s v="RC-MUSTAFA-EXP-ORD-100542"/>
    <x v="1"/>
  </r>
  <r>
    <d v="2026-06-20T00:00:00"/>
    <s v="SR-INV-AST/26-27/2785"/>
    <x v="1"/>
    <s v="CBR24661M8-14.00GM-22KT-YG-8 INCH"/>
    <x v="0"/>
    <s v="G-NA-91.80-YG"/>
    <n v="14.3"/>
    <n v="0"/>
    <n v="13.1274"/>
    <n v="13.1274"/>
    <s v="RC-STOCK-ORD-200007"/>
    <x v="1"/>
  </r>
  <r>
    <d v="2026-06-20T00:00:00"/>
    <s v="SR-INV-AST/26-27/2785"/>
    <x v="1"/>
    <s v="CUCH24664M5-20.00GM-22KT-YG-22 INCH"/>
    <x v="0"/>
    <s v="G-NA-91.80-YG"/>
    <n v="19.015000000000001"/>
    <n v="0"/>
    <n v="17.4558"/>
    <n v="17.4558"/>
    <s v="RC-STOCK-ORD-200007"/>
    <x v="1"/>
  </r>
  <r>
    <d v="2026-06-20T00:00:00"/>
    <s v="SR-INV-AST/26-27/2785"/>
    <x v="1"/>
    <s v="CUCH24664M7-29.00GM-22KT-YG-20 INCH"/>
    <x v="0"/>
    <s v="G-NA-91.80-YG"/>
    <n v="31.145"/>
    <n v="0"/>
    <n v="28.591100000000001"/>
    <n v="28.591100000000001"/>
    <s v="RC-STOCK-ORD-200007"/>
    <x v="1"/>
  </r>
  <r>
    <d v="2026-06-20T00:00:00"/>
    <s v="SR-INV-AST/26-27/2785"/>
    <x v="1"/>
    <s v="CUCH24662M7C-30.00GM-22KT-YG-22 INCH"/>
    <x v="0"/>
    <s v="G-NA-91.80-YG"/>
    <n v="31.289000000000001"/>
    <n v="0"/>
    <n v="28.723299999999998"/>
    <n v="28.723299999999998"/>
    <s v="RC-STOCK-ORD-200007"/>
    <x v="1"/>
  </r>
  <r>
    <d v="2026-06-20T00:00:00"/>
    <s v="SR-INV-AST/26-27/2785"/>
    <x v="1"/>
    <s v="CUCH24664M7-29.00GM-22KT-YG-20 INCH"/>
    <x v="0"/>
    <s v="G-NA-91.80-YG"/>
    <n v="29.591999999999999"/>
    <n v="0"/>
    <n v="27.165500000000002"/>
    <n v="27.165500000000002"/>
    <s v="RC-STOCK-ORD-200007"/>
    <x v="1"/>
  </r>
  <r>
    <d v="2026-06-20T00:00:00"/>
    <s v="SR-INV-AST/26-27/2785"/>
    <x v="1"/>
    <s v="CUCH24662M7C-30.00GM-22KT-YG-22 INCH"/>
    <x v="0"/>
    <s v="G-NA-91.80-YG"/>
    <n v="30.812000000000001"/>
    <n v="0"/>
    <n v="28.285399999999999"/>
    <n v="28.285399999999999"/>
    <s v="RC-STOCK-ORD-200007"/>
    <x v="1"/>
  </r>
  <r>
    <d v="2026-06-20T00:00:00"/>
    <s v="SR-INV-AST/26-27/2785"/>
    <x v="1"/>
    <s v="CBR24661M8-14.00GM-22KT-YG-8 INCH"/>
    <x v="0"/>
    <s v="G-NA-91.80-YG"/>
    <n v="14.667999999999999"/>
    <n v="0"/>
    <n v="13.465199999999999"/>
    <n v="13.465199999999999"/>
    <s v="RC-STOCK-ORD-200007"/>
    <x v="1"/>
  </r>
  <r>
    <d v="2026-06-20T00:00:00"/>
    <s v="SR-INV-AST/26-27/2785"/>
    <x v="1"/>
    <s v="CUCH24664M5-20.00GM-22KT-YG-22 INCH"/>
    <x v="0"/>
    <s v="G-NA-91.80-YG"/>
    <n v="18.866"/>
    <n v="0"/>
    <n v="17.318999999999999"/>
    <n v="17.318999999999999"/>
    <s v="RC-STOCK-ORD-200007"/>
    <x v="1"/>
  </r>
  <r>
    <d v="2026-06-20T00:00:00"/>
    <s v="SR-INV-AST/26-27/2785"/>
    <x v="1"/>
    <s v="CUCH24664M7B-31.00GM-22KT-YG-22 INCH"/>
    <x v="0"/>
    <s v="G-NA-91.80-YG"/>
    <n v="30.57"/>
    <n v="0"/>
    <n v="28.063300000000002"/>
    <n v="28.063300000000002"/>
    <s v="RC-STOCK-ORD-200007"/>
    <x v="1"/>
  </r>
  <r>
    <d v="2026-06-20T00:00:00"/>
    <s v="SR-INV-AST/26-27/2785"/>
    <x v="1"/>
    <s v="CUCH24662M7C-30.00GM-22KT-YG-22 INCH"/>
    <x v="0"/>
    <s v="G-NA-91.80-YG"/>
    <n v="31.709"/>
    <n v="0"/>
    <n v="29.108899999999998"/>
    <n v="29.108899999999998"/>
    <s v="RC-STOCK-ORD-200007"/>
    <x v="1"/>
  </r>
  <r>
    <d v="2026-06-20T00:00:00"/>
    <s v="SR-INV-AST/26-27/2785"/>
    <x v="1"/>
    <s v="CBR24661M8-14.00GM-22KT-YG-8 INCH"/>
    <x v="0"/>
    <s v="G-NA-91.80-YG"/>
    <n v="13.698"/>
    <n v="0"/>
    <n v="12.5748"/>
    <n v="12.5748"/>
    <s v="RC-STOCK-ORD-200007"/>
    <x v="1"/>
  </r>
  <r>
    <d v="2026-06-20T00:00:00"/>
    <s v="SR-INV-AST/26-27/2785"/>
    <x v="1"/>
    <s v="CBR24661M8-14.00GM-22KT-YG-8 INCH"/>
    <x v="0"/>
    <s v="G-NA-91.80-YG"/>
    <n v="14.218999999999999"/>
    <n v="0"/>
    <n v="13.053000000000001"/>
    <n v="13.053000000000001"/>
    <s v="RC-STOCK-ORD-200007"/>
    <x v="1"/>
  </r>
  <r>
    <d v="2026-06-20T00:00:00"/>
    <s v="SR-INV-AST/26-27/2785"/>
    <x v="1"/>
    <s v="CBR24661M8-14.00GM-22KT-YG-8 INCH"/>
    <x v="0"/>
    <s v="G-NA-91.80-YG"/>
    <n v="14.813000000000001"/>
    <n v="0"/>
    <n v="13.5983"/>
    <n v="13.5983"/>
    <s v="RC-STOCK-ORD-200007"/>
    <x v="1"/>
  </r>
  <r>
    <d v="2026-06-20T00:00:00"/>
    <s v="SR-INV-AST/26-27/2785"/>
    <x v="1"/>
    <s v="CUCH24664M7B-31.00GM-22KT-YG-22 INCH"/>
    <x v="0"/>
    <s v="G-NA-91.80-YG"/>
    <n v="28.794"/>
    <n v="0"/>
    <n v="26.4329"/>
    <n v="26.4329"/>
    <s v="RC-STOCK-ORD-200007"/>
    <x v="1"/>
  </r>
  <r>
    <d v="2026-06-20T00:00:00"/>
    <s v="SR-INV-AST/26-27/2785"/>
    <x v="1"/>
    <s v="CUCH24664M7-29.00GM-22KT-YG-20 INCH"/>
    <x v="0"/>
    <s v="G-NA-91.80-YG"/>
    <n v="30.614999999999998"/>
    <n v="0"/>
    <n v="28.104600000000001"/>
    <n v="28.104600000000001"/>
    <s v="RC-STOCK-ORD-200007"/>
    <x v="1"/>
  </r>
  <r>
    <d v="2026-06-20T00:00:00"/>
    <s v="SR-INV-AST/26-27/2785"/>
    <x v="1"/>
    <s v="CUCH24664M5-20.00GM-22KT-YG-22 INCH"/>
    <x v="0"/>
    <s v="G-NA-91.80-YG"/>
    <n v="19.170000000000002"/>
    <n v="0"/>
    <n v="17.598099999999999"/>
    <n v="17.598099999999999"/>
    <s v="RC-STOCK-ORD-200007"/>
    <x v="1"/>
  </r>
  <r>
    <d v="2026-06-20T00:00:00"/>
    <s v="SR-INV-AST/26-27/2785"/>
    <x v="1"/>
    <s v="CUCH24664M7B-31.00GM-22KT-YG-22 INCH"/>
    <x v="0"/>
    <s v="G-NA-91.80-YG"/>
    <n v="28.986999999999998"/>
    <n v="0"/>
    <n v="26.610099999999999"/>
    <n v="26.610099999999999"/>
    <s v="RC-STOCK-ORD-200007"/>
    <x v="1"/>
  </r>
  <r>
    <d v="2026-06-20T00:00:00"/>
    <s v="SR-INV-AST/26-27/2784"/>
    <x v="2"/>
    <s v="MENS-CH-024-5.00GM-18KT-RG-ROLL"/>
    <x v="1"/>
    <s v="G-NA-75.00-RG"/>
    <n v="36.159999999999997"/>
    <n v="2.35"/>
    <n v="27.12"/>
    <n v="27.969799999999999"/>
    <s v="MG-03017"/>
    <x v="2"/>
  </r>
  <r>
    <d v="2026-06-20T00:00:00"/>
    <s v="SR-INV-AST/26-27/2784"/>
    <x v="2"/>
    <s v="CH003-OMEGA-4SADAK-8.00GM-18KT-RG-MS"/>
    <x v="1"/>
    <s v="G-NA-75.00-RG"/>
    <n v="247.95"/>
    <n v="3"/>
    <n v="185.96250000000001"/>
    <n v="193.40100000000001"/>
    <s v="MG-03025-STOCK"/>
    <x v="2"/>
  </r>
  <r>
    <d v="2026-06-20T00:00:00"/>
    <s v="SR-INV-AST/26-27/2783"/>
    <x v="1"/>
    <s v="ICH241942M2.25-15.00GM-18KT-YG-20 INCH"/>
    <x v="1"/>
    <s v="G-NA-75.00-YG"/>
    <n v="14.456"/>
    <n v="0"/>
    <n v="10.842000000000001"/>
    <n v="10.842000000000001"/>
    <s v="RC-STOCK-13062026"/>
    <x v="1"/>
  </r>
  <r>
    <d v="2026-06-20T00:00:00"/>
    <s v="SR-INV-AST/26-27/2783"/>
    <x v="1"/>
    <s v="ICH241942M2.25-15.00GM-18KT-YG-20 INCH"/>
    <x v="1"/>
    <s v="G-NA-75.00-YG"/>
    <n v="14.454000000000001"/>
    <n v="0"/>
    <n v="10.8405"/>
    <n v="10.8405"/>
    <s v="RC-STOCK-13062026"/>
    <x v="1"/>
  </r>
  <r>
    <d v="2026-06-20T00:00:00"/>
    <s v="SR-INV-AST/26-27/2783"/>
    <x v="1"/>
    <s v="ICH241942M2.25-15.00GM-18KT-YG-20 INCH"/>
    <x v="1"/>
    <s v="G-NA-75.00-YG"/>
    <n v="14.054"/>
    <n v="0"/>
    <n v="10.5405"/>
    <n v="10.5405"/>
    <s v="RC-STOCK-13062026"/>
    <x v="1"/>
  </r>
  <r>
    <d v="2026-06-20T00:00:00"/>
    <s v="SR-INV-AST/26-27/2783"/>
    <x v="1"/>
    <s v="ICH241942M2.25-15.00GM-18KT-YG-20 INCH"/>
    <x v="1"/>
    <s v="G-NA-75.00-YG"/>
    <n v="14.401999999999999"/>
    <n v="0"/>
    <n v="10.801500000000001"/>
    <n v="10.801500000000001"/>
    <s v="RC-STOCK-13062026"/>
    <x v="1"/>
  </r>
  <r>
    <d v="2026-06-20T00:00:00"/>
    <s v="SR-INV-AST/26-27/2783"/>
    <x v="1"/>
    <s v="ICH241942M2.25-15.00GM-18KT-YG-20 INCH"/>
    <x v="1"/>
    <s v="G-NA-75.00-YG"/>
    <n v="14.342000000000001"/>
    <n v="0"/>
    <n v="10.756500000000001"/>
    <n v="10.756500000000001"/>
    <s v="RC-STOCK-13062026"/>
    <x v="1"/>
  </r>
  <r>
    <d v="2026-06-20T00:00:00"/>
    <s v="SR-INV-AST/26-27/2783"/>
    <x v="1"/>
    <s v="ICH241942M2.25-15.00GM-18KT-YG-20 INCH"/>
    <x v="1"/>
    <s v="G-NA-75.00-YG"/>
    <n v="14.909000000000001"/>
    <n v="0"/>
    <n v="11.181800000000001"/>
    <n v="11.181800000000001"/>
    <s v="RC-STOCK-13062026"/>
    <x v="1"/>
  </r>
  <r>
    <d v="2026-06-20T00:00:00"/>
    <s v="SR-INV-AST/26-27/2783"/>
    <x v="1"/>
    <s v="ICH241942M2.25-15.00GM-18KT-YG-20 INCH"/>
    <x v="1"/>
    <s v="G-NA-75.00-YG"/>
    <n v="14.304"/>
    <n v="0"/>
    <n v="10.728"/>
    <n v="10.728"/>
    <s v="RC-STOCK-13062026"/>
    <x v="1"/>
  </r>
  <r>
    <d v="2026-06-20T00:00:00"/>
    <s v="SR-INV-AST/26-27/2783"/>
    <x v="1"/>
    <s v="ICH241942M2.25-15.00GM-18KT-YG-20 INCH"/>
    <x v="1"/>
    <s v="G-NA-75.00-YG"/>
    <n v="14.226000000000001"/>
    <n v="0"/>
    <n v="10.669499999999999"/>
    <n v="10.669499999999999"/>
    <s v="RC-STOCK-13062026"/>
    <x v="1"/>
  </r>
  <r>
    <d v="2026-06-20T00:00:00"/>
    <s v="SR-INV-AST/26-27/2783"/>
    <x v="1"/>
    <s v="ICH241942M2.25-15.00GM-18KT-YG-20 INCH"/>
    <x v="1"/>
    <s v="G-NA-75.00-YG"/>
    <n v="14.276"/>
    <n v="0"/>
    <n v="10.707000000000001"/>
    <n v="10.707000000000001"/>
    <s v="RC-STOCK-13062026"/>
    <x v="1"/>
  </r>
  <r>
    <d v="2026-06-20T00:00:00"/>
    <s v="SR-INV-AST/26-27/2783"/>
    <x v="1"/>
    <s v="ICH241942M2.25-15.00GM-18KT-YG-20 INCH"/>
    <x v="1"/>
    <s v="G-NA-75.00-YG"/>
    <n v="13.879"/>
    <n v="0"/>
    <n v="10.4093"/>
    <n v="10.4093"/>
    <s v="RC-STOCK-13062026"/>
    <x v="1"/>
  </r>
  <r>
    <d v="2026-06-20T00:00:00"/>
    <s v="SR-INV-AST/26-27/2783"/>
    <x v="1"/>
    <s v="ICH241942M2.25-15.00GM-18KT-YG-20 INCH"/>
    <x v="1"/>
    <s v="G-NA-75.00-YG"/>
    <n v="14.513"/>
    <n v="0"/>
    <n v="10.8848"/>
    <n v="10.8848"/>
    <s v="RC-STOCK-13062026"/>
    <x v="1"/>
  </r>
  <r>
    <d v="2026-06-20T00:00:00"/>
    <s v="SR-INV-AST/26-27/2783"/>
    <x v="1"/>
    <s v="ICH241942M2.25-15.00GM-18KT-YG-20 INCH"/>
    <x v="1"/>
    <s v="G-NA-75.00-YG"/>
    <n v="14.824"/>
    <n v="0"/>
    <n v="11.118"/>
    <n v="11.118"/>
    <s v="RC-STOCK-13062026"/>
    <x v="1"/>
  </r>
  <r>
    <d v="2026-06-20T00:00:00"/>
    <s v="SR-INV-AST/26-27/2783"/>
    <x v="1"/>
    <s v="ICH241942M2.25-15.00GM-18KT-YG-20 INCH"/>
    <x v="1"/>
    <s v="G-NA-75.00-YG"/>
    <n v="15.077999999999999"/>
    <n v="0"/>
    <n v="11.3085"/>
    <n v="11.3085"/>
    <s v="RC-STOCK-13062026"/>
    <x v="1"/>
  </r>
  <r>
    <d v="2026-06-20T00:00:00"/>
    <s v="SR-INV-AST/26-27/2782"/>
    <x v="3"/>
    <m/>
    <x v="2"/>
    <s v="PG-NA-99.50-YG"/>
    <n v="114.399"/>
    <n v="0"/>
    <n v="113.827"/>
    <n v="113.827"/>
    <s v="SG-104"/>
    <x v="3"/>
  </r>
  <r>
    <d v="2026-06-20T00:00:00"/>
    <s v="SR-INV-AST/26-27/2782"/>
    <x v="3"/>
    <m/>
    <x v="2"/>
    <s v="PG-NA-99.50-YG"/>
    <n v="396.50099999999998"/>
    <n v="0"/>
    <n v="394.51850000000002"/>
    <n v="394.51850000000002"/>
    <s v="SG-106"/>
    <x v="3"/>
  </r>
  <r>
    <d v="2026-06-20T00:00:00"/>
    <s v="SR-INV-AST/26-27/2781"/>
    <x v="4"/>
    <s v="MIX-CHAIN-40.00GM-18KT-RG-NA"/>
    <x v="1"/>
    <s v="G-NA-75.00-RG"/>
    <n v="30.2"/>
    <n v="0"/>
    <n v="22.65"/>
    <n v="22.65"/>
    <s v="AQUA SAMPLE(MENS CHAIN)"/>
    <x v="4"/>
  </r>
  <r>
    <d v="2026-06-20T00:00:00"/>
    <s v="SR-INV-AST/26-27/2780"/>
    <x v="2"/>
    <s v="ANBK-011-8.50gm-18KT-YG-1.80 ANNA"/>
    <x v="1"/>
    <s v="G-NA-75.00-YG"/>
    <n v="3.9729999999999999"/>
    <n v="4"/>
    <n v="2.9798"/>
    <n v="3.1387"/>
    <s v="MY GOLD-MG-DIVESHJI-03043- CUST/ORD"/>
    <x v="2"/>
  </r>
  <r>
    <d v="2026-06-20T00:00:00"/>
    <s v="SR-INV-AST/26-27/2780"/>
    <x v="2"/>
    <s v="ANBK-011-8.50gm-18KT-YG-1.80 ANNA"/>
    <x v="1"/>
    <s v="G-NA-75.00-YG"/>
    <n v="3.9969999999999999"/>
    <n v="4"/>
    <n v="2.9977999999999998"/>
    <n v="3.1576"/>
    <s v="MY GOLD-MG-DIVESHJI-03043- CUST/ORD"/>
    <x v="2"/>
  </r>
  <r>
    <d v="2026-06-20T00:00:00"/>
    <s v="SR-INV-AST/26-27/2779"/>
    <x v="1"/>
    <s v="VRC-246-28.50GM-18KT-RG-MS"/>
    <x v="1"/>
    <s v="G-NA-75.00-RG"/>
    <n v="97.57"/>
    <n v="0"/>
    <n v="73.177499999999995"/>
    <n v="73.177499999999995"/>
    <s v="RC- EXTRA ( HUID DONE )"/>
    <x v="1"/>
  </r>
  <r>
    <d v="2026-06-20T00:00:00"/>
    <s v="SR-INV-AST/26-27/2779"/>
    <x v="1"/>
    <s v="ITALIAN LAZER MACHINE CHAINS PAVE-5.00GM-18KT-RG-MS"/>
    <x v="1"/>
    <s v="G-NA-75.00-RG"/>
    <n v="111.72"/>
    <n v="0"/>
    <n v="83.79"/>
    <n v="83.79"/>
    <s v="RC-EXTRA-ST-1906/2 ( HUID DONE )"/>
    <x v="1"/>
  </r>
  <r>
    <d v="2026-06-20T00:00:00"/>
    <s v="SR-INV-AST/26-27/2779"/>
    <x v="1"/>
    <s v="12YPV70K-7BOX-FANCY-CHECKS+BORDER-YP-5.00GM-18KT-YG-MS"/>
    <x v="1"/>
    <s v="G-NA-75.00-YG"/>
    <n v="253.75"/>
    <n v="0"/>
    <n v="190.3125"/>
    <n v="190.3125"/>
    <s v="RC-11923-ST ( HUID DONE )"/>
    <x v="1"/>
  </r>
  <r>
    <d v="2026-06-20T00:00:00"/>
    <s v="SR-INV-AST/26-27/2778"/>
    <x v="4"/>
    <s v="CUCH24666M6-15.50gm-18KT-YG-17 INCH"/>
    <x v="1"/>
    <s v="G-NA-75.00-YG"/>
    <n v="15.648"/>
    <n v="3"/>
    <n v="11.736000000000001"/>
    <n v="12.205399999999999"/>
    <s v="DVM-AQUA-GOKUL MOLE"/>
    <x v="4"/>
  </r>
  <r>
    <d v="2026-06-20T00:00:00"/>
    <s v="SR-INV-AST/26-27/2777"/>
    <x v="4"/>
    <s v="KADA-20.00GM-18KT-YG-NA"/>
    <x v="1"/>
    <s v="G-NA-75.00-YG"/>
    <n v="8.5500000000000007"/>
    <n v="3"/>
    <n v="6.4124999999999996"/>
    <n v="6.6689999999999996"/>
    <s v="DVM AQUA/REPAIR-DN-44"/>
    <x v="4"/>
  </r>
  <r>
    <d v="2026-06-20T00:00:00"/>
    <s v="SR-INV-AST/26-27/2777"/>
    <x v="4"/>
    <s v="BRACELET-15.00GM-18KT-RG-MS"/>
    <x v="1"/>
    <s v="G-NA-75.00-RG"/>
    <n v="15.736000000000001"/>
    <n v="3"/>
    <n v="11.802"/>
    <n v="12.274100000000001"/>
    <s v="DVM AQUA/REPAIR -19/06 DN-43"/>
    <x v="4"/>
  </r>
  <r>
    <d v="2026-06-20T00:00:00"/>
    <s v="SR-INV-AST/26-27/2776"/>
    <x v="5"/>
    <s v="MIX-CHAIN-40.00GM-22KT-YG-NA"/>
    <x v="0"/>
    <s v="G-NA-91.80-YG"/>
    <n v="191.36"/>
    <n v="1.7"/>
    <n v="175.66849999999999"/>
    <n v="178.92160000000001"/>
    <s v="MALABAR CHAIN SELECTION"/>
    <x v="5"/>
  </r>
  <r>
    <d v="2026-06-20T00:00:00"/>
    <s v="SR-INV-AST/26-27/2776"/>
    <x v="5"/>
    <s v="MIX-CHAIN-40.00GM-22KT-YG-NA"/>
    <x v="0"/>
    <s v="G-NA-91.80-YG"/>
    <n v="84.11"/>
    <n v="2.2000000000000002"/>
    <n v="77.212999999999994"/>
    <n v="79.063400000000001"/>
    <s v="MALABAR CHAIN SELECTION"/>
    <x v="5"/>
  </r>
  <r>
    <d v="2026-06-20T00:00:00"/>
    <s v="SR-INV-AST/26-27/2775"/>
    <x v="1"/>
    <s v="OLK262521-7.50gm-18KT-YG-2.40 ANNA"/>
    <x v="1"/>
    <s v="G-NA-75.00-YG"/>
    <n v="7.6980000000000004"/>
    <n v="0"/>
    <n v="5.7735000000000003"/>
    <n v="5.7735000000000003"/>
    <s v="GIVE TO YASH BHAI ON MONDAY RETURN  BACK TO FACTORY"/>
    <x v="1"/>
  </r>
  <r>
    <d v="2026-06-20T00:00:00"/>
    <s v="SR-INV-AST/26-27/2775"/>
    <x v="1"/>
    <s v="SAMPLE-PCS-1.00GM-18KT-YG-NA"/>
    <x v="1"/>
    <s v="G-NA-75.00-YG"/>
    <n v="4.891"/>
    <n v="0"/>
    <n v="3.6682999999999999"/>
    <n v="3.6682999999999999"/>
    <s v="GIVE TO YASH BHAI ON MONDAY RETURN  BACK TO FACTORY"/>
    <x v="1"/>
  </r>
  <r>
    <d v="2026-06-20T00:00:00"/>
    <s v="SR-INV-AST/26-27/2775"/>
    <x v="1"/>
    <s v="OLK262524-7.50gm-18KT-YG-2.40 ANNA"/>
    <x v="1"/>
    <s v="G-NA-75.00-YG"/>
    <n v="7.7110000000000003"/>
    <n v="0"/>
    <n v="5.7832999999999997"/>
    <n v="5.7832999999999997"/>
    <s v="GIVE TO YASH BHAI ON MONDAY RETURN  BACK TO FACTORY"/>
    <x v="1"/>
  </r>
  <r>
    <d v="2026-06-20T00:00:00"/>
    <s v="SR-INV-AST/26-27/2775"/>
    <x v="1"/>
    <s v="SAMPLE-PCS-1.00GM-18KT-YG-NA"/>
    <x v="1"/>
    <s v="G-NA-75.00-YG"/>
    <n v="4.6520000000000001"/>
    <n v="0"/>
    <n v="3.4889999999999999"/>
    <n v="3.4889999999999999"/>
    <s v="GIVE TO YASH BHAI ON MONDAY RETURN  BACK TO FACTORY"/>
    <x v="1"/>
  </r>
  <r>
    <d v="2026-06-20T00:00:00"/>
    <s v="SR-INV-AST/26-27/2775"/>
    <x v="1"/>
    <s v="SAMPLE-PCS-1.00GM-18KT-YG-NA"/>
    <x v="1"/>
    <s v="G-NA-75.00-YG"/>
    <n v="5.0199999999999996"/>
    <n v="0"/>
    <n v="3.7650000000000001"/>
    <n v="3.7650000000000001"/>
    <s v="GIVE TO YASH BHAI ON MONDAY RETURN  BACK TO FACTORY"/>
    <x v="1"/>
  </r>
  <r>
    <d v="2026-06-20T00:00:00"/>
    <s v="SR-INV-AST/26-27/2775"/>
    <x v="1"/>
    <s v="SAMPLE-PCS-1.00GM-18KT-YG-NA"/>
    <x v="1"/>
    <s v="G-NA-75.00-YG"/>
    <n v="5.0069999999999997"/>
    <n v="0"/>
    <n v="3.7553000000000001"/>
    <n v="3.7553000000000001"/>
    <s v="GIVE TO YASH BHAI ON MONDAY RETURN  BACK TO FACTORY"/>
    <x v="1"/>
  </r>
  <r>
    <d v="2026-06-20T00:00:00"/>
    <s v="SR-INV-AST/26-27/2775"/>
    <x v="1"/>
    <s v="SAMPLE-PCS-1.00GM-18KT-YG-NA"/>
    <x v="1"/>
    <s v="G-NA-75.00-YG"/>
    <n v="5.0880000000000001"/>
    <n v="0"/>
    <n v="3.8159999999999998"/>
    <n v="3.8159999999999998"/>
    <s v="GIVE TO YASH BHAI ON MONDAY RETURN  BACK TO FACTORY"/>
    <x v="1"/>
  </r>
  <r>
    <d v="2026-06-20T00:00:00"/>
    <s v="SR-INV-AST/26-27/2775"/>
    <x v="1"/>
    <s v="OLK262523-6.00GM-18KT-YG-2.40 ANNA"/>
    <x v="1"/>
    <s v="G-NA-75.00-YG"/>
    <n v="6.1449999999999996"/>
    <n v="0"/>
    <n v="4.6087999999999996"/>
    <n v="4.6087999999999996"/>
    <s v="GIVE TO YASH BHAI ON MONDAY RETURN  BACK TO FACTORY"/>
    <x v="1"/>
  </r>
  <r>
    <d v="2026-06-20T00:00:00"/>
    <s v="SR-INV-AST/26-27/2775"/>
    <x v="1"/>
    <s v="OLK262522-8gm-18KT-YG-2.40 ANNA"/>
    <x v="1"/>
    <s v="G-NA-75.00-YG"/>
    <n v="8.0289999999999999"/>
    <n v="0"/>
    <n v="6.0217999999999998"/>
    <n v="6.0217999999999998"/>
    <s v="GIVE TO YASH BHAI ON MONDAY RETURN  BACK TO FACTORY"/>
    <x v="1"/>
  </r>
  <r>
    <d v="2026-06-20T00:00:00"/>
    <s v="SR-INV-AST/26-27/2775"/>
    <x v="1"/>
    <s v="SAMPLE-PCS-1.00GM-18KT-YG-NA"/>
    <x v="1"/>
    <s v="G-NA-75.00-YG"/>
    <n v="4.694"/>
    <n v="0"/>
    <n v="3.5205000000000002"/>
    <n v="3.5205000000000002"/>
    <s v="GIVE TO YASH BHAI ON MONDAY RETURN  BACK TO FACTORY"/>
    <x v="1"/>
  </r>
  <r>
    <d v="2026-06-20T00:00:00"/>
    <s v="SR-INV-AST/26-27/2775"/>
    <x v="1"/>
    <s v="SAMPLE-PCS-1.00GM-18KT-YG-NA"/>
    <x v="1"/>
    <s v="G-NA-75.00-YG"/>
    <n v="4.6929999999999996"/>
    <n v="0"/>
    <n v="3.5198"/>
    <n v="3.5198"/>
    <s v="GIVE TO YASH BHAI ON MONDAY RETURN  BACK TO FACTORY"/>
    <x v="1"/>
  </r>
  <r>
    <d v="2026-06-20T00:00:00"/>
    <s v="SR-INV-AST/26-27/2775"/>
    <x v="1"/>
    <s v="OLK262525-7gm-18KT-YG-2.40 ANNA"/>
    <x v="1"/>
    <s v="G-NA-75.00-YG"/>
    <n v="6.9669999999999996"/>
    <n v="0"/>
    <n v="5.2252999999999998"/>
    <n v="5.2252999999999998"/>
    <s v="GIVE TO YASH BHAI ON MONDAY RETURN  BACK TO FACTORY"/>
    <x v="1"/>
  </r>
  <r>
    <d v="2026-06-20T00:00:00"/>
    <s v="SR-INV-AST/26-27/2775"/>
    <x v="1"/>
    <s v="OLK262527-7gm-18KT-YG-2.40 ANNA"/>
    <x v="1"/>
    <s v="G-NA-75.00-YG"/>
    <n v="7.1210000000000004"/>
    <n v="0"/>
    <n v="5.3407999999999998"/>
    <n v="5.3407999999999998"/>
    <s v="GIVE TO YASH BHAI ON MONDAY RETURN  BACK TO FACTORY"/>
    <x v="1"/>
  </r>
  <r>
    <d v="2026-06-20T00:00:00"/>
    <s v="SR-INV-AST/26-27/2775"/>
    <x v="1"/>
    <s v="OLK262530-7.50gm-18KT-YG-2.40 ANNA"/>
    <x v="1"/>
    <s v="G-NA-75.00-YG"/>
    <n v="7.2859999999999996"/>
    <n v="0"/>
    <n v="5.4645000000000001"/>
    <n v="5.4645000000000001"/>
    <s v="GIVE TO YASH BHAI ON MONDAY RETURN  BACK TO FACTORY"/>
    <x v="1"/>
  </r>
  <r>
    <d v="2026-06-20T00:00:00"/>
    <s v="SR-INV-AST/26-27/2775"/>
    <x v="1"/>
    <s v="OLK262526-7.00GM-18KT-YG-2.40 ANNA"/>
    <x v="1"/>
    <s v="G-NA-75.00-YG"/>
    <n v="7.2430000000000003"/>
    <n v="0"/>
    <n v="5.4322999999999997"/>
    <n v="5.4322999999999997"/>
    <s v="GIVE TO YASH BHAI ON MONDAY RETURN  BACK TO FACTORY"/>
    <x v="1"/>
  </r>
  <r>
    <d v="2026-06-20T00:00:00"/>
    <s v="SR-INV-AST/26-27/2775"/>
    <x v="1"/>
    <s v="OLK262529-7.50gm-18KT-YG-2.40 ANNA"/>
    <x v="1"/>
    <s v="G-NA-75.00-YG"/>
    <n v="7.5590000000000002"/>
    <n v="0"/>
    <n v="5.6692999999999998"/>
    <n v="5.6692999999999998"/>
    <s v="GIVE TO YASH BHAI ON MONDAY RETURN  BACK TO FACTORY"/>
    <x v="1"/>
  </r>
  <r>
    <d v="2026-06-20T00:00:00"/>
    <s v="SR-INV-AST/26-27/2775"/>
    <x v="1"/>
    <s v="OLK262528-6.50gm-18KT-YG-2.40 ANNA"/>
    <x v="1"/>
    <s v="G-NA-75.00-YG"/>
    <n v="6.6710000000000003"/>
    <n v="0"/>
    <n v="5.0033000000000003"/>
    <n v="5.0033000000000003"/>
    <s v="GIVE TO YASH BHAI ON MONDAY RETURN  BACK TO FACTORY"/>
    <x v="1"/>
  </r>
  <r>
    <d v="2026-06-20T00:00:00"/>
    <s v="SR-INV-AST/26-27/2774"/>
    <x v="1"/>
    <s v="VERONA CHAIN-20.00GM-22KT-YG-MS"/>
    <x v="0"/>
    <s v="G-NA-91.80-YG"/>
    <n v="72.617999999999995"/>
    <n v="0"/>
    <n v="66.663300000000007"/>
    <n v="66.663300000000007"/>
    <s v="AJ TO RC  OFFICE"/>
    <x v="1"/>
  </r>
  <r>
    <d v="2026-06-20T00:00:00"/>
    <s v="SR-INV-AST/26-27/2773"/>
    <x v="6"/>
    <s v="30YV500K-50BOX-FANCY-CHECKS+BORDER-Y-42.00GM-22KT-YG-MS"/>
    <x v="0"/>
    <s v="G-NA-91.60-YG"/>
    <n v="31.802"/>
    <n v="0.7"/>
    <n v="29.130600000000001"/>
    <n v="29.353200000000001"/>
    <s v="ASN 032982"/>
    <x v="5"/>
  </r>
  <r>
    <d v="2026-06-20T00:00:00"/>
    <s v="SR-INV-AST/26-27/2773"/>
    <x v="6"/>
    <s v="22-AS475YW-5.00GM-22KT-YG-18 INCH"/>
    <x v="0"/>
    <s v="G-NA-91.60-YG"/>
    <n v="4.5709999999999997"/>
    <n v="0.7"/>
    <n v="4.1870000000000003"/>
    <n v="4.2190000000000003"/>
    <s v="ASN 032982"/>
    <x v="5"/>
  </r>
  <r>
    <d v="2026-06-20T00:00:00"/>
    <s v="SR-INV-AST/26-27/2773"/>
    <x v="6"/>
    <s v="22-AS475YW-5.00GM-22KT-YG-18 INCH"/>
    <x v="0"/>
    <s v="G-NA-91.60-YG"/>
    <n v="4.5609999999999999"/>
    <n v="0.7"/>
    <n v="4.1779000000000002"/>
    <n v="4.2098000000000004"/>
    <s v="ASN 032982"/>
    <x v="5"/>
  </r>
  <r>
    <d v="2026-06-20T00:00:00"/>
    <s v="SR-INV-AST/26-27/2773"/>
    <x v="6"/>
    <s v="22-AS475YW-5.00GM-22KT-YG-18 INCH"/>
    <x v="0"/>
    <s v="G-NA-91.60-YG"/>
    <n v="4.5620000000000003"/>
    <n v="0.7"/>
    <n v="4.1787999999999998"/>
    <n v="4.2107000000000001"/>
    <s v="ASN 032982"/>
    <x v="5"/>
  </r>
  <r>
    <d v="2026-06-20T00:00:00"/>
    <s v="SR-INV-AST/26-27/2773"/>
    <x v="6"/>
    <s v="22-AS475YW-5.00GM-22KT-YG-18 INCH"/>
    <x v="0"/>
    <s v="G-NA-91.60-YG"/>
    <n v="4.5720000000000001"/>
    <n v="0.7"/>
    <n v="4.1879999999999997"/>
    <n v="4.22"/>
    <s v="ASN 032982"/>
    <x v="5"/>
  </r>
  <r>
    <d v="2026-06-20T00:00:00"/>
    <s v="SR-INV-AST/26-27/2773"/>
    <x v="6"/>
    <s v="22-AS475YW-5.00GM-22KT-YG-18 INCH"/>
    <x v="0"/>
    <s v="G-NA-91.60-YG"/>
    <n v="4.5679999999999996"/>
    <n v="0.7"/>
    <n v="4.1843000000000004"/>
    <n v="4.2163000000000004"/>
    <s v="ASN 032982"/>
    <x v="5"/>
  </r>
  <r>
    <d v="2026-06-20T00:00:00"/>
    <s v="SR-INV-AST/26-27/2773"/>
    <x v="6"/>
    <s v="22-AS475YW-5.00GM-22KT-YG-18 INCH"/>
    <x v="0"/>
    <s v="G-NA-91.60-YG"/>
    <n v="4.5529999999999999"/>
    <n v="0.7"/>
    <n v="4.1704999999999997"/>
    <n v="4.2023999999999999"/>
    <s v="ASN 032982"/>
    <x v="5"/>
  </r>
  <r>
    <d v="2026-06-20T00:00:00"/>
    <s v="SR-INV-AST/26-27/2773"/>
    <x v="6"/>
    <s v="22-AS475YW-5.00GM-22KT-YG-18 INCH"/>
    <x v="0"/>
    <s v="G-NA-91.60-YG"/>
    <n v="4.5810000000000004"/>
    <n v="0.7"/>
    <n v="4.1962000000000002"/>
    <n v="4.2282999999999999"/>
    <s v="ASN 032982"/>
    <x v="5"/>
  </r>
  <r>
    <d v="2026-06-20T00:00:00"/>
    <s v="SR-INV-AST/26-27/2773"/>
    <x v="6"/>
    <s v="22-AS475YW-5.00GM-22KT-YG-18 INCH"/>
    <x v="0"/>
    <s v="G-NA-91.60-YG"/>
    <n v="4.5359999999999996"/>
    <n v="0.7"/>
    <n v="4.1550000000000002"/>
    <n v="4.1867000000000001"/>
    <s v="ASN 032982"/>
    <x v="5"/>
  </r>
  <r>
    <d v="2026-06-20T00:00:00"/>
    <s v="SR-INV-AST/26-27/2773"/>
    <x v="6"/>
    <s v="22-AS475YW-5.00GM-22KT-YG-18 INCH"/>
    <x v="0"/>
    <s v="G-NA-91.60-YG"/>
    <n v="4.4909999999999997"/>
    <n v="0.7"/>
    <n v="4.1138000000000003"/>
    <n v="4.1452"/>
    <s v="ASN 032982"/>
    <x v="5"/>
  </r>
  <r>
    <d v="2026-06-20T00:00:00"/>
    <s v="SR-INV-AST/26-27/2773"/>
    <x v="6"/>
    <s v="22-AS475YW-5.00GM-22KT-YG-18 INCH"/>
    <x v="0"/>
    <s v="G-NA-91.60-YG"/>
    <n v="4.4610000000000003"/>
    <n v="0.7"/>
    <n v="4.0862999999999996"/>
    <n v="4.1174999999999997"/>
    <s v="ASN 032982"/>
    <x v="5"/>
  </r>
  <r>
    <d v="2026-06-20T00:00:00"/>
    <s v="SR-INV-AST/26-27/2773"/>
    <x v="6"/>
    <s v="30YV500K-50BOX-FANCY-CHECKS+BORDER-Y-42.00GM-22KT-YG-MS"/>
    <x v="0"/>
    <s v="G-NA-91.60-YG"/>
    <n v="31.683"/>
    <n v="0.7"/>
    <n v="29.021599999999999"/>
    <n v="29.243400000000001"/>
    <s v="ASN 032982"/>
    <x v="5"/>
  </r>
  <r>
    <d v="2026-06-20T00:00:00"/>
    <s v="SR-INV-AST/26-27/2773"/>
    <x v="6"/>
    <s v="30YV500K-50BOX-FANCY-CHECKS+BORDER-Y-42.00GM-22KT-YG-MS"/>
    <x v="0"/>
    <s v="G-NA-91.60-YG"/>
    <n v="31.323"/>
    <n v="0.7"/>
    <n v="28.6919"/>
    <n v="28.911100000000001"/>
    <s v="ASN 032982"/>
    <x v="5"/>
  </r>
  <r>
    <d v="2026-06-20T00:00:00"/>
    <s v="SR-INV-AST/26-27/2773"/>
    <x v="6"/>
    <s v="30YV500K-50BOX-FANCY-CHECKS+BORDER-Y-42.00GM-22KT-YG-MS"/>
    <x v="0"/>
    <s v="G-NA-91.60-YG"/>
    <n v="31.484999999999999"/>
    <n v="0.7"/>
    <n v="28.840299999999999"/>
    <n v="29.060700000000001"/>
    <s v="ASN 032982"/>
    <x v="5"/>
  </r>
  <r>
    <d v="2026-06-20T00:00:00"/>
    <s v="SR-INV-AST/26-27/2772"/>
    <x v="1"/>
    <s v="HL-28RGSR65OSLC-SQUARE-HOLLOW-ROLO-SHORT-LINK-RG-3.50GM-18KT-RG-ROLL"/>
    <x v="1"/>
    <s v="G-NA-75.00-RG"/>
    <n v="218.3"/>
    <n v="0"/>
    <n v="163.72499999999999"/>
    <n v="163.72499999999999"/>
    <s v="RC-3318/2-CS"/>
    <x v="1"/>
  </r>
  <r>
    <d v="2026-06-20T00:00:00"/>
    <s v="SR-INV-AST/26-27/2772"/>
    <x v="1"/>
    <s v="27RPRB2C-PENTAGON-6GM-ICE-PAVE-RP-6.50GM-18KT-RG-MS"/>
    <x v="1"/>
    <s v="G-NA-75.00-RG"/>
    <n v="81.477999999999994"/>
    <n v="0"/>
    <n v="61.108499999999999"/>
    <n v="61.108499999999999"/>
    <s v="RC-EXTRA-ST(NO HUID)"/>
    <x v="1"/>
  </r>
  <r>
    <d v="2026-06-20T00:00:00"/>
    <s v="SR-INV-AST/26-27/2772"/>
    <x v="1"/>
    <s v="VRC-182-14.50GM-18KT-RG-18 INCH"/>
    <x v="1"/>
    <s v="G-NA-75.00-RG"/>
    <n v="18.28"/>
    <n v="0"/>
    <n v="13.71"/>
    <n v="13.71"/>
    <s v="YASH-BHAI-(CORP SAMPLE LINE)(NO HUID)"/>
    <x v="1"/>
  </r>
  <r>
    <d v="2026-06-20T00:00:00"/>
    <s v="SR-INV-AST/26-27/2772"/>
    <x v="1"/>
    <s v="VRC-234-28.00GM-18KT-RG-MS"/>
    <x v="1"/>
    <s v="G-NA-75.00-RG"/>
    <n v="30.33"/>
    <n v="0"/>
    <n v="22.747499999999999"/>
    <n v="22.747499999999999"/>
    <s v="YASH-BHAI-(CORP SAMPLE LINE)(NO HUID)"/>
    <x v="1"/>
  </r>
  <r>
    <d v="2026-06-20T00:00:00"/>
    <s v="SR-INV-AST/26-27/2772"/>
    <x v="1"/>
    <s v="VRC-146-17.50GM-18KT-RG-MS"/>
    <x v="1"/>
    <s v="G-NA-75.00-RG"/>
    <n v="15.95"/>
    <n v="0"/>
    <n v="11.9625"/>
    <n v="11.9625"/>
    <s v="YASH-BHAI-(CORP SAMPLE LINE)(NO HUID)"/>
    <x v="1"/>
  </r>
  <r>
    <d v="2026-06-20T00:00:00"/>
    <s v="SR-INV-AST/26-27/2772"/>
    <x v="1"/>
    <s v="10B4CT3-1MM-BARREL-CHAIN-SPIRAL-CUT-PAVE-TRIANGLE-7.00GM-18KT-RG-MS"/>
    <x v="1"/>
    <s v="G-NA-75.00-RG"/>
    <n v="74.48"/>
    <n v="0"/>
    <n v="55.86"/>
    <n v="55.86"/>
    <s v="RC-3319/2-CS"/>
    <x v="1"/>
  </r>
  <r>
    <d v="2026-06-20T00:00:00"/>
    <s v="SR-INV-AST/26-27/2772"/>
    <x v="1"/>
    <s v="10B4CS4-1MM-BARREL-CHAIN-SPIRAL-CUT-PAVE-SQUARE-9.00GM-18KT-RG-MS"/>
    <x v="1"/>
    <s v="G-NA-75.00-RG"/>
    <n v="67.66"/>
    <n v="0"/>
    <n v="50.744999999999997"/>
    <n v="50.744999999999997"/>
    <s v="RC-3319/2-CS"/>
    <x v="1"/>
  </r>
  <r>
    <d v="2026-06-20T00:00:00"/>
    <s v="SR-INV-AST/26-27/2772"/>
    <x v="1"/>
    <s v="10B5BR6-1MM-BALL+BARREL-CHAIN-8-CUT-PAVE-6L-ROUND-13.00GM-18KT-YG-MS"/>
    <x v="1"/>
    <s v="G-NA-75.00-YG"/>
    <n v="238.37"/>
    <n v="0"/>
    <n v="178.7775"/>
    <n v="178.7775"/>
    <s v="RC-3335-CS"/>
    <x v="1"/>
  </r>
  <r>
    <d v="2026-06-20T00:00:00"/>
    <s v="SR-INV-AST/26-27/2772"/>
    <x v="1"/>
    <s v="16YV30CL2-3BOX-SHIVA-ICE-Y-6.00GM-18KT-YG-MS"/>
    <x v="1"/>
    <s v="G-NA-75.00-YG"/>
    <n v="252.67"/>
    <n v="0"/>
    <n v="189.5025"/>
    <n v="189.5025"/>
    <s v="RC-11920-ST(NO HUID)"/>
    <x v="1"/>
  </r>
  <r>
    <d v="2026-06-20T00:00:00"/>
    <s v="SR-INV-AST/26-27/2772"/>
    <x v="1"/>
    <s v="KLG-29-4Y-17gm-18KT-YG-MS"/>
    <x v="1"/>
    <s v="G-NA-75.00-YG"/>
    <n v="104.09"/>
    <n v="0"/>
    <n v="78.067499999999995"/>
    <n v="78.067499999999995"/>
    <s v="RC-3339/2-CS"/>
    <x v="1"/>
  </r>
  <r>
    <d v="2026-06-20T00:00:00"/>
    <s v="SR-INV-AST/26-27/2772"/>
    <x v="1"/>
    <s v="10YPV40K-4BOX-FANCY-CHECKS+BORDER-PAVE-YP-3.50GM-18KT-YG-MS"/>
    <x v="1"/>
    <s v="G-NA-75.00-YG"/>
    <n v="232.82"/>
    <n v="0"/>
    <n v="174.61500000000001"/>
    <n v="174.61500000000001"/>
    <s v="RC-11923-ST(NO HUID)"/>
    <x v="1"/>
  </r>
  <r>
    <d v="2026-06-20T00:00:00"/>
    <s v="SR-INV-AST/26-27/2772"/>
    <x v="1"/>
    <s v="CHOCO-MIX-NA-18KT-YG-NA"/>
    <x v="1"/>
    <s v="G-NA-75.00-YG"/>
    <n v="14.14"/>
    <n v="0"/>
    <n v="10.605"/>
    <n v="10.605"/>
    <s v="RC-3326-CS"/>
    <x v="1"/>
  </r>
  <r>
    <d v="2026-06-20T00:00:00"/>
    <s v="SR-INV-AST/26-27/2772"/>
    <x v="1"/>
    <s v="PRESS-CHAIN-PAVE-ICE-CUT-4.00GM-18KT-YG-MS"/>
    <x v="1"/>
    <s v="G-NA-75.00-YG"/>
    <n v="200.08"/>
    <n v="0"/>
    <n v="150.06"/>
    <n v="150.06"/>
    <s v="RC-11924-ST(NO HUID)"/>
    <x v="1"/>
  </r>
  <r>
    <d v="2026-06-20T00:00:00"/>
    <s v="SR-INV-AST/26-27/2772"/>
    <x v="1"/>
    <s v="ILM083-SKODA-4.00GM-18KT-YG-MS"/>
    <x v="1"/>
    <s v="G-NA-75.00-YG"/>
    <n v="5.53"/>
    <n v="0"/>
    <n v="4.1475"/>
    <n v="4.1475"/>
    <s v="RC-3337-CS"/>
    <x v="1"/>
  </r>
  <r>
    <d v="2026-06-20T00:00:00"/>
    <s v="SR-INV-AST/26-27/2772"/>
    <x v="1"/>
    <s v="PRESS-CHAIN-PAVE-ICE-CUT-5.00GM-18KT-YG-MS"/>
    <x v="1"/>
    <s v="G-NA-75.00-YG"/>
    <n v="153.11000000000001"/>
    <n v="0"/>
    <n v="114.8325"/>
    <n v="114.8325"/>
    <s v="RC-11924-ST(NO HUID)"/>
    <x v="1"/>
  </r>
  <r>
    <d v="2026-06-20T00:00:00"/>
    <s v="SR-INV-AST/26-27/2772"/>
    <x v="1"/>
    <s v="15B4RR6-1.5MM-BARREL-CHAIN-ICE-CUT-PAVE-6L-ROUND-25gm-18KT-YG-MS"/>
    <x v="1"/>
    <s v="G-NA-75.00-YG"/>
    <n v="308.39"/>
    <n v="0"/>
    <n v="231.29249999999999"/>
    <n v="231.29249999999999"/>
    <s v="RC-11913-ST(NO HUID)"/>
    <x v="1"/>
  </r>
  <r>
    <d v="2026-06-20T00:00:00"/>
    <s v="SR-INV-AST/26-27/2772"/>
    <x v="1"/>
    <s v="10YV30V-3BOX-V-CUT-Y-2.50GM-18KT-YG-MS"/>
    <x v="1"/>
    <s v="G-NA-75.00-YG"/>
    <n v="248.8"/>
    <n v="0"/>
    <n v="186.6"/>
    <n v="186.6"/>
    <s v="RC-11917-ST(NO HUID)"/>
    <x v="1"/>
  </r>
  <r>
    <d v="2026-06-20T00:00:00"/>
    <s v="SR-INV-AST/26-27/2772"/>
    <x v="1"/>
    <s v="HL-28RGTR65OS11-TRIANGLE-HOLLOW-ROLO-NO-CUT-5+1-RG-2.50GM-18KT-RG-ROLL"/>
    <x v="1"/>
    <s v="G-NA-75.00-RG"/>
    <n v="367.54"/>
    <n v="0"/>
    <n v="275.65499999999997"/>
    <n v="275.65499999999997"/>
    <s v="RC-3318/3-CS"/>
    <x v="1"/>
  </r>
  <r>
    <d v="2026-06-20T00:00:00"/>
    <s v="SR-INV-AST/26-27/2772"/>
    <x v="1"/>
    <s v="CNC-CHS-001-13.50GM-18KT-RG-MS"/>
    <x v="1"/>
    <s v="G-NA-75.00-RG"/>
    <n v="9.7569999999999997"/>
    <n v="0"/>
    <n v="7.3178000000000001"/>
    <n v="7.3178000000000001"/>
    <s v="RC-EXTRA-ST(NO HUID)"/>
    <x v="1"/>
  </r>
  <r>
    <d v="2026-06-20T00:00:00"/>
    <s v="SR-INV-AST/26-27/2771"/>
    <x v="6"/>
    <s v="MIX-CHAIN-40.00GM-22KT-YG-NA"/>
    <x v="0"/>
    <s v="G-NA-91.60-YG"/>
    <n v="7.0590000000000002"/>
    <n v="0.7"/>
    <n v="6.4660000000000002"/>
    <n v="6.5155000000000003"/>
    <s v="ASN -033149"/>
    <x v="5"/>
  </r>
  <r>
    <d v="2026-06-20T00:00:00"/>
    <s v="SR-INV-AST/26-27/2770"/>
    <x v="6"/>
    <s v="MIX-CHAIN-40.00GM-22KT-YG-NA"/>
    <x v="0"/>
    <s v="G-NA-91.60-YG"/>
    <n v="19.829000000000001"/>
    <n v="0.7"/>
    <n v="18.163399999999999"/>
    <n v="18.302199999999999"/>
    <s v="ASN -033150"/>
    <x v="5"/>
  </r>
  <r>
    <d v="2026-06-20T00:00:00"/>
    <s v="SR-INV-AST/26-27/2769"/>
    <x v="1"/>
    <s v="INITFC-182-20.00GM-22KT-YG-ROLL"/>
    <x v="0"/>
    <s v="G-NA-91.80-YG"/>
    <n v="1457.12"/>
    <n v="0"/>
    <n v="1337.6361999999999"/>
    <n v="1337.6361999999999"/>
    <s v="RC-11204-ST(NO HUID)"/>
    <x v="1"/>
  </r>
  <r>
    <d v="2026-06-20T00:00:00"/>
    <s v="SR-INV-AST/26-27/2768"/>
    <x v="6"/>
    <s v="MIX-ITEMS-50.00GM-22KT-YG-NA"/>
    <x v="0"/>
    <s v="G-NA-91.60-YG"/>
    <n v="38.590000000000003"/>
    <n v="0.7"/>
    <n v="35.348399999999998"/>
    <n v="35.618600000000001"/>
    <s v="ASN -032889"/>
    <x v="5"/>
  </r>
  <r>
    <d v="2026-06-20T00:00:00"/>
    <s v="SR-INV-AST/26-27/2767"/>
    <x v="6"/>
    <s v="ASS-PLAIN-NA-18KT-YG-NA"/>
    <x v="1"/>
    <s v="G-NA-75.00-YG"/>
    <n v="16.097000000000001"/>
    <n v="0.7"/>
    <n v="12.072800000000001"/>
    <n v="12.1854"/>
    <s v="ASN -032966"/>
    <x v="5"/>
  </r>
  <r>
    <d v="2026-06-20T00:00:00"/>
    <s v="SR-INV-AST/26-27/2766"/>
    <x v="1"/>
    <s v="INITFC-187-19.00GM-22KT-YG-ROLL"/>
    <x v="0"/>
    <s v="G-NA-91.80-YG"/>
    <n v="1349.18"/>
    <n v="0"/>
    <n v="1238.5472"/>
    <n v="1238.5472"/>
    <s v="RC-200002-ST(NO HUID)"/>
    <x v="1"/>
  </r>
  <r>
    <d v="2026-06-20T00:00:00"/>
    <s v="SR-INV-AST/26-27/2765"/>
    <x v="7"/>
    <s v="MIX-CHAIN-40.00GM-22KT-YG-NA"/>
    <x v="0"/>
    <s v="G-NA-91.80-YG"/>
    <n v="15.62"/>
    <n v="0"/>
    <n v="14.3392"/>
    <n v="14.3392"/>
    <s v="SLIP NO-14445"/>
    <x v="6"/>
  </r>
  <r>
    <d v="2026-06-20T00:00:00"/>
    <s v="SR-INV-AST/26-27/2765"/>
    <x v="7"/>
    <s v="ASS-PLAIN--22KT-YG-NA"/>
    <x v="0"/>
    <s v="G-NA-91.80-YG"/>
    <n v="48.81"/>
    <n v="0"/>
    <n v="44.807600000000001"/>
    <n v="44.807600000000001"/>
    <s v="SLIP-14444"/>
    <x v="6"/>
  </r>
  <r>
    <d v="2026-06-20T00:00:00"/>
    <s v="SR-INV-AST/26-27/2765"/>
    <x v="7"/>
    <s v="INDO-MIX-NA-22KT-YG-NA"/>
    <x v="0"/>
    <s v="G-NA-91.80-YG"/>
    <n v="46.24"/>
    <n v="0"/>
    <n v="42.448300000000003"/>
    <n v="42.448300000000003"/>
    <s v="SLIP NO-14447"/>
    <x v="6"/>
  </r>
  <r>
    <d v="2026-06-20T00:00:00"/>
    <s v="SR-INV-AST/26-27/2765"/>
    <x v="7"/>
    <s v="MIX-ITEMS-50.00GM-22KT-YG-NA"/>
    <x v="0"/>
    <s v="G-NA-91.80-YG"/>
    <n v="530.98"/>
    <n v="0"/>
    <n v="487.43959999999998"/>
    <n v="487.43959999999998"/>
    <s v="slip no-14819"/>
    <x v="6"/>
  </r>
  <r>
    <d v="2026-06-20T00:00:00"/>
    <s v="SR-INV-AST/26-27/2765"/>
    <x v="7"/>
    <s v="MIX-ITEMS-50.00GM-22KT-YG-NA"/>
    <x v="0"/>
    <s v="G-NA-91.80-YG"/>
    <n v="11.4"/>
    <n v="0"/>
    <n v="10.465199999999999"/>
    <n v="10.465199999999999"/>
    <s v="SLIP-14822"/>
    <x v="6"/>
  </r>
  <r>
    <d v="2026-06-20T00:00:00"/>
    <s v="SR-INV-AST/26-27/2765"/>
    <x v="7"/>
    <s v="MIX-ITEMS-NA-22KT-YG-NA"/>
    <x v="0"/>
    <s v="G-NA-91.80-YG"/>
    <n v="8.07"/>
    <n v="0"/>
    <n v="7.4082999999999997"/>
    <n v="7.4082999999999997"/>
    <s v="SLIP NO-14816"/>
    <x v="6"/>
  </r>
  <r>
    <d v="2026-06-20T00:00:00"/>
    <s v="SR-INV-AST/26-27/2764"/>
    <x v="1"/>
    <s v="22-IMBH215Y-8.50gm-22KT-YG-MS"/>
    <x v="0"/>
    <s v="G-NA-91.80-YG"/>
    <n v="8.3650000000000002"/>
    <n v="0"/>
    <n v="7.6791"/>
    <n v="7.6791"/>
    <s v="RC-EXTRA-ST(NO HUID)"/>
    <x v="1"/>
  </r>
  <r>
    <d v="2026-06-20T00:00:00"/>
    <s v="SR-INV-AST/26-27/2764"/>
    <x v="1"/>
    <s v="22-AS208YW-8.50GM-22KT-YG-MS"/>
    <x v="0"/>
    <s v="G-NA-91.80-YG"/>
    <n v="71.97"/>
    <n v="0"/>
    <n v="66.0685"/>
    <n v="66.0685"/>
    <s v="RC-200009-ST(HUID DONE)"/>
    <x v="1"/>
  </r>
  <r>
    <d v="2026-06-20T00:00:00"/>
    <s v="SR-INV-AST/26-27/2764"/>
    <x v="1"/>
    <s v="22-AS101Y-8.00GM-22KT-YG-MS"/>
    <x v="0"/>
    <s v="G-NA-91.80-YG"/>
    <n v="120.29"/>
    <n v="0"/>
    <n v="110.42619999999999"/>
    <n v="110.42619999999999"/>
    <s v="RC-21956-ST(NO HUID)"/>
    <x v="1"/>
  </r>
  <r>
    <d v="2026-06-20T00:00:00"/>
    <s v="SR-INV-AST/26-27/2764"/>
    <x v="1"/>
    <s v="ASDKY660Y-9gm-22KT-YG-MS"/>
    <x v="0"/>
    <s v="G-NA-91.80-YG"/>
    <n v="10.56"/>
    <n v="0"/>
    <n v="9.6941000000000006"/>
    <n v="9.6941000000000006"/>
    <s v="RC-100534-EXP (ONLY-916).."/>
    <x v="1"/>
  </r>
  <r>
    <d v="2026-06-20T00:00:00"/>
    <s v="SR-INV-AST/26-27/2764"/>
    <x v="1"/>
    <s v="22-AS208Y-8.50GM-22KT-YG-MS"/>
    <x v="0"/>
    <s v="G-NA-91.80-YG"/>
    <n v="120.63"/>
    <n v="0"/>
    <n v="110.7383"/>
    <n v="110.7383"/>
    <s v="RC-200009-ST(NO HUID)"/>
    <x v="1"/>
  </r>
  <r>
    <d v="2026-06-20T00:00:00"/>
    <s v="SR-INV-AST/26-27/2764"/>
    <x v="1"/>
    <s v="22-IMB048Y-12.50GM-22KT-YG-MS"/>
    <x v="0"/>
    <s v="G-NA-91.80-YG"/>
    <n v="20.03"/>
    <n v="0"/>
    <n v="18.387499999999999"/>
    <n v="18.387499999999999"/>
    <s v="RC-21962-CS"/>
    <x v="1"/>
  </r>
  <r>
    <d v="2026-06-20T00:00:00"/>
    <s v="SR-INV-AST/26-27/2764"/>
    <x v="1"/>
    <s v="22-ASSEMBLE-CHAIN-PLAIN-5.00GM-22KT-YG-MS"/>
    <x v="0"/>
    <s v="G-NA-91.80-YG"/>
    <n v="10.27"/>
    <n v="0"/>
    <n v="9.4278999999999993"/>
    <n v="9.4278999999999993"/>
    <s v="RC-22035-CS-1806"/>
    <x v="1"/>
  </r>
  <r>
    <d v="2026-06-20T00:00:00"/>
    <s v="SR-INV-AST/26-27/2764"/>
    <x v="1"/>
    <s v="22-ASSEMBLE-CHAIN-RHODIUM-A-5.00GM-22KT-YG-MS"/>
    <x v="0"/>
    <s v="G-NA-91.80-YG"/>
    <n v="49.41"/>
    <n v="0"/>
    <n v="45.358400000000003"/>
    <n v="45.358400000000003"/>
    <s v="RC-EXTRA-ST-1806/3((HUID DONE)"/>
    <x v="1"/>
  </r>
  <r>
    <d v="2026-06-20T00:00:00"/>
    <s v="SR-INV-AST/26-27/2764"/>
    <x v="1"/>
    <s v="ASDKY371Y-6.00GM-22KT-YG-MS"/>
    <x v="0"/>
    <s v="G-NA-91.80-YG"/>
    <n v="95.1"/>
    <n v="0"/>
    <n v="87.3018"/>
    <n v="87.3018"/>
    <s v="RC-200010-ST(NO HUID)"/>
    <x v="1"/>
  </r>
  <r>
    <d v="2026-06-20T00:00:00"/>
    <s v="SR-INV-AST/26-27/2764"/>
    <x v="1"/>
    <s v="CHOCO-MIX-NA-22KT-YG-NA"/>
    <x v="0"/>
    <s v="G-NA-91.80-YG"/>
    <n v="39.590000000000003"/>
    <n v="0"/>
    <n v="36.343600000000002"/>
    <n v="36.343600000000002"/>
    <s v="RC-ST-1806(NO HUID)"/>
    <x v="1"/>
  </r>
  <r>
    <d v="2026-06-20T00:00:00"/>
    <s v="SR-INV-AST/26-27/2764"/>
    <x v="1"/>
    <s v="22-ASSEMBLE-CHAIN-RHODIUM-B-5.00GM-22KT-YG-MS"/>
    <x v="0"/>
    <s v="G-NA-91.80-YG"/>
    <n v="40.729999999999997"/>
    <n v="0"/>
    <n v="37.390099999999997"/>
    <n v="37.390099999999997"/>
    <s v="RC-EXTRA-ST-1806/3(HUID DONE)"/>
    <x v="1"/>
  </r>
  <r>
    <d v="2026-06-20T00:00:00"/>
    <s v="SR-INV-AST/26-27/2764"/>
    <x v="1"/>
    <s v="18YV150K-15BOX-FANCY-CHECKS+BORDER-Y-14.00GM-22KT-YG-MS"/>
    <x v="0"/>
    <s v="G-NA-91.80-YG"/>
    <n v="156.19"/>
    <n v="0"/>
    <n v="143.38239999999999"/>
    <n v="143.38239999999999"/>
    <s v="RC-22004-CS"/>
    <x v="1"/>
  </r>
  <r>
    <d v="2026-06-20T00:00:00"/>
    <s v="SR-INV-AST/26-27/2764"/>
    <x v="1"/>
    <s v="AS-ANK-024-11.00GM-22KT-YG-MS"/>
    <x v="0"/>
    <s v="G-NA-91.80-YG"/>
    <n v="19.43"/>
    <n v="0"/>
    <n v="17.8367"/>
    <n v="17.8367"/>
    <s v="RC-100472-DXB (ONLY 916)"/>
    <x v="1"/>
  </r>
  <r>
    <d v="2026-06-20T00:00:00"/>
    <s v="SR-INV-AST/26-27/2764"/>
    <x v="1"/>
    <s v="22-AS043Y-14.50GM-22KT-YG-MS"/>
    <x v="0"/>
    <s v="G-NA-91.80-YG"/>
    <n v="324.54000000000002"/>
    <n v="0"/>
    <n v="297.92770000000002"/>
    <n v="297.92770000000002"/>
    <s v="RC-100199-ST(NO HUID)"/>
    <x v="1"/>
  </r>
  <r>
    <d v="2026-06-20T00:00:00"/>
    <s v="SR-INV-AST/26-27/2764"/>
    <x v="1"/>
    <s v="17YRB11F-BOOMER-6GM-FLAT-CUT-Y-6.00GM-22KT-YG-MS"/>
    <x v="0"/>
    <s v="G-NA-91.80-YG"/>
    <n v="204.21"/>
    <n v="0"/>
    <n v="187.4648"/>
    <n v="187.4648"/>
    <s v="RC-MC-RSO-110626(NO HUID)"/>
    <x v="1"/>
  </r>
  <r>
    <d v="2026-06-20T00:00:00"/>
    <s v="SR-INV-AST/26-27/2764"/>
    <x v="1"/>
    <s v="22-AS174Y-5.00GM-22KT-YG-MS"/>
    <x v="0"/>
    <s v="G-NA-91.80-YG"/>
    <n v="74.94"/>
    <n v="0"/>
    <n v="68.794899999999998"/>
    <n v="68.794899999999998"/>
    <s v="RC-200004-ST(NO HUID)"/>
    <x v="1"/>
  </r>
  <r>
    <d v="2026-06-20T00:00:00"/>
    <s v="SR-INV-AST/26-27/2764"/>
    <x v="1"/>
    <s v="22-IMP-ASSEMBLE-CHAIN-A-5.00GM-22KT-YG-MS"/>
    <x v="0"/>
    <s v="G-NA-91.80-YG"/>
    <n v="12.3"/>
    <n v="0"/>
    <n v="11.291399999999999"/>
    <n v="11.291399999999999"/>
    <s v="RC-EXTRA-ST-1806/3(NO HUID)"/>
    <x v="1"/>
  </r>
  <r>
    <d v="2026-06-20T00:00:00"/>
    <s v="SR-INV-AST/26-27/2764"/>
    <x v="1"/>
    <s v="ASDKY303Y-8.00GM-22KT-YG-MS"/>
    <x v="0"/>
    <s v="G-NA-91.80-YG"/>
    <n v="98.56"/>
    <n v="0"/>
    <n v="90.478099999999998"/>
    <n v="90.478099999999998"/>
    <s v="RC-200010-ST(NO HUID)"/>
    <x v="1"/>
  </r>
  <r>
    <d v="2026-06-20T00:00:00"/>
    <s v="SR-INV-AST/26-27/2764"/>
    <x v="1"/>
    <s v="AS-DKY-320-PLAIN-12.00GM-22KT-YG-MS"/>
    <x v="0"/>
    <s v="G-NA-91.80-YG"/>
    <n v="99.49"/>
    <n v="0"/>
    <n v="91.331800000000001"/>
    <n v="91.331800000000001"/>
    <s v="RC-100544-REL  (ONLY-916)"/>
    <x v="1"/>
  </r>
  <r>
    <d v="2026-06-20T00:00:00"/>
    <s v="SR-INV-AST/26-27/2764"/>
    <x v="1"/>
    <s v="INITFC-193-18.00GM-22KT-YG-ROLL"/>
    <x v="0"/>
    <s v="G-NA-91.80-YG"/>
    <n v="532.5"/>
    <n v="0"/>
    <n v="488.83499999999998"/>
    <n v="488.83499999999998"/>
    <s v="ORD-11204-ST(NO HUID)"/>
    <x v="1"/>
  </r>
  <r>
    <d v="2026-06-20T00:00:00"/>
    <s v="SR-INV-AST/26-27/2764"/>
    <x v="1"/>
    <s v="22-IMBH216Y-8.50gm-22KT-YG-MS"/>
    <x v="0"/>
    <s v="G-NA-91.80-YG"/>
    <n v="8.5920000000000005"/>
    <n v="0"/>
    <n v="7.8875000000000002"/>
    <n v="7.8875000000000002"/>
    <s v="RC-EXTRA-ST(NO HUID)"/>
    <x v="1"/>
  </r>
  <r>
    <d v="2026-06-20T00:00:00"/>
    <s v="SR-INV-AST/26-27/2764"/>
    <x v="1"/>
    <s v="22-IMBH216YW-8.50gm-22KT-YG-MS"/>
    <x v="0"/>
    <s v="G-NA-91.80-YG"/>
    <n v="151.79"/>
    <n v="0"/>
    <n v="139.3432"/>
    <n v="139.3432"/>
    <s v="RC-21960-CS"/>
    <x v="1"/>
  </r>
  <r>
    <d v="2026-06-20T00:00:00"/>
    <s v="SR-INV-AST/26-27/2764"/>
    <x v="1"/>
    <s v="22-IMBH215Y-8.50gm-22KT-YG-MS"/>
    <x v="0"/>
    <s v="G-NA-91.80-YG"/>
    <n v="8.9640000000000004"/>
    <n v="0"/>
    <n v="8.2289999999999992"/>
    <n v="8.2289999999999992"/>
    <s v="RC-EXTRA-ST(NO HUID)"/>
    <x v="1"/>
  </r>
  <r>
    <d v="2026-06-20T00:00:00"/>
    <s v="SR-INV-AST/26-27/2764"/>
    <x v="1"/>
    <s v="22-IMBH211Y-8gm-22KT-YG-MS"/>
    <x v="0"/>
    <s v="G-NA-91.80-YG"/>
    <n v="8.2870000000000008"/>
    <n v="0"/>
    <n v="7.6074999999999999"/>
    <n v="7.6074999999999999"/>
    <s v="RC-EXTRA-ST(NO HUID)"/>
    <x v="1"/>
  </r>
  <r>
    <d v="2026-06-20T00:00:00"/>
    <s v="SR-INV-AST/26-27/2763"/>
    <x v="6"/>
    <s v="31YV40DL3-4BOX-HIGHWAY-V-Y-12.50GM-22KT-YG-MS"/>
    <x v="0"/>
    <s v="G-NA-91.60-YG"/>
    <n v="14.282999999999999"/>
    <n v="0.7"/>
    <n v="13.0832"/>
    <n v="13.183199999999999"/>
    <s v="ASN -033136"/>
    <x v="5"/>
  </r>
  <r>
    <d v="2026-06-20T00:00:00"/>
    <s v="SR-INV-AST/26-27/2763"/>
    <x v="6"/>
    <s v="30YC50DR4-50LRK-CURB-SUNDARI-V-CUT-Y-24.00GM-22KT-YG-MS"/>
    <x v="0"/>
    <s v="G-NA-91.60-YG"/>
    <n v="20.841000000000001"/>
    <n v="0.7"/>
    <n v="19.090399999999999"/>
    <n v="19.2362"/>
    <s v="ASN -033136"/>
    <x v="5"/>
  </r>
  <r>
    <d v="2026-06-20T00:00:00"/>
    <s v="SR-INV-AST/26-27/2763"/>
    <x v="6"/>
    <s v="30YC50DR4-50LRK-CURB-SUNDARI-V-CUT-Y-24.00GM-22KT-YG-MS"/>
    <x v="0"/>
    <s v="G-NA-91.60-YG"/>
    <n v="22.456"/>
    <n v="0.7"/>
    <n v="20.569700000000001"/>
    <n v="20.726900000000001"/>
    <s v="ASN -033136"/>
    <x v="5"/>
  </r>
  <r>
    <d v="2026-06-20T00:00:00"/>
    <s v="SR-INV-AST/26-27/2763"/>
    <x v="6"/>
    <s v="30YC50DR4-50LRK-CURB-SUNDARI-V-CUT-Y-24.00GM-22KT-YG-MS"/>
    <x v="0"/>
    <s v="G-NA-91.60-YG"/>
    <n v="20.663"/>
    <n v="0.7"/>
    <n v="18.927299999999999"/>
    <n v="19.071899999999999"/>
    <s v="ASN -033136"/>
    <x v="5"/>
  </r>
  <r>
    <d v="2026-06-20T00:00:00"/>
    <s v="SR-INV-AST/26-27/2763"/>
    <x v="6"/>
    <s v="30YC50DR4-50LRK-CURB-SUNDARI-V-CUT-Y-24.00GM-22KT-YG-MS"/>
    <x v="0"/>
    <s v="G-NA-91.60-YG"/>
    <n v="20.762"/>
    <n v="0.7"/>
    <n v="19.018000000000001"/>
    <n v="19.1633"/>
    <s v="ASN -033136"/>
    <x v="5"/>
  </r>
  <r>
    <d v="2026-06-20T00:00:00"/>
    <s v="SR-INV-AST/26-27/2763"/>
    <x v="6"/>
    <s v="30YC50DR4-50LRK-CURB-SUNDARI-V-CUT-Y-24.00GM-22KT-YG-MS"/>
    <x v="0"/>
    <s v="G-NA-91.60-YG"/>
    <n v="20.684999999999999"/>
    <n v="0.7"/>
    <n v="18.947500000000002"/>
    <n v="19.092300000000002"/>
    <s v="ASN -033136"/>
    <x v="5"/>
  </r>
  <r>
    <d v="2026-06-20T00:00:00"/>
    <s v="SR-INV-AST/26-27/2763"/>
    <x v="6"/>
    <s v="30YC50DR4-50LRK-CURB-SUNDARI-V-CUT-Y-24.00GM-22KT-YG-MS"/>
    <x v="0"/>
    <s v="G-NA-91.60-YG"/>
    <n v="20.542000000000002"/>
    <n v="0.7"/>
    <n v="18.816500000000001"/>
    <n v="18.9603"/>
    <s v="ASN -033136"/>
    <x v="5"/>
  </r>
  <r>
    <d v="2026-06-20T00:00:00"/>
    <s v="SR-INV-AST/26-27/2763"/>
    <x v="6"/>
    <s v="30YC50DR4-50LRK-CURB-SUNDARI-V-CUT-Y-24.00GM-22KT-YG-MS"/>
    <x v="0"/>
    <s v="G-NA-91.60-YG"/>
    <n v="20.791"/>
    <n v="0.7"/>
    <n v="19.044599999999999"/>
    <n v="19.190100000000001"/>
    <s v="ASN -033136"/>
    <x v="5"/>
  </r>
  <r>
    <d v="2026-06-20T00:00:00"/>
    <s v="SR-INV-AST/26-27/2763"/>
    <x v="6"/>
    <s v="30YC50DR4-50LRK-CURB-SUNDARI-V-CUT-Y-24.00GM-22KT-YG-MS"/>
    <x v="0"/>
    <s v="G-NA-91.60-YG"/>
    <n v="20.710999999999999"/>
    <n v="0.7"/>
    <n v="18.971299999999999"/>
    <n v="19.116299999999999"/>
    <s v="ASN -033136"/>
    <x v="5"/>
  </r>
  <r>
    <d v="2026-06-20T00:00:00"/>
    <s v="SR-INV-AST/26-27/2763"/>
    <x v="6"/>
    <s v="ROPE-CHAIN-12.00GM-22KT-YG-MS"/>
    <x v="0"/>
    <s v="G-NA-91.60-YG"/>
    <n v="30.029"/>
    <n v="0.7"/>
    <n v="27.506599999999999"/>
    <n v="27.716799999999999"/>
    <s v="ASN -033136"/>
    <x v="5"/>
  </r>
  <r>
    <d v="2026-06-20T00:00:00"/>
    <s v="SR-INV-AST/26-27/2763"/>
    <x v="6"/>
    <s v="31YV40DL3-4BOX-HIGHWAY-V-Y-12.50GM-22KT-YG-MS"/>
    <x v="0"/>
    <s v="G-NA-91.60-YG"/>
    <n v="14.211"/>
    <n v="0.7"/>
    <n v="13.017300000000001"/>
    <n v="13.1168"/>
    <s v="ASN -033136"/>
    <x v="5"/>
  </r>
  <r>
    <d v="2026-06-20T00:00:00"/>
    <s v="SR-INV-AST/26-27/2763"/>
    <x v="6"/>
    <s v="ROPE-CHAIN-12.00GM-22KT-YG-MS"/>
    <x v="0"/>
    <s v="G-NA-91.60-YG"/>
    <n v="29.923999999999999"/>
    <n v="0.7"/>
    <n v="27.410399999999999"/>
    <n v="27.619900000000001"/>
    <s v="ASN -033136"/>
    <x v="5"/>
  </r>
  <r>
    <d v="2026-06-20T00:00:00"/>
    <s v="SR-INV-AST/26-27/2763"/>
    <x v="6"/>
    <s v="ROPE-CHAIN-12.00GM-22KT-YG-MS"/>
    <x v="0"/>
    <s v="G-NA-91.60-YG"/>
    <n v="30.042000000000002"/>
    <n v="0.7"/>
    <n v="27.5185"/>
    <n v="27.7288"/>
    <s v="ASN -033136"/>
    <x v="5"/>
  </r>
  <r>
    <d v="2026-06-20T00:00:00"/>
    <s v="SR-INV-AST/26-27/2763"/>
    <x v="6"/>
    <s v="31YV40DL3-4BOX-HIGHWAY-V-Y-12.50GM-22KT-YG-MS"/>
    <x v="0"/>
    <s v="G-NA-91.60-YG"/>
    <n v="14.244999999999999"/>
    <n v="0.7"/>
    <n v="13.048400000000001"/>
    <n v="13.148099999999999"/>
    <s v="ASN -033136"/>
    <x v="5"/>
  </r>
  <r>
    <d v="2026-06-20T00:00:00"/>
    <s v="SR-INV-AST/26-27/2763"/>
    <x v="6"/>
    <s v="ROPE-CHAIN-12.00GM-22KT-YG-MS"/>
    <x v="0"/>
    <s v="G-NA-91.60-YG"/>
    <n v="29.992000000000001"/>
    <n v="0.7"/>
    <n v="27.4727"/>
    <n v="27.682600000000001"/>
    <s v="ASN -033136"/>
    <x v="5"/>
  </r>
  <r>
    <d v="2026-06-20T00:00:00"/>
    <s v="SR-INV-AST/26-27/2763"/>
    <x v="6"/>
    <s v="31YV40DL3-4BOX-HIGHWAY-V-Y-12.50GM-22KT-YG-MS"/>
    <x v="0"/>
    <s v="G-NA-91.60-YG"/>
    <n v="14.022"/>
    <n v="0.7"/>
    <n v="12.844200000000001"/>
    <n v="12.942299999999999"/>
    <s v="ASN -033136"/>
    <x v="5"/>
  </r>
  <r>
    <d v="2026-06-20T00:00:00"/>
    <s v="SR-INV-AST/26-27/2763"/>
    <x v="6"/>
    <s v="31YV40DL3-4BOX-HIGHWAY-V-Y-12.50GM-22KT-YG-MS"/>
    <x v="0"/>
    <s v="G-NA-91.60-YG"/>
    <n v="14.252000000000001"/>
    <n v="0.7"/>
    <n v="13.0548"/>
    <n v="13.1546"/>
    <s v="ASN -033136"/>
    <x v="5"/>
  </r>
  <r>
    <d v="2026-06-20T00:00:00"/>
    <s v="SR-INV-AST/26-27/2763"/>
    <x v="6"/>
    <s v="ROPE-CHAIN-12.00GM-22KT-YG-MS"/>
    <x v="0"/>
    <s v="G-NA-91.60-YG"/>
    <n v="29.901"/>
    <n v="0.7"/>
    <n v="27.389299999999999"/>
    <n v="27.598600000000001"/>
    <s v="ASN -033136"/>
    <x v="5"/>
  </r>
  <r>
    <d v="2026-06-20T00:00:00"/>
    <s v="SR-INV-AST/26-27/2763"/>
    <x v="6"/>
    <s v="31YV40DL3-4BOX-HIGHWAY-V-Y-12.50GM-22KT-YG-MS"/>
    <x v="0"/>
    <s v="G-NA-91.60-YG"/>
    <n v="14.317"/>
    <n v="0.7"/>
    <n v="13.1144"/>
    <n v="13.214600000000001"/>
    <s v="ASN -033136"/>
    <x v="5"/>
  </r>
  <r>
    <d v="2026-06-20T00:00:00"/>
    <s v="SR-INV-AST/26-27/2763"/>
    <x v="6"/>
    <s v="31YV40DL3-4BOX-HIGHWAY-V-Y-12.50GM-22KT-YG-MS"/>
    <x v="0"/>
    <s v="G-NA-91.60-YG"/>
    <n v="14.199"/>
    <n v="0.7"/>
    <n v="13.0063"/>
    <n v="13.105700000000001"/>
    <s v="ASN -033136"/>
    <x v="5"/>
  </r>
  <r>
    <d v="2026-06-20T00:00:00"/>
    <s v="SR-INV-AST/26-27/2763"/>
    <x v="6"/>
    <s v="31YV40DL3-4BOX-HIGHWAY-V-Y-12.50GM-22KT-YG-MS"/>
    <x v="0"/>
    <s v="G-NA-91.60-YG"/>
    <n v="11.855"/>
    <n v="0.7"/>
    <n v="10.8592"/>
    <n v="10.9422"/>
    <s v="ASN -033136"/>
    <x v="5"/>
  </r>
  <r>
    <d v="2026-06-20T00:00:00"/>
    <s v="SR-INV-AST/26-27/2763"/>
    <x v="6"/>
    <s v="31YV40DL3-4BOX-HIGHWAY-V-Y-12.50GM-22KT-YG-MS"/>
    <x v="0"/>
    <s v="G-NA-91.60-YG"/>
    <n v="14.214"/>
    <n v="0.7"/>
    <n v="13.02"/>
    <n v="13.1195"/>
    <s v="ASN -033136"/>
    <x v="5"/>
  </r>
  <r>
    <d v="2026-06-20T00:00:00"/>
    <s v="SR-INV-AST/26-27/2763"/>
    <x v="6"/>
    <s v="31YV40DL3-4BOX-HIGHWAY-V-Y-12.50GM-22KT-YG-MS"/>
    <x v="0"/>
    <s v="G-NA-91.60-YG"/>
    <n v="14.151"/>
    <n v="0.7"/>
    <n v="12.962300000000001"/>
    <n v="13.061400000000001"/>
    <s v="ASN -033136"/>
    <x v="5"/>
  </r>
  <r>
    <d v="2026-06-20T00:00:00"/>
    <s v="SR-INV-AST/26-27/2763"/>
    <x v="6"/>
    <s v="ROPE-CHAIN-12.00GM-22KT-YG-MS"/>
    <x v="0"/>
    <s v="G-NA-91.60-YG"/>
    <n v="30.181999999999999"/>
    <n v="0.7"/>
    <n v="27.646699999999999"/>
    <n v="27.858000000000001"/>
    <s v="ASN -033136"/>
    <x v="5"/>
  </r>
  <r>
    <d v="2026-06-20T00:00:00"/>
    <s v="SR-INV-AST/26-27/2763"/>
    <x v="6"/>
    <s v="ROPE-CHAIN-12.00GM-22KT-YG-MS"/>
    <x v="0"/>
    <s v="G-NA-91.60-YG"/>
    <n v="30.021000000000001"/>
    <n v="0.7"/>
    <n v="27.499199999999998"/>
    <n v="27.709399999999999"/>
    <s v="ASN -033136"/>
    <x v="5"/>
  </r>
  <r>
    <d v="2026-06-20T00:00:00"/>
    <s v="SR-INV-AST/26-27/2763"/>
    <x v="6"/>
    <s v="ROPE-CHAIN-12.00GM-22KT-YG-MS"/>
    <x v="0"/>
    <s v="G-NA-91.60-YG"/>
    <n v="30.081"/>
    <n v="0.7"/>
    <n v="27.554200000000002"/>
    <n v="27.764800000000001"/>
    <s v="ASN -033136"/>
    <x v="5"/>
  </r>
  <r>
    <d v="2026-06-20T00:00:00"/>
    <s v="SR-INV-AST/26-27/2763"/>
    <x v="6"/>
    <s v="ROPE-CHAIN-12.00GM-22KT-YG-MS"/>
    <x v="0"/>
    <s v="G-NA-91.60-YG"/>
    <n v="30.122"/>
    <n v="0.7"/>
    <n v="27.591799999999999"/>
    <n v="27.802600000000002"/>
    <s v="ASN -033136"/>
    <x v="5"/>
  </r>
  <r>
    <d v="2026-06-20T00:00:00"/>
    <s v="SR-INV-AST/26-27/2763"/>
    <x v="6"/>
    <s v="ROPE-CHAIN-12.00GM-22KT-YG-MS"/>
    <x v="0"/>
    <s v="G-NA-91.60-YG"/>
    <n v="30.027000000000001"/>
    <n v="0.7"/>
    <n v="27.5047"/>
    <n v="27.7149"/>
    <s v="ASN -033136"/>
    <x v="5"/>
  </r>
  <r>
    <d v="2026-06-20T00:00:00"/>
    <s v="SR-INV-AST/26-27/2763"/>
    <x v="6"/>
    <s v="31YV40DL3-4BOX-HIGHWAY-V-Y-12.50GM-22KT-YG-MS"/>
    <x v="0"/>
    <s v="G-NA-91.60-YG"/>
    <n v="14.266999999999999"/>
    <n v="0.7"/>
    <n v="13.0686"/>
    <n v="13.1684"/>
    <s v="ASN -033136"/>
    <x v="5"/>
  </r>
  <r>
    <d v="2026-06-20T00:00:00"/>
    <s v="SR-INV-AST/26-27/2763"/>
    <x v="6"/>
    <s v="31YV40DL3-4BOX-HIGHWAY-V-Y-12.50GM-22KT-YG-MS"/>
    <x v="0"/>
    <s v="G-NA-91.60-YG"/>
    <n v="14.288"/>
    <n v="0.7"/>
    <n v="13.0878"/>
    <n v="13.187799999999999"/>
    <s v="ASN -033136"/>
    <x v="5"/>
  </r>
  <r>
    <d v="2026-06-20T00:00:00"/>
    <s v="SR-INV-AST/26-27/2763"/>
    <x v="6"/>
    <s v="ROPE-CHAIN-12.00GM-22KT-YG-MS"/>
    <x v="0"/>
    <s v="G-NA-91.60-YG"/>
    <n v="30.138000000000002"/>
    <n v="0.7"/>
    <n v="27.606400000000001"/>
    <n v="27.817399999999999"/>
    <s v="ASN -033136"/>
    <x v="5"/>
  </r>
  <r>
    <d v="2026-06-20T00:00:00"/>
    <s v="SR-INV-AST/26-27/2763"/>
    <x v="6"/>
    <s v="31YV40DL3-4BOX-HIGHWAY-V-Y-12.50GM-22KT-YG-MS"/>
    <x v="0"/>
    <s v="G-NA-91.60-YG"/>
    <n v="14.198"/>
    <n v="0.7"/>
    <n v="13.0054"/>
    <n v="13.104799999999999"/>
    <s v="ASN -033136"/>
    <x v="5"/>
  </r>
  <r>
    <d v="2026-06-20T00:00:00"/>
    <s v="SR-INV-AST/26-27/2763"/>
    <x v="6"/>
    <s v="ROPE-CHAIN-12.00GM-22KT-YG-MS"/>
    <x v="0"/>
    <s v="G-NA-91.60-YG"/>
    <n v="30.088000000000001"/>
    <n v="0.7"/>
    <n v="27.560600000000001"/>
    <n v="27.7712"/>
    <s v="ASN -033136"/>
    <x v="5"/>
  </r>
  <r>
    <d v="2026-06-20T00:00:00"/>
    <s v="SR-INV-AST/26-27/2763"/>
    <x v="6"/>
    <s v="31YV40DL3-4BOX-HIGHWAY-V-Y-12.50GM-22KT-YG-MS"/>
    <x v="0"/>
    <s v="G-NA-91.60-YG"/>
    <n v="14.311"/>
    <n v="0.7"/>
    <n v="13.1089"/>
    <n v="13.209099999999999"/>
    <s v="ASN -033136"/>
    <x v="5"/>
  </r>
  <r>
    <d v="2026-06-20T00:00:00"/>
    <s v="SR-INV-AST/26-27/2763"/>
    <x v="6"/>
    <s v="31YV40DL3-4BOX-HIGHWAY-V-Y-12.50GM-22KT-YG-MS"/>
    <x v="0"/>
    <s v="G-NA-91.60-YG"/>
    <n v="16.744"/>
    <n v="0.7"/>
    <n v="15.3375"/>
    <n v="15.454700000000001"/>
    <s v="ASN -033136"/>
    <x v="5"/>
  </r>
  <r>
    <d v="2026-06-20T00:00:00"/>
    <s v="SR-INV-AST/26-27/2763"/>
    <x v="6"/>
    <s v="31YV40DL3-4BOX-HIGHWAY-V-Y-12.50GM-22KT-YG-MS"/>
    <x v="0"/>
    <s v="G-NA-91.60-YG"/>
    <n v="14.273999999999999"/>
    <n v="0.7"/>
    <n v="13.074999999999999"/>
    <n v="13.174899999999999"/>
    <s v="ASN -033136"/>
    <x v="5"/>
  </r>
  <r>
    <d v="2026-06-20T00:00:00"/>
    <s v="SR-INV-AST/26-27/2763"/>
    <x v="6"/>
    <s v="31YV40DL3-4BOX-HIGHWAY-V-Y-12.50GM-22KT-YG-MS"/>
    <x v="0"/>
    <s v="G-NA-91.60-YG"/>
    <n v="14.318"/>
    <n v="0.7"/>
    <n v="13.1153"/>
    <n v="13.2155"/>
    <s v="ASN -033136"/>
    <x v="5"/>
  </r>
  <r>
    <d v="2026-06-20T00:00:00"/>
    <s v="SR-INV-AST/26-27/2763"/>
    <x v="6"/>
    <s v="31YV40DL3-4BOX-HIGHWAY-V-Y-12.50GM-22KT-YG-MS"/>
    <x v="0"/>
    <s v="G-NA-91.60-YG"/>
    <n v="14.064"/>
    <n v="0.7"/>
    <n v="12.8826"/>
    <n v="12.9811"/>
    <s v="ASN -033136"/>
    <x v="5"/>
  </r>
  <r>
    <d v="2026-06-20T00:00:00"/>
    <s v="SR-INV-AST/26-27/2763"/>
    <x v="6"/>
    <s v="31YV40DL3-4BOX-HIGHWAY-V-Y-12.50GM-22KT-YG-MS"/>
    <x v="0"/>
    <s v="G-NA-91.60-YG"/>
    <n v="13.912000000000001"/>
    <n v="0.7"/>
    <n v="12.743399999999999"/>
    <n v="12.8408"/>
    <s v="ASN -033136"/>
    <x v="5"/>
  </r>
  <r>
    <d v="2026-06-20T00:00:00"/>
    <s v="SR-INV-AST/26-27/2763"/>
    <x v="6"/>
    <s v="30YC50DR4-50LRK-CURB-SUNDARI-V-CUT-Y-24.00GM-22KT-YG-MS"/>
    <x v="0"/>
    <s v="G-NA-91.60-YG"/>
    <n v="22.558"/>
    <n v="0.7"/>
    <n v="20.6631"/>
    <n v="20.821000000000002"/>
    <s v="ASN -033136"/>
    <x v="5"/>
  </r>
  <r>
    <d v="2026-06-20T00:00:00"/>
    <s v="SR-INV-AST/26-27/2763"/>
    <x v="6"/>
    <s v="ROPE-CHAIN-12.00GM-22KT-YG-MS"/>
    <x v="0"/>
    <s v="G-NA-91.60-YG"/>
    <n v="30.018999999999998"/>
    <n v="0.7"/>
    <n v="27.497399999999999"/>
    <n v="27.7075"/>
    <s v="ASN -033136"/>
    <x v="5"/>
  </r>
  <r>
    <d v="2026-06-20T00:00:00"/>
    <s v="SR-INV-AST/26-27/2763"/>
    <x v="6"/>
    <s v="31YV40DL3-4BOX-HIGHWAY-V-Y-12.50GM-22KT-YG-MS"/>
    <x v="0"/>
    <s v="G-NA-91.60-YG"/>
    <n v="14.221"/>
    <n v="0.7"/>
    <n v="13.026400000000001"/>
    <n v="13.125999999999999"/>
    <s v="ASN -033136"/>
    <x v="5"/>
  </r>
  <r>
    <d v="2026-06-20T00:00:00"/>
    <s v="SR-INV-AST/26-27/2763"/>
    <x v="6"/>
    <s v="ROPE-CHAIN-12.00GM-22KT-YG-MS"/>
    <x v="0"/>
    <s v="G-NA-91.60-YG"/>
    <n v="30.106999999999999"/>
    <n v="0.7"/>
    <n v="27.577999999999999"/>
    <n v="27.788799999999998"/>
    <s v="ASN -033136"/>
    <x v="5"/>
  </r>
  <r>
    <d v="2026-06-20T00:00:00"/>
    <s v="SR-INV-AST/26-27/2763"/>
    <x v="6"/>
    <s v="ROPE-CHAIN-12.00GM-22KT-YG-MS"/>
    <x v="0"/>
    <s v="G-NA-91.60-YG"/>
    <n v="30.111000000000001"/>
    <n v="0.7"/>
    <n v="27.581700000000001"/>
    <n v="27.7925"/>
    <s v="ASN -033136"/>
    <x v="5"/>
  </r>
  <r>
    <d v="2026-06-20T00:00:00"/>
    <s v="SR-INV-AST/26-27/2763"/>
    <x v="6"/>
    <s v="ROPE-CHAIN-12.00GM-22KT-YG-MS"/>
    <x v="0"/>
    <s v="G-NA-91.60-YG"/>
    <n v="30.119"/>
    <n v="0.7"/>
    <n v="27.588999999999999"/>
    <n v="27.799800000000001"/>
    <s v="ASN -033136"/>
    <x v="5"/>
  </r>
  <r>
    <d v="2026-06-20T00:00:00"/>
    <s v="SR-INV-AST/26-27/2763"/>
    <x v="6"/>
    <s v="31YV40DL3-4BOX-HIGHWAY-V-Y-12.50GM-22KT-YG-MS"/>
    <x v="0"/>
    <s v="G-NA-91.60-YG"/>
    <n v="14.102"/>
    <n v="0.7"/>
    <n v="12.917400000000001"/>
    <n v="13.0161"/>
    <s v="ASN -033136"/>
    <x v="5"/>
  </r>
  <r>
    <d v="2026-06-20T00:00:00"/>
    <s v="SR-INV-AST/26-27/2763"/>
    <x v="6"/>
    <s v="31YV40DL3-4BOX-HIGHWAY-V-Y-12.50GM-22KT-YG-MS"/>
    <x v="0"/>
    <s v="G-NA-91.60-YG"/>
    <n v="14.266"/>
    <n v="0.7"/>
    <n v="13.0677"/>
    <n v="13.1675"/>
    <s v="ASN -033136"/>
    <x v="5"/>
  </r>
  <r>
    <d v="2026-06-20T00:00:00"/>
    <s v="SR-INV-AST/26-27/2763"/>
    <x v="6"/>
    <s v="31YV40DL3-4BOX-HIGHWAY-V-Y-12.50GM-22KT-YG-MS"/>
    <x v="0"/>
    <s v="G-NA-91.60-YG"/>
    <n v="14.074999999999999"/>
    <n v="0.7"/>
    <n v="12.8927"/>
    <n v="12.991199999999999"/>
    <s v="ASN -033136"/>
    <x v="5"/>
  </r>
  <r>
    <d v="2026-06-20T00:00:00"/>
    <s v="SR-INV-AST/26-27/2763"/>
    <x v="6"/>
    <s v="31YV40DL3-4BOX-HIGHWAY-V-Y-12.50GM-22KT-YG-MS"/>
    <x v="0"/>
    <s v="G-NA-91.60-YG"/>
    <n v="14.045999999999999"/>
    <n v="0.7"/>
    <n v="12.866099999999999"/>
    <n v="12.964499999999999"/>
    <s v="ASN -033136"/>
    <x v="5"/>
  </r>
  <r>
    <d v="2026-06-20T00:00:00"/>
    <s v="SR-INV-AST/26-27/2763"/>
    <x v="6"/>
    <s v="31YV40DL3-4BOX-HIGHWAY-V-Y-12.50GM-22KT-YG-MS"/>
    <x v="0"/>
    <s v="G-NA-91.60-YG"/>
    <n v="14.314"/>
    <n v="0.7"/>
    <n v="13.111599999999999"/>
    <n v="13.2118"/>
    <s v="ASN -033136"/>
    <x v="5"/>
  </r>
  <r>
    <d v="2026-06-20T00:00:00"/>
    <s v="SR-INV-AST/26-27/2762"/>
    <x v="1"/>
    <s v="CBR24663M8-12gm-22KT-YG-8.5 INCH"/>
    <x v="0"/>
    <s v="G-NA-91.80-YG"/>
    <n v="14.291"/>
    <n v="0"/>
    <n v="13.1191"/>
    <n v="13.1191"/>
    <s v="RC-22009/CUST/ORD"/>
    <x v="1"/>
  </r>
  <r>
    <d v="2026-06-20T00:00:00"/>
    <s v="SR-INV-AST/26-27/2762"/>
    <x v="1"/>
    <s v="CBR25341M7-12gm-22KT-YG-7.25 INCH"/>
    <x v="0"/>
    <s v="G-NA-91.80-YG"/>
    <n v="13.51"/>
    <n v="0"/>
    <n v="12.402200000000001"/>
    <n v="12.402200000000001"/>
    <s v="RC-21995/CUST/ORD"/>
    <x v="1"/>
  </r>
  <r>
    <d v="2026-06-20T00:00:00"/>
    <s v="SR-INV-AST/26-27/2761"/>
    <x v="7"/>
    <s v="SBRL-017-7.00GM-22KT-YG-7 INCH"/>
    <x v="0"/>
    <s v="G-NA-91.80-YG"/>
    <n v="8.1489999999999991"/>
    <n v="0"/>
    <n v="7.4808000000000003"/>
    <n v="7.4808000000000003"/>
    <s v="PRASHANT/REPAIR/S-14816"/>
    <x v="6"/>
  </r>
  <r>
    <d v="2026-06-20T00:00:00"/>
    <s v="SR-INV-AST/26-27/2761"/>
    <x v="7"/>
    <s v="MIX-ITEMS-NA-22KT-YG-NA"/>
    <x v="0"/>
    <s v="G-NA-91.80-YG"/>
    <n v="7.95"/>
    <n v="0"/>
    <n v="7.2980999999999998"/>
    <n v="7.2980999999999998"/>
    <s v="PRASHANT/REPAIR/S-14816"/>
    <x v="6"/>
  </r>
  <r>
    <d v="2026-06-20T00:00:00"/>
    <s v="SR-INV-AST/26-27/2761"/>
    <x v="7"/>
    <s v="SBRL-030-7.00GM-22KT-YG-7 INCH"/>
    <x v="0"/>
    <s v="G-NA-91.80-YG"/>
    <n v="7.55"/>
    <n v="0"/>
    <n v="6.9309000000000003"/>
    <n v="6.9309000000000003"/>
    <s v="PRASHANT/REPAIR/S-14816"/>
    <x v="6"/>
  </r>
  <r>
    <d v="2026-06-20T00:00:00"/>
    <s v="SR-INV-AST/26-27/2761"/>
    <x v="7"/>
    <s v="MIX-ITEMS-NA-22KT-YG-NA"/>
    <x v="0"/>
    <s v="G-NA-91.80-YG"/>
    <n v="14.013"/>
    <n v="0"/>
    <n v="12.863899999999999"/>
    <n v="12.863899999999999"/>
    <s v="PRASHANT/REPAIR/S-14816"/>
    <x v="6"/>
  </r>
  <r>
    <d v="2026-06-20T00:00:00"/>
    <s v="SR-INV-AST/26-27/2760"/>
    <x v="8"/>
    <s v="ICH25552M3.4-17.00GM-18KT-YG-21 INCH"/>
    <x v="1"/>
    <s v="G-NA-75.00-YG"/>
    <n v="17.666"/>
    <n v="0"/>
    <n v="13.249499999999999"/>
    <n v="13.249499999999999"/>
    <s v="DC-NO-ROYL10147  TRANSFER NO- 32386277"/>
    <x v="7"/>
  </r>
  <r>
    <d v="2026-06-20T00:00:00"/>
    <s v="SR-INV-AST/26-27/2760"/>
    <x v="8"/>
    <s v="ICH25552M3.4-17.00GM-18KT-YG-23 INCH"/>
    <x v="1"/>
    <s v="G-NA-75.00-YG"/>
    <n v="19.207999999999998"/>
    <n v="0"/>
    <n v="14.406000000000001"/>
    <n v="14.406000000000001"/>
    <s v="DC-NO-ROYL10147  TRANSFER NO- 32386277"/>
    <x v="7"/>
  </r>
  <r>
    <d v="2026-06-20T00:00:00"/>
    <s v="SR-INV-AST/26-27/2760"/>
    <x v="8"/>
    <s v="ICH242019M3-15.00GM-18KT-YG-19 INCH"/>
    <x v="1"/>
    <s v="G-NA-75.00-YG"/>
    <n v="15.148999999999999"/>
    <n v="0"/>
    <n v="11.361800000000001"/>
    <n v="11.361800000000001"/>
    <s v="DC-NO-ROYL10147  TRANSFER NO- 32386277"/>
    <x v="7"/>
  </r>
  <r>
    <d v="2026-06-20T00:00:00"/>
    <s v="SR-INV-AST/26-27/2760"/>
    <x v="8"/>
    <s v="ICH10335M4-30.00GM-18KT-YG-25 INCH"/>
    <x v="1"/>
    <s v="G-NA-75.00-YG"/>
    <n v="29.745999999999999"/>
    <n v="0"/>
    <n v="22.3095"/>
    <n v="22.3095"/>
    <s v="DC-NO-ROYL10147  TRANSFER NO- 32386277"/>
    <x v="7"/>
  </r>
  <r>
    <d v="2026-06-20T00:00:00"/>
    <s v="SR-INV-AST/26-27/2760"/>
    <x v="8"/>
    <s v="ICH242019M3-15.00GM-18KT-YG-25 INCH"/>
    <x v="1"/>
    <s v="G-NA-75.00-YG"/>
    <n v="19.593"/>
    <n v="0"/>
    <n v="14.694800000000001"/>
    <n v="14.694800000000001"/>
    <s v="DC-NO-ROYL10147  TRANSFER NO- 32386277"/>
    <x v="7"/>
  </r>
  <r>
    <d v="2026-06-20T00:00:00"/>
    <s v="SR-INV-AST/26-27/2759"/>
    <x v="7"/>
    <s v="CUCH24662M9C-42.00GM-22KT-YG-22 INCH"/>
    <x v="0"/>
    <s v="G-NA-91.80-YG"/>
    <n v="35.209000000000003"/>
    <n v="0"/>
    <n v="32.321899999999999"/>
    <n v="32.321899999999999"/>
    <s v="RC REPAIR# 16027"/>
    <x v="6"/>
  </r>
  <r>
    <d v="2026-06-20T00:00:00"/>
    <s v="SR-INV-AST/26-27/2759"/>
    <x v="7"/>
    <s v="ICH4803-5MM-53.50GM-22KT-YG-24 INCH"/>
    <x v="0"/>
    <s v="G-NA-91.80-YG"/>
    <n v="50.731999999999999"/>
    <n v="0"/>
    <n v="46.572000000000003"/>
    <n v="46.572000000000003"/>
    <s v="SAHIL/REPAIR/S-14818"/>
    <x v="6"/>
  </r>
  <r>
    <d v="2026-06-20T00:00:00"/>
    <s v="SR-INV-AST/26-27/2759"/>
    <x v="7"/>
    <s v="MIX-CHAIN-40.00GM-22KT-YG-NA"/>
    <x v="0"/>
    <s v="G-NA-91.80-YG"/>
    <n v="14.736000000000001"/>
    <n v="0"/>
    <n v="13.5276"/>
    <n v="13.5276"/>
    <s v="SAHIL/REPAIR/S-14818"/>
    <x v="6"/>
  </r>
  <r>
    <d v="2026-06-20T00:00:00"/>
    <s v="SR-INV-AST/26-27/2759"/>
    <x v="7"/>
    <s v="OOK241611-12.00GM-22KT-YG-2.40 ANNA"/>
    <x v="0"/>
    <s v="G-NA-91.80-YG"/>
    <n v="8.8840000000000003"/>
    <n v="0"/>
    <n v="8.1555"/>
    <n v="8.1555"/>
    <s v="PRASHANT/REPAIR/14816"/>
    <x v="6"/>
  </r>
  <r>
    <d v="2026-06-20T00:00:00"/>
    <s v="SR-INV-AST/26-27/2759"/>
    <x v="7"/>
    <s v="MIX-CHAIN-40.00GM-22KT-YG-NA"/>
    <x v="0"/>
    <s v="G-NA-91.80-YG"/>
    <n v="21.295999999999999"/>
    <n v="0"/>
    <n v="19.549700000000001"/>
    <n v="19.549700000000001"/>
    <s v="SAHIL/REPAIR/S-14818"/>
    <x v="6"/>
  </r>
  <r>
    <d v="2026-06-20T00:00:00"/>
    <s v="SR-INV-AST/26-27/2759"/>
    <x v="7"/>
    <s v="ICH9864-6MM-47.00GM-22KT-YG-22 INCH"/>
    <x v="0"/>
    <s v="G-NA-91.80-YG"/>
    <n v="48.677"/>
    <n v="0"/>
    <n v="44.685499999999998"/>
    <n v="44.685499999999998"/>
    <s v="SAHIL/REPAIR/S-14818"/>
    <x v="6"/>
  </r>
  <r>
    <d v="2026-06-20T00:00:00"/>
    <s v="SR-INV-AST/26-27/2759"/>
    <x v="7"/>
    <s v="ICH241326M7-60.00GM-22KT-YG-24 INCH"/>
    <x v="0"/>
    <s v="G-NA-91.80-YG"/>
    <n v="63.314"/>
    <n v="0"/>
    <n v="58.122300000000003"/>
    <n v="58.122300000000003"/>
    <s v="SAHIL/REPAIR/S-14818"/>
    <x v="6"/>
  </r>
  <r>
    <d v="2026-06-20T00:00:00"/>
    <s v="SR-INV-AST/26-27/2759"/>
    <x v="7"/>
    <s v="MIX-CHAIN-40.00GM-22KT-YG-NA"/>
    <x v="0"/>
    <s v="G-NA-91.80-YG"/>
    <n v="18.010999999999999"/>
    <n v="0"/>
    <n v="16.534099999999999"/>
    <n v="16.534099999999999"/>
    <s v="SAHIL/REPAIR/S-14818"/>
    <x v="6"/>
  </r>
  <r>
    <d v="2026-06-20T00:00:00"/>
    <s v="SR-INV-AST/26-27/2759"/>
    <x v="7"/>
    <s v="ICH242030M3-20.00GM-22KT-YG-20 INCH"/>
    <x v="0"/>
    <s v="G-NA-91.80-YG"/>
    <n v="17.404"/>
    <n v="0"/>
    <n v="15.976900000000001"/>
    <n v="15.976900000000001"/>
    <s v="SAHIL/REPAIR/S-14818"/>
    <x v="6"/>
  </r>
  <r>
    <d v="2026-06-20T00:00:00"/>
    <s v="SR-INV-AST/26-27/2759"/>
    <x v="7"/>
    <s v="OOK241626-11.00GM-22KT-YG-2.50 ANNA"/>
    <x v="0"/>
    <s v="G-NA-91.80-YG"/>
    <n v="11.43"/>
    <n v="0"/>
    <n v="10.492699999999999"/>
    <n v="10.492699999999999"/>
    <s v="PRASHANT/REPAIR/14816"/>
    <x v="6"/>
  </r>
  <r>
    <d v="2026-06-20T00:00:00"/>
    <s v="SR-INV-AST/26-27/2759"/>
    <x v="7"/>
    <s v="ICH25546M3.5-20.00GM-22KT-YG-22 INCH"/>
    <x v="0"/>
    <s v="G-NA-91.80-YG"/>
    <n v="17.050999999999998"/>
    <n v="0"/>
    <n v="15.652799999999999"/>
    <n v="15.652799999999999"/>
    <s v="SAHIL/REPAIR/S-14818"/>
    <x v="6"/>
  </r>
  <r>
    <d v="2026-06-20T00:00:00"/>
    <s v="SR-INV-AST/26-27/2759"/>
    <x v="7"/>
    <s v="OOK241626-11.00GM-22KT-YG-2.40 ANNA"/>
    <x v="0"/>
    <s v="G-NA-91.80-YG"/>
    <n v="8.9969999999999999"/>
    <n v="0"/>
    <n v="8.2591999999999999"/>
    <n v="8.2591999999999999"/>
    <s v="PRASHANT/REPAIR/14816"/>
    <x v="6"/>
  </r>
  <r>
    <d v="2026-06-20T00:00:00"/>
    <s v="SR-INV-AST/26-27/2759"/>
    <x v="7"/>
    <s v="CBR24662M7C-14.00GM-22KT-YG-8 INCH"/>
    <x v="0"/>
    <s v="G-NA-91.80-YG"/>
    <n v="11.5"/>
    <n v="0"/>
    <n v="10.557"/>
    <n v="10.557"/>
    <s v="RC REPAIR# 16027"/>
    <x v="6"/>
  </r>
  <r>
    <d v="2026-06-20T00:00:00"/>
    <s v="SR-INV-AST/26-27/2759"/>
    <x v="7"/>
    <s v="CUCH24663M7-26.00GM-22KT-YG-20 INCH"/>
    <x v="0"/>
    <s v="G-NA-91.80-YG"/>
    <n v="24.41"/>
    <n v="0"/>
    <n v="22.4084"/>
    <n v="22.4084"/>
    <s v="RC REPAIR# 16027"/>
    <x v="6"/>
  </r>
  <r>
    <d v="2026-06-20T00:00:00"/>
    <s v="SR-INV-AST/26-27/2759"/>
    <x v="7"/>
    <s v="CUCH24664M7-31.00GM-22KT-YG-22 INCH"/>
    <x v="0"/>
    <s v="G-NA-91.80-YG"/>
    <n v="26.96"/>
    <n v="0"/>
    <n v="24.749300000000002"/>
    <n v="24.749300000000002"/>
    <s v="RC REPAIR# 16027"/>
    <x v="6"/>
  </r>
  <r>
    <d v="2026-06-20T00:00:00"/>
    <s v="SR-INV-AST/26-27/2759"/>
    <x v="7"/>
    <s v="CUCH251578M9-36.00GM-22KT-YG-22 INCH"/>
    <x v="0"/>
    <s v="G-NA-91.80-YG"/>
    <n v="39.744999999999997"/>
    <n v="0"/>
    <n v="36.485900000000001"/>
    <n v="36.485900000000001"/>
    <s v="RC REPAIR# 16027"/>
    <x v="6"/>
  </r>
  <r>
    <d v="2026-06-20T00:00:00"/>
    <s v="SR-INV-AST/26-27/2759"/>
    <x v="7"/>
    <s v="CUCH24664M7B-31.00GM-22KT-YG-22 INCH"/>
    <x v="0"/>
    <s v="G-NA-91.80-YG"/>
    <n v="29.754999999999999"/>
    <n v="0"/>
    <n v="27.315100000000001"/>
    <n v="27.315100000000001"/>
    <s v="RC REPAIR# 16027"/>
    <x v="6"/>
  </r>
  <r>
    <d v="2026-06-20T00:00:00"/>
    <s v="SR-INV-AST/26-27/2759"/>
    <x v="7"/>
    <s v="CBR25342M8-15.00GM-22KT-YG-8 INCH"/>
    <x v="0"/>
    <s v="G-NA-91.80-YG"/>
    <n v="16.957999999999998"/>
    <n v="0"/>
    <n v="15.567399999999999"/>
    <n v="15.567399999999999"/>
    <s v="RC REPAIR# 16027"/>
    <x v="6"/>
  </r>
  <r>
    <d v="2026-06-20T00:00:00"/>
    <s v="SR-INV-AST/26-27/2759"/>
    <x v="7"/>
    <s v="CUBR-23514-9MM-19.00GM-22KT-YG-8 INCH"/>
    <x v="0"/>
    <s v="G-NA-91.80-YG"/>
    <n v="16.568999999999999"/>
    <n v="0"/>
    <n v="15.2103"/>
    <n v="15.2103"/>
    <s v="RC REPAIR# 16027"/>
    <x v="6"/>
  </r>
  <r>
    <d v="2026-06-20T00:00:00"/>
    <s v="SR-INV-AST/26-27/2759"/>
    <x v="7"/>
    <s v="CUBR23514-7MM-15.200GM-22KT-YG-8 INCH"/>
    <x v="0"/>
    <s v="G-NA-91.80-YG"/>
    <n v="14.625999999999999"/>
    <n v="0"/>
    <n v="13.4267"/>
    <n v="13.4267"/>
    <s v="RC REPAIR# 16027"/>
    <x v="6"/>
  </r>
  <r>
    <d v="2026-06-20T00:00:00"/>
    <s v="SR-INV-AST/26-27/2759"/>
    <x v="7"/>
    <s v="CBR24664M9B-19.00GM-22KT-YG-8 INCH"/>
    <x v="0"/>
    <s v="G-NA-91.80-YG"/>
    <n v="17.623999999999999"/>
    <n v="0"/>
    <n v="16.178799999999999"/>
    <n v="16.178799999999999"/>
    <s v="RC REPAIR# 16027"/>
    <x v="6"/>
  </r>
  <r>
    <d v="2026-06-20T00:00:00"/>
    <s v="SR-INV-AST/26-27/2759"/>
    <x v="7"/>
    <s v="CBR24663M9-15.00GM-22KT-YG-8 INCH"/>
    <x v="0"/>
    <s v="G-NA-91.80-YG"/>
    <n v="15.821"/>
    <n v="0"/>
    <n v="14.5237"/>
    <n v="14.5237"/>
    <s v="RC REPAIR# 16027"/>
    <x v="6"/>
  </r>
  <r>
    <d v="2026-06-20T00:00:00"/>
    <s v="SR-INV-AST/26-27/2759"/>
    <x v="7"/>
    <s v="CUBR23514-11MM-17.00GM-22KT-YG-8 INCH"/>
    <x v="0"/>
    <s v="G-NA-91.80-YG"/>
    <n v="27.041"/>
    <n v="0"/>
    <n v="24.823599999999999"/>
    <n v="24.823599999999999"/>
    <s v="RC REPAIR# 16027"/>
    <x v="6"/>
  </r>
  <r>
    <d v="2026-06-20T00:00:00"/>
    <s v="SR-INV-AST/26-27/2759"/>
    <x v="7"/>
    <s v="CUCH24664M7B-29.00GM-22KT-YG-20 INCH"/>
    <x v="0"/>
    <s v="G-NA-91.80-YG"/>
    <n v="25.358000000000001"/>
    <n v="0"/>
    <n v="23.278600000000001"/>
    <n v="23.278600000000001"/>
    <s v="RC REPAIR# 16027"/>
    <x v="6"/>
  </r>
  <r>
    <d v="2026-06-20T00:00:00"/>
    <s v="SR-INV-AST/26-27/2759"/>
    <x v="7"/>
    <s v="CBR24664M11B-23.00GM-22KT-YG-8 INCH"/>
    <x v="0"/>
    <s v="G-NA-91.80-YG"/>
    <n v="19.547999999999998"/>
    <n v="0"/>
    <n v="17.9451"/>
    <n v="17.9451"/>
    <s v="RC REPAIR# 16027"/>
    <x v="6"/>
  </r>
  <r>
    <d v="2026-06-20T00:00:00"/>
    <s v="SR-INV-AST/26-27/2759"/>
    <x v="7"/>
    <s v="CBR24664M13-34.50GM-22KT-YG-8.25 INCH"/>
    <x v="0"/>
    <s v="G-NA-91.80-YG"/>
    <n v="32.61"/>
    <n v="0"/>
    <n v="29.936"/>
    <n v="29.936"/>
    <s v="RC REPAIR# 16027"/>
    <x v="6"/>
  </r>
  <r>
    <d v="2026-06-20T00:00:00"/>
    <s v="SR-INV-AST/26-27/2759"/>
    <x v="7"/>
    <s v="CUCH24664M7-29.00GM-22KT-YG-20 INCH"/>
    <x v="0"/>
    <s v="G-NA-91.80-YG"/>
    <n v="25.76"/>
    <n v="0"/>
    <n v="23.6477"/>
    <n v="23.6477"/>
    <s v="RC REPAIR# 16027"/>
    <x v="6"/>
  </r>
  <r>
    <d v="2026-06-20T00:00:00"/>
    <s v="SR-INV-AST/26-27/2759"/>
    <x v="7"/>
    <s v="CUBR251578M9-16.50GM-22KT-YG-8 INCH"/>
    <x v="0"/>
    <s v="G-NA-91.80-YG"/>
    <n v="17.690000000000001"/>
    <n v="0"/>
    <n v="16.2394"/>
    <n v="16.2394"/>
    <s v="RC REPAIR# 16027"/>
    <x v="6"/>
  </r>
  <r>
    <d v="2026-06-20T00:00:00"/>
    <s v="SR-INV-AST/26-27/2759"/>
    <x v="7"/>
    <s v="CUCH24667M7B-32.00GM-22KT-YG-22 INCH"/>
    <x v="0"/>
    <s v="G-NA-91.80-YG"/>
    <n v="37.25"/>
    <n v="0"/>
    <n v="34.195500000000003"/>
    <n v="34.195500000000003"/>
    <s v="RC REPAIR# 16027"/>
    <x v="6"/>
  </r>
  <r>
    <d v="2026-06-20T00:00:00"/>
    <s v="SR-INV-AST/26-27/2758"/>
    <x v="8"/>
    <s v="TQNK25182-5.50GM-22KT-YG-21 INCH"/>
    <x v="0"/>
    <s v="G-NA-91.60-YG"/>
    <n v="3.8976000000000002"/>
    <n v="0"/>
    <n v="3.5701999999999998"/>
    <n v="3.5701999999999998"/>
    <s v="DC-NO-ROYL10148  TRANSFER NO 32386452"/>
    <x v="7"/>
  </r>
  <r>
    <d v="2026-06-20T00:00:00"/>
    <s v="SR-INV-AST/26-27/2758"/>
    <x v="8"/>
    <s v="TQNK25182-5.50GM-22KT-YG-21 INCH"/>
    <x v="0"/>
    <s v="G-NA-91.60-YG"/>
    <n v="2.2302"/>
    <n v="0"/>
    <n v="2.0428999999999999"/>
    <n v="2.0428999999999999"/>
    <s v="DC-NO-ROYL10148  TRANSFER NO 32386452"/>
    <x v="7"/>
  </r>
  <r>
    <d v="2026-06-20T00:00:00"/>
    <s v="SR-INV-AST/26-27/2758"/>
    <x v="8"/>
    <s v="TQNK25182-5.50GM-22KT-YG-21 INCH"/>
    <x v="0"/>
    <s v="G-NA-91.60-YG"/>
    <n v="3.8317999999999999"/>
    <n v="0"/>
    <n v="3.5099"/>
    <n v="3.5099"/>
    <s v="DC-NO-ROYL10148  TRANSFER NO 32386452"/>
    <x v="7"/>
  </r>
  <r>
    <d v="2026-06-20T00:00:00"/>
    <s v="SR-INV-AST/26-27/2758"/>
    <x v="8"/>
    <s v="TQNK25181-5.50GM-22KT-YG-21 INCH"/>
    <x v="0"/>
    <s v="G-NA-91.60-YG"/>
    <n v="2.0337000000000001"/>
    <n v="0"/>
    <n v="1.8629"/>
    <n v="1.8629"/>
    <s v="DC-NO-ROYL10148  TRANSFER NO 32386452"/>
    <x v="7"/>
  </r>
  <r>
    <d v="2026-06-20T00:00:00"/>
    <s v="SR-INV-AST/26-27/2758"/>
    <x v="8"/>
    <s v="TQNK25181-5.50GM-22KT-YG-21 INCH"/>
    <x v="0"/>
    <s v="G-NA-91.60-YG"/>
    <n v="3.3542999999999998"/>
    <n v="0"/>
    <n v="3.0724999999999998"/>
    <n v="3.0724999999999998"/>
    <s v="DC-NO-ROYL10148  TRANSFER NO 32386452"/>
    <x v="7"/>
  </r>
  <r>
    <d v="2026-06-20T00:00:00"/>
    <s v="SR-INV-AST/26-27/2758"/>
    <x v="8"/>
    <s v="TQNK25182-5.50GM-22KT-YG-21 INCH"/>
    <x v="0"/>
    <s v="G-NA-91.60-YG"/>
    <n v="2.2684000000000002"/>
    <n v="0"/>
    <n v="2.0779000000000001"/>
    <n v="2.0779000000000001"/>
    <s v="DC-NO-ROYL10148  TRANSFER NO 32386452"/>
    <x v="7"/>
  </r>
  <r>
    <d v="2026-06-20T00:00:00"/>
    <s v="SR-INV-AST/26-27/2757"/>
    <x v="1"/>
    <s v="ICH10184-4.5MM-26gm-22KT-YG-24 INCH"/>
    <x v="0"/>
    <s v="G-NA-91.80-YG"/>
    <n v="24.718"/>
    <n v="0"/>
    <n v="22.691099999999999"/>
    <n v="22.691099999999999"/>
    <s v="RC-21972/CUST/ORD"/>
    <x v="1"/>
  </r>
  <r>
    <d v="2026-06-20T00:00:00"/>
    <s v="SR-INV-AST/26-27/2757"/>
    <x v="1"/>
    <s v="CBR24662M18-48.00GM-22KT-YG-8 INCH"/>
    <x v="0"/>
    <s v="G-NA-91.80-YG"/>
    <n v="38.139299999999999"/>
    <n v="0"/>
    <n v="35.011899999999997"/>
    <n v="35.011899999999997"/>
    <s v="RC-21969/CUST/ORD"/>
    <x v="1"/>
  </r>
  <r>
    <d v="2026-06-20T00:00:00"/>
    <s v="SR-INV-AST/26-27/2757"/>
    <x v="1"/>
    <s v="CBR24662M18-48.00GM-22KT-YG-8 INCH"/>
    <x v="0"/>
    <s v="G-NA-91.80-YG"/>
    <n v="7.7000000000000002E-3"/>
    <n v="0"/>
    <n v="7.1000000000000004E-3"/>
    <n v="7.1000000000000004E-3"/>
    <s v="RC-21969/CUST/ORD"/>
    <x v="1"/>
  </r>
  <r>
    <d v="2026-06-20T00:00:00"/>
    <s v="SR-INV-AST/26-27/2756"/>
    <x v="1"/>
    <s v="IBR251232M10-18.50GM-22KT-YG-8 INCH"/>
    <x v="0"/>
    <s v="G-NA-91.80-YG"/>
    <n v="18.754999999999999"/>
    <n v="0"/>
    <n v="17.217099999999999"/>
    <n v="17.217099999999999"/>
    <s v="RC-STOCK-ORD-200008"/>
    <x v="1"/>
  </r>
  <r>
    <d v="2026-06-20T00:00:00"/>
    <s v="SR-INV-AST/26-27/2756"/>
    <x v="1"/>
    <s v="CUCH24664M7-29.00GM-22KT-YG-21 INCH"/>
    <x v="0"/>
    <s v="G-NA-91.80-YG"/>
    <n v="24.016100000000002"/>
    <n v="0"/>
    <n v="22.046800000000001"/>
    <n v="22.046800000000001"/>
    <s v="RC STOCK"/>
    <x v="1"/>
  </r>
  <r>
    <d v="2026-06-20T00:00:00"/>
    <s v="SR-INV-AST/26-27/2756"/>
    <x v="1"/>
    <s v="CUCH24664M7-29.00GM-22KT-YG-21 INCH"/>
    <x v="0"/>
    <s v="G-NA-91.80-YG"/>
    <n v="6.8999999999999999E-3"/>
    <n v="0"/>
    <n v="6.3E-3"/>
    <n v="6.3E-3"/>
    <s v="RC STOCK"/>
    <x v="1"/>
  </r>
  <r>
    <d v="2026-06-20T00:00:00"/>
    <s v="SR-INV-AST/26-27/2756"/>
    <x v="1"/>
    <s v="ICH23917-17.00GM-22KT-YG-22 INCH"/>
    <x v="0"/>
    <s v="G-NA-91.80-YG"/>
    <n v="18.393000000000001"/>
    <n v="0"/>
    <n v="16.884799999999998"/>
    <n v="16.884799999999998"/>
    <s v="RC-STOCK-ORD-200011"/>
    <x v="1"/>
  </r>
  <r>
    <d v="2026-06-20T00:00:00"/>
    <s v="SR-INV-AST/26-27/2756"/>
    <x v="1"/>
    <s v="ICH23916-18.00GM-22KT-YG-20 INCH"/>
    <x v="0"/>
    <s v="G-NA-91.80-YG"/>
    <n v="16.885000000000002"/>
    <n v="0"/>
    <n v="15.500400000000001"/>
    <n v="15.500400000000001"/>
    <s v="RC-STOCK-ORD-200011"/>
    <x v="1"/>
  </r>
  <r>
    <d v="2026-06-20T00:00:00"/>
    <s v="SR-INV-AST/26-27/2756"/>
    <x v="1"/>
    <s v="IBR251231M10-18.00GM-22KT-YG-8 INCH"/>
    <x v="0"/>
    <s v="G-NA-91.80-YG"/>
    <n v="18.167999999999999"/>
    <n v="0"/>
    <n v="16.6782"/>
    <n v="16.6782"/>
    <s v="RC-STOCK-ORD-200008"/>
    <x v="1"/>
  </r>
  <r>
    <d v="2026-06-20T00:00:00"/>
    <s v="SR-INV-AST/26-27/2756"/>
    <x v="1"/>
    <s v="IBR251232M10-18.50GM-22KT-YG-8 INCH"/>
    <x v="0"/>
    <s v="G-NA-91.80-YG"/>
    <n v="19.271000000000001"/>
    <n v="0"/>
    <n v="17.690799999999999"/>
    <n v="17.690799999999999"/>
    <s v="RC-STOCK-ORD-200008"/>
    <x v="1"/>
  </r>
  <r>
    <d v="2026-06-20T00:00:00"/>
    <s v="SR-INV-AST/26-27/2756"/>
    <x v="1"/>
    <s v="IBR251231M10-18.00GM-22KT-YG-8 INCH"/>
    <x v="0"/>
    <s v="G-NA-91.80-YG"/>
    <n v="17.332999999999998"/>
    <n v="0"/>
    <n v="15.9117"/>
    <n v="15.9117"/>
    <s v="RC-STOCK-ORD-200008"/>
    <x v="1"/>
  </r>
  <r>
    <d v="2026-06-20T00:00:00"/>
    <s v="SR-INV-AST/26-27/2756"/>
    <x v="1"/>
    <s v="CBR24661M10-18.00GM-22KT-YG-8 INCH"/>
    <x v="0"/>
    <s v="G-NA-91.80-YG"/>
    <n v="19.09"/>
    <n v="0"/>
    <n v="17.5246"/>
    <n v="17.5246"/>
    <s v="RC-STOCK-ORD-200007"/>
    <x v="1"/>
  </r>
  <r>
    <d v="2026-06-20T00:00:00"/>
    <s v="SR-INV-AST/26-27/2756"/>
    <x v="1"/>
    <s v="IBR251231M10-18.00GM-22KT-YG-8 INCH"/>
    <x v="0"/>
    <s v="G-NA-91.80-YG"/>
    <n v="18.559000000000001"/>
    <n v="0"/>
    <n v="17.037199999999999"/>
    <n v="17.037199999999999"/>
    <s v="RC-STOCK-ORD-200008"/>
    <x v="1"/>
  </r>
  <r>
    <d v="2026-06-20T00:00:00"/>
    <s v="SR-INV-AST/26-27/2756"/>
    <x v="1"/>
    <s v="CBR24661M10-18.00GM-22KT-YG-8 INCH"/>
    <x v="0"/>
    <s v="G-NA-91.80-YG"/>
    <n v="19.672999999999998"/>
    <n v="0"/>
    <n v="18.059799999999999"/>
    <n v="18.059799999999999"/>
    <s v="RC-STOCK-ORD-200007"/>
    <x v="1"/>
  </r>
  <r>
    <d v="2026-06-20T00:00:00"/>
    <s v="SR-INV-AST/26-27/2756"/>
    <x v="1"/>
    <s v="IBR241326M5-10.00GM-22KT-YG-8 INCH"/>
    <x v="0"/>
    <s v="G-NA-91.80-YG"/>
    <n v="10.106999999999999"/>
    <n v="0"/>
    <n v="9.2782"/>
    <n v="9.2782"/>
    <s v="RC-STOCK-ORD-200008"/>
    <x v="1"/>
  </r>
  <r>
    <d v="2026-06-20T00:00:00"/>
    <s v="SR-INV-AST/26-27/2756"/>
    <x v="1"/>
    <s v="CBR24662M7C-14.00GM-22KT-YG-8 INCH"/>
    <x v="0"/>
    <s v="G-NA-91.80-YG"/>
    <n v="12.343"/>
    <n v="0"/>
    <n v="11.3309"/>
    <n v="11.3309"/>
    <s v="RC-STOCK-ORD-200007"/>
    <x v="1"/>
  </r>
  <r>
    <d v="2026-06-20T00:00:00"/>
    <s v="SR-INV-AST/26-27/2756"/>
    <x v="1"/>
    <s v="ICH23917-16.00GM-22KT-YG-20 INCH"/>
    <x v="0"/>
    <s v="G-NA-91.80-YG"/>
    <n v="17.158000000000001"/>
    <n v="0"/>
    <n v="15.750999999999999"/>
    <n v="15.750999999999999"/>
    <s v="RC-STOCK-ORD-200011"/>
    <x v="1"/>
  </r>
  <r>
    <d v="2026-06-20T00:00:00"/>
    <s v="SR-INV-AST/26-27/2756"/>
    <x v="1"/>
    <s v="IBR241326M5-10.00GM-22KT-YG-8 INCH"/>
    <x v="0"/>
    <s v="G-NA-91.80-YG"/>
    <n v="9.9260000000000002"/>
    <n v="0"/>
    <n v="9.1120999999999999"/>
    <n v="9.1120999999999999"/>
    <s v="RC-STOCK-ORD-200008"/>
    <x v="1"/>
  </r>
  <r>
    <d v="2026-06-20T00:00:00"/>
    <s v="SR-INV-AST/26-27/2756"/>
    <x v="1"/>
    <s v="IBR241326M8-16.00GM-22KT-YG-8 INCH"/>
    <x v="0"/>
    <s v="G-NA-91.80-YG"/>
    <n v="25.829000000000001"/>
    <n v="0"/>
    <n v="23.710999999999999"/>
    <n v="23.710999999999999"/>
    <s v="RC-STOCK-ORD-200008"/>
    <x v="1"/>
  </r>
  <r>
    <d v="2026-06-20T00:00:00"/>
    <s v="SR-INV-AST/26-27/2756"/>
    <x v="1"/>
    <s v="CUCH24664M6-23.00GM-22KT-YG-20 INCH"/>
    <x v="0"/>
    <s v="G-NA-91.80-YG"/>
    <n v="23.545999999999999"/>
    <n v="0"/>
    <n v="21.615200000000002"/>
    <n v="21.615200000000002"/>
    <s v="RC-STOCK-ORD-200007"/>
    <x v="1"/>
  </r>
  <r>
    <d v="2026-06-20T00:00:00"/>
    <s v="SR-INV-AST/26-27/2756"/>
    <x v="1"/>
    <s v="IBR242075M15-45.00GM-22KT-YG-8 INCH"/>
    <x v="0"/>
    <s v="G-NA-91.80-YG"/>
    <n v="43.883000000000003"/>
    <n v="0"/>
    <n v="40.284599999999998"/>
    <n v="40.284599999999998"/>
    <s v="RC-STOCK-ORD-200008"/>
    <x v="1"/>
  </r>
  <r>
    <d v="2026-06-20T00:00:00"/>
    <s v="SR-INV-AST/26-27/2756"/>
    <x v="1"/>
    <s v="IBR242075M15-45.00GM-22KT-YG-8 INCH"/>
    <x v="0"/>
    <s v="G-NA-91.80-YG"/>
    <n v="46.332000000000001"/>
    <n v="0"/>
    <n v="42.532800000000002"/>
    <n v="42.532800000000002"/>
    <s v="RC-STOCK-ORD-200008"/>
    <x v="1"/>
  </r>
  <r>
    <d v="2026-06-20T00:00:00"/>
    <s v="SR-INV-AST/26-27/2756"/>
    <x v="1"/>
    <s v="CBR24661M10-18.00GM-22KT-YG-8 INCH"/>
    <x v="0"/>
    <s v="G-NA-91.80-YG"/>
    <n v="19.047000000000001"/>
    <n v="0"/>
    <n v="17.485099999999999"/>
    <n v="17.485099999999999"/>
    <s v="RC-STOCK-ORD-200007"/>
    <x v="1"/>
  </r>
  <r>
    <d v="2026-06-20T00:00:00"/>
    <s v="SR-INV-AST/26-27/2756"/>
    <x v="1"/>
    <s v="ICH23917-16.00GM-22KT-YG-20 INCH"/>
    <x v="0"/>
    <s v="G-NA-91.80-YG"/>
    <n v="17.238"/>
    <n v="0"/>
    <n v="15.8245"/>
    <n v="15.8245"/>
    <s v="RC-STOCK-ORD-200011"/>
    <x v="1"/>
  </r>
  <r>
    <d v="2026-06-20T00:00:00"/>
    <s v="SR-INV-AST/26-27/2756"/>
    <x v="1"/>
    <s v="IBR241326M5-10.00GM-22KT-YG-8 INCH"/>
    <x v="0"/>
    <s v="G-NA-91.80-YG"/>
    <n v="10.051"/>
    <n v="0"/>
    <n v="9.2268000000000008"/>
    <n v="9.2268000000000008"/>
    <s v="RC-STOCK-ORD-200008"/>
    <x v="1"/>
  </r>
  <r>
    <d v="2026-06-20T00:00:00"/>
    <s v="SR-INV-AST/26-27/2756"/>
    <x v="1"/>
    <s v="IBR241326M8-16.00GM-22KT-YG-8 INCH"/>
    <x v="0"/>
    <s v="G-NA-91.80-YG"/>
    <n v="25.725999999999999"/>
    <n v="0"/>
    <n v="23.616499999999998"/>
    <n v="23.616499999999998"/>
    <s v="RC-STOCK-ORD-200008"/>
    <x v="1"/>
  </r>
  <r>
    <d v="2026-06-20T00:00:00"/>
    <s v="SR-INV-AST/26-27/2756"/>
    <x v="1"/>
    <s v="IBR251231M10-18.00GM-22KT-YG-8 INCH"/>
    <x v="0"/>
    <s v="G-NA-91.80-YG"/>
    <n v="18.632000000000001"/>
    <n v="0"/>
    <n v="17.104199999999999"/>
    <n v="17.104199999999999"/>
    <s v="RC-STOCK-ORD-200008"/>
    <x v="1"/>
  </r>
  <r>
    <d v="2026-06-20T00:00:00"/>
    <s v="SR-INV-AST/26-27/2756"/>
    <x v="1"/>
    <s v="CUCH24664M7-31.00GM-22KT-YG-22 INCH"/>
    <x v="0"/>
    <s v="G-NA-91.80-YG"/>
    <n v="30.09"/>
    <n v="0"/>
    <n v="27.622599999999998"/>
    <n v="27.622599999999998"/>
    <s v="RC-STOCK-ORD-200007"/>
    <x v="1"/>
  </r>
  <r>
    <d v="2026-06-20T00:00:00"/>
    <s v="SR-INV-AST/26-27/2756"/>
    <x v="1"/>
    <s v="ICH23916-18.00GM-22KT-YG-20 INCH"/>
    <x v="0"/>
    <s v="G-NA-91.80-YG"/>
    <n v="16.954999999999998"/>
    <n v="0"/>
    <n v="15.5647"/>
    <n v="15.5647"/>
    <s v="RC-STOCK-ORD-200011"/>
    <x v="1"/>
  </r>
  <r>
    <d v="2026-06-20T00:00:00"/>
    <s v="SR-INV-AST/26-27/2756"/>
    <x v="1"/>
    <s v="IBR251232M10-18.50GM-22KT-YG-8 INCH"/>
    <x v="0"/>
    <s v="G-NA-91.80-YG"/>
    <n v="18.829000000000001"/>
    <n v="0"/>
    <n v="17.285"/>
    <n v="17.285"/>
    <s v="RC-STOCK-ORD-200008"/>
    <x v="1"/>
  </r>
  <r>
    <d v="2026-06-20T00:00:00"/>
    <s v="SR-INV-AST/26-27/2756"/>
    <x v="1"/>
    <s v="CUCH24664M6-24.00GM-22KT-YG-22 INCH"/>
    <x v="0"/>
    <s v="G-NA-91.80-YG"/>
    <n v="23.492999999999999"/>
    <n v="0"/>
    <n v="21.566600000000001"/>
    <n v="21.566600000000001"/>
    <s v="RC-STOCK-ORD-200007"/>
    <x v="1"/>
  </r>
  <r>
    <d v="2026-06-20T00:00:00"/>
    <s v="SR-INV-AST/26-27/2756"/>
    <x v="1"/>
    <s v="CBR24662M7C-14.00GM-22KT-YG-8 INCH"/>
    <x v="0"/>
    <s v="G-NA-91.80-YG"/>
    <n v="12.054"/>
    <n v="0"/>
    <n v="11.0656"/>
    <n v="11.0656"/>
    <s v="RC-STOCK-ORD-200007"/>
    <x v="1"/>
  </r>
  <r>
    <d v="2026-06-20T00:00:00"/>
    <s v="SR-INV-AST/26-27/2756"/>
    <x v="1"/>
    <s v="CUCH24664M6-24.00GM-22KT-YG-22 INCH"/>
    <x v="0"/>
    <s v="G-NA-91.80-YG"/>
    <n v="24.238"/>
    <n v="0"/>
    <n v="22.250499999999999"/>
    <n v="22.250499999999999"/>
    <s v="RC-STOCK-ORD-200007"/>
    <x v="1"/>
  </r>
  <r>
    <d v="2026-06-20T00:00:00"/>
    <s v="SR-INV-AST/26-27/2756"/>
    <x v="1"/>
    <s v="IBR241326M5-10.00GM-22KT-YG-8 INCH"/>
    <x v="0"/>
    <s v="G-NA-91.80-YG"/>
    <n v="10.15"/>
    <n v="0"/>
    <n v="9.3177000000000003"/>
    <n v="9.3177000000000003"/>
    <s v="RC-STOCK-ORD-200008"/>
    <x v="1"/>
  </r>
  <r>
    <d v="2026-06-20T00:00:00"/>
    <s v="SR-INV-AST/26-27/2756"/>
    <x v="1"/>
    <s v="CUCH24664M6-23.00GM-22KT-YG-20 INCH"/>
    <x v="0"/>
    <s v="G-NA-91.80-YG"/>
    <n v="22.681999999999999"/>
    <n v="0"/>
    <n v="20.822099999999999"/>
    <n v="20.822099999999999"/>
    <s v="RC-STOCK-ORD-200007"/>
    <x v="1"/>
  </r>
  <r>
    <d v="2026-06-20T00:00:00"/>
    <s v="SR-INV-AST/26-27/2756"/>
    <x v="1"/>
    <s v="IBR241326M5-10.00GM-22KT-YG-8 INCH"/>
    <x v="0"/>
    <s v="G-NA-91.80-YG"/>
    <n v="9.6289999999999996"/>
    <n v="0"/>
    <n v="8.8393999999999995"/>
    <n v="8.8393999999999995"/>
    <s v="RC-STOCK-ORD-200008"/>
    <x v="1"/>
  </r>
  <r>
    <d v="2026-06-20T00:00:00"/>
    <s v="SR-INV-AST/26-27/2756"/>
    <x v="1"/>
    <s v="CUCH24664M6-24.00GM-22KT-YG-22 INCH"/>
    <x v="0"/>
    <s v="G-NA-91.80-YG"/>
    <n v="24.103999999999999"/>
    <n v="0"/>
    <n v="22.127500000000001"/>
    <n v="22.127500000000001"/>
    <s v="RC-STOCK-ORD-200007"/>
    <x v="1"/>
  </r>
  <r>
    <d v="2026-06-20T00:00:00"/>
    <s v="SR-INV-AST/26-27/2756"/>
    <x v="1"/>
    <s v="IBR241326M8-16.00GM-22KT-YG-8 INCH"/>
    <x v="0"/>
    <s v="G-NA-91.80-YG"/>
    <n v="25.602"/>
    <n v="0"/>
    <n v="23.502600000000001"/>
    <n v="23.502600000000001"/>
    <s v="RC-STOCK-ORD-200008"/>
    <x v="1"/>
  </r>
  <r>
    <d v="2026-06-20T00:00:00"/>
    <s v="SR-INV-AST/26-27/2756"/>
    <x v="1"/>
    <s v="IBR251232M10-18.50GM-22KT-YG-8 INCH"/>
    <x v="0"/>
    <s v="G-NA-91.80-YG"/>
    <n v="19.164000000000001"/>
    <n v="0"/>
    <n v="17.592600000000001"/>
    <n v="17.592600000000001"/>
    <s v="RC-STOCK-ORD-200008"/>
    <x v="1"/>
  </r>
  <r>
    <d v="2026-06-20T00:00:00"/>
    <s v="SR-INV-AST/26-27/2756"/>
    <x v="1"/>
    <s v="ICH23917-17.00GM-22KT-YG-22 INCH"/>
    <x v="0"/>
    <s v="G-NA-91.80-YG"/>
    <n v="18.039000000000001"/>
    <n v="0"/>
    <n v="16.559799999999999"/>
    <n v="16.559799999999999"/>
    <s v="RC-STOCK-ORD-200011"/>
    <x v="1"/>
  </r>
  <r>
    <d v="2026-06-20T00:00:00"/>
    <s v="SR-INV-AST/26-27/2756"/>
    <x v="1"/>
    <s v="CBR24662M7C-14.00GM-22KT-YG-8 INCH"/>
    <x v="0"/>
    <s v="G-NA-91.80-YG"/>
    <n v="12.398999999999999"/>
    <n v="0"/>
    <n v="11.382300000000001"/>
    <n v="11.382300000000001"/>
    <s v="RC-STOCK-ORD-200007"/>
    <x v="1"/>
  </r>
  <r>
    <d v="2026-06-20T00:00:00"/>
    <s v="SR-INV-AST/26-27/2756"/>
    <x v="1"/>
    <s v="IBR251231M10-18.00GM-22KT-YG-8 INCH"/>
    <x v="0"/>
    <s v="G-NA-91.80-YG"/>
    <n v="18.29"/>
    <n v="0"/>
    <n v="16.790199999999999"/>
    <n v="16.790199999999999"/>
    <s v="RC-STOCK-ORD-200008"/>
    <x v="1"/>
  </r>
  <r>
    <d v="2026-06-20T00:00:00"/>
    <s v="SR-INV-AST/26-27/2756"/>
    <x v="1"/>
    <s v="CBR24661M10-18.00GM-22KT-YG-8 INCH"/>
    <x v="0"/>
    <s v="G-NA-91.80-YG"/>
    <n v="19.82"/>
    <n v="0"/>
    <n v="18.194800000000001"/>
    <n v="18.194800000000001"/>
    <s v="RC-STOCK-ORD-200007"/>
    <x v="1"/>
  </r>
  <r>
    <d v="2026-06-20T00:00:00"/>
    <s v="SR-INV-AST/26-27/2756"/>
    <x v="1"/>
    <s v="IBR241326M5-10.00GM-22KT-YG-8 INCH"/>
    <x v="0"/>
    <s v="G-NA-91.80-YG"/>
    <n v="9.89"/>
    <n v="0"/>
    <n v="9.0790000000000006"/>
    <n v="9.0790000000000006"/>
    <s v="RC-STOCK-ORD-200008"/>
    <x v="1"/>
  </r>
  <r>
    <d v="2026-06-20T00:00:00"/>
    <s v="SR-INV-AST/26-27/2756"/>
    <x v="1"/>
    <s v="IBR251232M10-18.50GM-22KT-YG-8 INCH"/>
    <x v="0"/>
    <s v="G-NA-91.80-YG"/>
    <n v="18.518000000000001"/>
    <n v="0"/>
    <n v="16.999500000000001"/>
    <n v="16.999500000000001"/>
    <s v="RC-STOCK-ORD-200008"/>
    <x v="1"/>
  </r>
  <r>
    <d v="2026-06-20T00:00:00"/>
    <s v="SR-INV-AST/26-27/2756"/>
    <x v="1"/>
    <s v="IBR241326M5-10.00GM-22KT-YG-8 INCH"/>
    <x v="0"/>
    <s v="G-NA-91.80-YG"/>
    <n v="10.407"/>
    <n v="0"/>
    <n v="9.5535999999999994"/>
    <n v="9.5535999999999994"/>
    <s v="RC-STOCK-ORD-200008"/>
    <x v="1"/>
  </r>
  <r>
    <d v="2026-06-20T00:00:00"/>
    <s v="SR-INV-AST/26-27/2756"/>
    <x v="1"/>
    <s v="IBR241326M8-16.00GM-22KT-YG-8 INCH"/>
    <x v="0"/>
    <s v="G-NA-91.80-YG"/>
    <n v="25.08"/>
    <n v="0"/>
    <n v="23.023399999999999"/>
    <n v="23.023399999999999"/>
    <s v="RC-STOCK-ORD-200008"/>
    <x v="1"/>
  </r>
  <r>
    <d v="2026-06-20T00:00:00"/>
    <s v="SR-INV-AST/26-27/2756"/>
    <x v="1"/>
    <s v="IBR241326M8-16.00GM-22KT-YG-8 INCH"/>
    <x v="0"/>
    <s v="G-NA-91.80-YG"/>
    <n v="25.416"/>
    <n v="0"/>
    <n v="23.331900000000001"/>
    <n v="23.331900000000001"/>
    <s v="RC-STOCK-ORD-200008"/>
    <x v="1"/>
  </r>
  <r>
    <d v="2026-06-20T00:00:00"/>
    <s v="SR-INV-AST/26-27/2756"/>
    <x v="1"/>
    <s v="CUCH24664M6-23.00GM-22KT-YG-20 INCH"/>
    <x v="0"/>
    <s v="G-NA-91.80-YG"/>
    <n v="22.481000000000002"/>
    <n v="0"/>
    <n v="20.637599999999999"/>
    <n v="20.637599999999999"/>
    <s v="RC-STOCK-ORD-200007"/>
    <x v="1"/>
  </r>
  <r>
    <d v="2026-06-20T00:00:00"/>
    <s v="SR-INV-AST/26-27/2756"/>
    <x v="1"/>
    <s v="CUCH24664M7-31.00GM-22KT-YG-22 INCH"/>
    <x v="0"/>
    <s v="G-NA-91.80-YG"/>
    <n v="30.210999999999999"/>
    <n v="0"/>
    <n v="27.733699999999999"/>
    <n v="27.733699999999999"/>
    <s v="RC-STOCK-ORD-200007"/>
    <x v="1"/>
  </r>
  <r>
    <d v="2026-06-20T00:00:00"/>
    <s v="SR-INV-AST/26-27/2755"/>
    <x v="8"/>
    <s v="TQER24087-4.00GM-22KT-YG-NA"/>
    <x v="0"/>
    <s v="G-NA-91.60-YG"/>
    <n v="3.8663E-3"/>
    <n v="0"/>
    <n v="3.5000000000000001E-3"/>
    <n v="3.5000000000000001E-3"/>
    <s v="  (DC-NO-ROYL10140  TRANSF NO -32385829  )"/>
    <x v="7"/>
  </r>
  <r>
    <d v="2026-06-20T00:00:00"/>
    <s v="SR-INV-AST/26-27/2755"/>
    <x v="8"/>
    <s v="TQER24087-4.00GM-22KT-YG-NA"/>
    <x v="0"/>
    <s v="G-NA-91.60-YG"/>
    <n v="4.4701336999999999"/>
    <n v="0"/>
    <n v="4.0945999999999998"/>
    <n v="4.0945999999999998"/>
    <s v="  (DC-NO-ROYL10140  TRANSF NO -32385829  )"/>
    <x v="7"/>
  </r>
  <r>
    <d v="2026-06-20T00:00:00"/>
    <s v="SR-INV-AST/26-27/2754"/>
    <x v="1"/>
    <s v="ICH23476M2.5-13.00GM-18KT-YG-20 INCH"/>
    <x v="1"/>
    <s v="G-NA-75.00-YG"/>
    <n v="11.512"/>
    <n v="0"/>
    <n v="8.6340000000000003"/>
    <n v="8.6340000000000003"/>
    <s v="RC-3348/3/CUST/ORD"/>
    <x v="1"/>
  </r>
  <r>
    <d v="2026-06-20T00:00:00"/>
    <s v="SR-INV-AST/26-27/2754"/>
    <x v="1"/>
    <s v="ICH241942M2.25-15.00GM-18KT-YG-20 INCH"/>
    <x v="1"/>
    <s v="G-NA-75.00-YG"/>
    <n v="15.034000000000001"/>
    <n v="0"/>
    <n v="11.275499999999999"/>
    <n v="11.275499999999999"/>
    <s v="RC-STOCK-13062026 HM DONE"/>
    <x v="1"/>
  </r>
  <r>
    <d v="2026-06-20T00:00:00"/>
    <s v="SR-INV-AST/26-27/2754"/>
    <x v="1"/>
    <s v="ICH241942M2.25-15.00GM-18KT-YG-20 INCH"/>
    <x v="1"/>
    <s v="G-NA-75.00-YG"/>
    <n v="14.987"/>
    <n v="0"/>
    <n v="11.2403"/>
    <n v="11.2403"/>
    <s v="RC-STOCK-13062026 HM DONE"/>
    <x v="1"/>
  </r>
  <r>
    <d v="2026-06-20T00:00:00"/>
    <s v="SR-INV-AST/26-27/2754"/>
    <x v="1"/>
    <s v="CBR25344M7-12.00GM-18KT-YG-8 INCH"/>
    <x v="1"/>
    <s v="G-NA-75.00-YG"/>
    <n v="11.651999999999999"/>
    <n v="0"/>
    <n v="8.7390000000000008"/>
    <n v="8.7390000000000008"/>
    <s v="RC-3349/CUST/ORD"/>
    <x v="1"/>
  </r>
  <r>
    <d v="2026-06-20T00:00:00"/>
    <s v="SR-INV-AST/26-27/2754"/>
    <x v="1"/>
    <s v="CBR25344M7-12.00GM-18KT-YG-8 INCH"/>
    <x v="1"/>
    <s v="G-NA-75.00-YG"/>
    <n v="11.574999999999999"/>
    <n v="0"/>
    <n v="8.6813000000000002"/>
    <n v="8.6813000000000002"/>
    <s v="RC-3349/CUST/ORD"/>
    <x v="1"/>
  </r>
  <r>
    <d v="2026-06-20T00:00:00"/>
    <s v="SR-INV-AST/26-27/2754"/>
    <x v="1"/>
    <s v="ICH241942M2.25-15.00GM-18KT-YG-20 INCH"/>
    <x v="1"/>
    <s v="G-NA-75.00-YG"/>
    <n v="14.731"/>
    <n v="0"/>
    <n v="11.048299999999999"/>
    <n v="11.048299999999999"/>
    <s v="RC-STOCK-13062026 HM DONE"/>
    <x v="1"/>
  </r>
  <r>
    <d v="2026-06-20T00:00:00"/>
    <s v="SR-INV-AST/26-27/2754"/>
    <x v="1"/>
    <s v="ICH241942M2.25-15.00GM-18KT-YG-20 INCH"/>
    <x v="1"/>
    <s v="G-NA-75.00-YG"/>
    <n v="14.355"/>
    <n v="0"/>
    <n v="10.766299999999999"/>
    <n v="10.766299999999999"/>
    <s v="RC-STOCK-13062026 HM DONE"/>
    <x v="1"/>
  </r>
  <r>
    <d v="2026-06-20T00:00:00"/>
    <s v="SR-INV-AST/26-27/2754"/>
    <x v="1"/>
    <s v="ICH241942M2.25-15.00GM-18KT-YG-20 INCH"/>
    <x v="1"/>
    <s v="G-NA-75.00-YG"/>
    <n v="14.602"/>
    <n v="0"/>
    <n v="10.951499999999999"/>
    <n v="10.951499999999999"/>
    <s v="RC-STOCK-13062026 HM DONE"/>
    <x v="1"/>
  </r>
  <r>
    <d v="2026-06-20T00:00:00"/>
    <s v="SR-INV-AST/26-27/2754"/>
    <x v="1"/>
    <s v="ICH4803-3MM-22.00GM-18KT-RG-20 INCH"/>
    <x v="1"/>
    <s v="G-NA-75.00-RG"/>
    <n v="19.937999999999999"/>
    <n v="0"/>
    <n v="14.9535"/>
    <n v="14.9535"/>
    <s v="RC-3347/2/CUST/ORD"/>
    <x v="1"/>
  </r>
  <r>
    <d v="2026-06-20T00:00:00"/>
    <s v="SR-INV-AST/26-27/2754"/>
    <x v="1"/>
    <s v="ICH4803-3MM-24.00GM-18KT-RG-22 INCH"/>
    <x v="1"/>
    <s v="G-NA-75.00-RG"/>
    <n v="24.321000000000002"/>
    <n v="0"/>
    <n v="18.2408"/>
    <n v="18.2408"/>
    <s v="RC-3347/2/CUST/ORD"/>
    <x v="1"/>
  </r>
  <r>
    <d v="2026-06-20T00:00:00"/>
    <s v="SR-INV-AST/26-27/2754"/>
    <x v="1"/>
    <s v="ICH4803-3MM-22.00GM-18KT-RG-20 INCH"/>
    <x v="1"/>
    <s v="G-NA-75.00-RG"/>
    <n v="19.768000000000001"/>
    <n v="0"/>
    <n v="14.826000000000001"/>
    <n v="14.826000000000001"/>
    <s v="RC-3347/2/CUST/ORD"/>
    <x v="1"/>
  </r>
  <r>
    <d v="2026-06-20T00:00:00"/>
    <s v="SR-INV-AST/26-27/2754"/>
    <x v="1"/>
    <s v="ICH4803-3MM-24.00GM-18KT-RG-22 INCH"/>
    <x v="1"/>
    <s v="G-NA-75.00-RG"/>
    <n v="25.376999999999999"/>
    <n v="0"/>
    <n v="19.032800000000002"/>
    <n v="19.032800000000002"/>
    <s v="RC-3347/2/CUST/ORD"/>
    <x v="1"/>
  </r>
  <r>
    <d v="2026-06-20T00:00:00"/>
    <s v="SR-INV-AST/26-27/2754"/>
    <x v="1"/>
    <s v="IGCC23832-21.00GM-18KT-RG-20 INCH"/>
    <x v="1"/>
    <s v="G-NA-75.00-RG"/>
    <n v="20.664000000000001"/>
    <n v="0"/>
    <n v="15.497999999999999"/>
    <n v="15.497999999999999"/>
    <s v="RC-3348/CUST/ORD"/>
    <x v="1"/>
  </r>
  <r>
    <d v="2026-06-20T00:00:00"/>
    <s v="SR-INV-AST/26-27/2754"/>
    <x v="1"/>
    <s v="ICH4803-3MM-24.00GM-18KT-RG-22 INCH"/>
    <x v="1"/>
    <s v="G-NA-75.00-RG"/>
    <n v="25.302"/>
    <n v="0"/>
    <n v="18.976500000000001"/>
    <n v="18.976500000000001"/>
    <s v="RC-3347/2/CUST/OR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617B7-AF3D-449C-B3FE-2950409D9C17}" name="PivotTable5" cacheId="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7" indent="0" compact="0" compactData="0" gridDropZones="1" multipleFieldFilters="0">
  <location ref="A3:D79" firstHeaderRow="1" firstDataRow="2" firstDataCol="2"/>
  <pivotFields count="22">
    <pivotField compact="0" numFmtId="16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7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numFmtId="170" outline="0" showAll="0"/>
    <pivotField dataField="1" compact="0" numFmtId="170" outline="0" showAll="0"/>
    <pivotField compact="0" numFmtId="170" outline="0" showAll="0"/>
    <pivotField compact="0" numFmtId="170" outline="0" showAll="0"/>
    <pivotField compact="0" outline="0" showAll="0"/>
    <pivotField compact="0" outline="0" showAll="0"/>
    <pivotField compact="0" outline="0" showAll="0"/>
    <pivotField compact="0" numFmtId="172" outline="0" showAll="0"/>
    <pivotField axis="axisRow" compact="0" outline="0" showAll="0">
      <items count="32">
        <item x="4"/>
        <item x="17"/>
        <item x="20"/>
        <item x="21"/>
        <item x="14"/>
        <item x="27"/>
        <item x="1"/>
        <item x="19"/>
        <item x="2"/>
        <item x="9"/>
        <item x="26"/>
        <item x="5"/>
        <item x="7"/>
        <item x="29"/>
        <item x="0"/>
        <item x="13"/>
        <item x="3"/>
        <item x="28"/>
        <item x="11"/>
        <item x="24"/>
        <item x="18"/>
        <item x="12"/>
        <item x="30"/>
        <item x="23"/>
        <item x="25"/>
        <item x="6"/>
        <item x="8"/>
        <item x="10"/>
        <item x="15"/>
        <item x="16"/>
        <item x="22"/>
        <item t="default"/>
      </items>
    </pivotField>
    <pivotField compact="0" outline="0" showAll="0"/>
  </pivotFields>
  <rowFields count="2">
    <field x="20"/>
    <field x="10"/>
  </rowFields>
  <rowItems count="75">
    <i>
      <x/>
      <x/>
    </i>
    <i r="1">
      <x v="1"/>
    </i>
    <i t="default">
      <x/>
    </i>
    <i>
      <x v="1"/>
      <x/>
    </i>
    <i t="default">
      <x v="1"/>
    </i>
    <i>
      <x v="2"/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 v="1"/>
    </i>
    <i t="default">
      <x v="7"/>
    </i>
    <i>
      <x v="8"/>
      <x/>
    </i>
    <i r="1">
      <x v="1"/>
    </i>
    <i t="default">
      <x v="8"/>
    </i>
    <i>
      <x v="9"/>
      <x/>
    </i>
    <i r="1">
      <x v="1"/>
    </i>
    <i t="default">
      <x v="9"/>
    </i>
    <i>
      <x v="10"/>
      <x/>
    </i>
    <i t="default">
      <x v="10"/>
    </i>
    <i>
      <x v="11"/>
      <x v="1"/>
    </i>
    <i t="default">
      <x v="11"/>
    </i>
    <i>
      <x v="12"/>
      <x/>
    </i>
    <i r="1">
      <x v="1"/>
    </i>
    <i t="default">
      <x v="12"/>
    </i>
    <i>
      <x v="13"/>
      <x/>
    </i>
    <i t="default">
      <x v="13"/>
    </i>
    <i>
      <x v="14"/>
      <x/>
    </i>
    <i t="default">
      <x v="14"/>
    </i>
    <i>
      <x v="15"/>
      <x/>
    </i>
    <i r="1">
      <x v="1"/>
    </i>
    <i t="default">
      <x v="15"/>
    </i>
    <i>
      <x v="16"/>
      <x/>
    </i>
    <i t="default">
      <x v="16"/>
    </i>
    <i>
      <x v="17"/>
      <x/>
    </i>
    <i r="1">
      <x v="1"/>
    </i>
    <i t="default">
      <x v="17"/>
    </i>
    <i>
      <x v="18"/>
      <x/>
    </i>
    <i r="1">
      <x v="1"/>
    </i>
    <i t="default">
      <x v="18"/>
    </i>
    <i>
      <x v="19"/>
      <x/>
    </i>
    <i t="default">
      <x v="19"/>
    </i>
    <i>
      <x v="20"/>
      <x/>
    </i>
    <i t="default">
      <x v="20"/>
    </i>
    <i>
      <x v="21"/>
      <x v="1"/>
    </i>
    <i t="default">
      <x v="21"/>
    </i>
    <i>
      <x v="22"/>
      <x/>
    </i>
    <i t="default">
      <x v="22"/>
    </i>
    <i>
      <x v="23"/>
      <x v="1"/>
    </i>
    <i t="default">
      <x v="23"/>
    </i>
    <i>
      <x v="24"/>
      <x/>
    </i>
    <i t="default">
      <x v="24"/>
    </i>
    <i>
      <x v="25"/>
      <x v="1"/>
    </i>
    <i t="default">
      <x v="25"/>
    </i>
    <i>
      <x v="26"/>
      <x v="2"/>
    </i>
    <i t="default">
      <x v="26"/>
    </i>
    <i>
      <x v="27"/>
      <x v="1"/>
    </i>
    <i t="default">
      <x v="27"/>
    </i>
    <i>
      <x v="28"/>
      <x/>
    </i>
    <i r="1">
      <x v="1"/>
    </i>
    <i t="default">
      <x v="28"/>
    </i>
    <i>
      <x v="29"/>
      <x v="1"/>
    </i>
    <i t="default">
      <x v="29"/>
    </i>
    <i>
      <x v="30"/>
      <x v="1"/>
    </i>
    <i t="default"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Wt" fld="12" baseField="0" baseItem="0"/>
    <dataField name="Sum of Pg W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8A7F1-D7CE-48A5-8B50-2B833DEFB25B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1:E31" firstHeaderRow="1" firstDataRow="2" firstDataCol="3"/>
  <pivotFields count="12">
    <pivotField compact="0" numFmtId="169" outline="0" showAll="0"/>
    <pivotField compact="0" outline="0" showAll="0"/>
    <pivotField axis="axisRow" compact="0" outline="0" showAll="0" sortType="descending">
      <items count="12">
        <item x="8"/>
        <item x="1"/>
        <item x="7"/>
        <item x="5"/>
        <item x="10"/>
        <item x="6"/>
        <item x="0"/>
        <item x="2"/>
        <item x="4"/>
        <item x="9"/>
        <item x="3"/>
        <item t="default"/>
      </items>
    </pivotField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</pivotField>
    <pivotField compact="0" outline="0" showAll="0"/>
    <pivotField dataField="1" compact="0" numFmtId="170" outline="0" showAll="0"/>
    <pivotField compact="0" numFmtId="170" outline="0" showAll="0"/>
    <pivotField dataField="1" compact="0" numFmtId="170" outline="0" showAll="0"/>
    <pivotField compact="0" numFmtId="170" outline="0" showAll="0"/>
    <pivotField compact="0" outline="0" showAll="0"/>
    <pivotField axis="axisRow" compact="0" outline="0" showAll="0" sortType="ascending" defaultSubtotal="0">
      <items count="9">
        <item x="7"/>
        <item x="5"/>
        <item x="3"/>
        <item x="4"/>
        <item x="8"/>
        <item x="2"/>
        <item x="0"/>
        <item x="1"/>
        <item x="6"/>
      </items>
    </pivotField>
  </pivotFields>
  <rowFields count="3">
    <field x="11"/>
    <field x="2"/>
    <field x="4"/>
  </rowFields>
  <rowItems count="29">
    <i>
      <x/>
      <x v="2"/>
      <x/>
    </i>
    <i r="2">
      <x v="1"/>
    </i>
    <i r="2">
      <x v="2"/>
    </i>
    <i t="default" r="1">
      <x v="2"/>
    </i>
    <i>
      <x v="1"/>
      <x v="3"/>
      <x v="1"/>
    </i>
    <i r="2">
      <x v="2"/>
    </i>
    <i t="default" r="1">
      <x v="3"/>
    </i>
    <i>
      <x v="2"/>
      <x v="10"/>
      <x/>
    </i>
    <i r="2">
      <x v="1"/>
    </i>
    <i t="default" r="1">
      <x v="10"/>
    </i>
    <i>
      <x v="3"/>
      <x v="8"/>
      <x v="1"/>
    </i>
    <i t="default" r="1">
      <x v="8"/>
    </i>
    <i>
      <x v="4"/>
      <x/>
      <x/>
    </i>
    <i t="default" r="1">
      <x/>
    </i>
    <i>
      <x v="5"/>
      <x v="7"/>
      <x/>
    </i>
    <i t="default" r="1">
      <x v="7"/>
    </i>
    <i>
      <x v="6"/>
      <x v="6"/>
      <x/>
    </i>
    <i r="2">
      <x v="2"/>
    </i>
    <i t="default" r="1">
      <x v="6"/>
    </i>
    <i>
      <x v="7"/>
      <x v="1"/>
      <x/>
    </i>
    <i t="default" r="1">
      <x v="1"/>
    </i>
    <i>
      <x v="8"/>
      <x v="4"/>
      <x v="1"/>
    </i>
    <i t="default" r="1">
      <x v="4"/>
    </i>
    <i r="1">
      <x v="5"/>
      <x/>
    </i>
    <i r="2">
      <x v="1"/>
    </i>
    <i t="default" r="1">
      <x v="5"/>
    </i>
    <i r="1">
      <x v="9"/>
      <x/>
    </i>
    <i t="default"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Wt" fld="6" baseField="0" baseItem="0"/>
    <dataField name="Sum of Pg W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DF41C-D857-4535-9BA5-9C016455368A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3:C8" firstHeaderRow="1" firstDataRow="2" firstDataCol="1"/>
  <pivotFields count="12">
    <pivotField compact="0" numFmtId="169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</pivotField>
    <pivotField compact="0" outline="0" showAll="0"/>
    <pivotField dataField="1" compact="0" numFmtId="170" outline="0" showAll="0"/>
    <pivotField compact="0" numFmtId="170" outline="0" showAll="0"/>
    <pivotField dataField="1" compact="0" numFmtId="170" outline="0" showAll="0"/>
    <pivotField compact="0" numFmtId="17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Wt" fld="6" baseField="0" baseItem="0"/>
    <dataField name="Sum of Pg W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95F0D-F483-4B47-BDFD-5B2B27CDADB1}" name="PivotTable2" cacheId="16" applyNumberFormats="0" applyBorderFormats="0" applyFontFormats="0" applyPatternFormats="0" applyAlignmentFormats="0" applyWidthHeightFormats="1" dataCaption="Values" updatedVersion="8" minRefreshableVersion="3" showDrill="0" useAutoFormatting="1" createdVersion="6" indent="0" compact="0" compactData="0" gridDropZones="1" multipleFieldFilters="0">
  <location ref="A3:E26" firstHeaderRow="1" firstDataRow="2" firstDataCol="3"/>
  <pivotFields count="12">
    <pivotField compact="0" numFmtId="169" outline="0" showAll="0"/>
    <pivotField compact="0" outline="0" showAll="0"/>
    <pivotField axis="axisRow" compact="0" outline="0" showAll="0" sortType="ascending">
      <items count="10">
        <item x="6"/>
        <item x="0"/>
        <item x="4"/>
        <item x="5"/>
        <item x="7"/>
        <item x="1"/>
        <item x="3"/>
        <item x="8"/>
        <item x="2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numFmtId="170" outline="0" showAll="0"/>
    <pivotField compact="0" numFmtId="170" outline="0" showAll="0"/>
    <pivotField dataField="1" compact="0" numFmtId="170" outline="0" showAll="0"/>
    <pivotField compact="0" numFmtId="170" outline="0" showAll="0"/>
    <pivotField compact="0" outline="0" showAll="0"/>
    <pivotField axis="axisRow" compact="0" outline="0" showAll="0" sortType="ascending" defaultSubtotal="0">
      <items count="8">
        <item x="1"/>
        <item x="6"/>
        <item x="2"/>
        <item x="0"/>
        <item x="4"/>
        <item x="7"/>
        <item x="3"/>
        <item x="5"/>
      </items>
    </pivotField>
  </pivotFields>
  <rowFields count="3">
    <field x="11"/>
    <field x="2"/>
    <field x="4"/>
  </rowFields>
  <rowItems count="22">
    <i>
      <x/>
      <x v="5"/>
      <x/>
    </i>
    <i r="2">
      <x v="1"/>
    </i>
    <i t="default" r="1">
      <x v="5"/>
    </i>
    <i>
      <x v="1"/>
      <x v="4"/>
      <x/>
    </i>
    <i t="default" r="1">
      <x v="4"/>
    </i>
    <i>
      <x v="2"/>
      <x v="8"/>
      <x v="1"/>
    </i>
    <i t="default" r="1">
      <x v="8"/>
    </i>
    <i>
      <x v="3"/>
      <x v="1"/>
      <x/>
    </i>
    <i t="default" r="1">
      <x v="1"/>
    </i>
    <i>
      <x v="4"/>
      <x v="2"/>
      <x v="1"/>
    </i>
    <i t="default" r="1">
      <x v="2"/>
    </i>
    <i>
      <x v="5"/>
      <x v="7"/>
      <x/>
    </i>
    <i r="2">
      <x v="1"/>
    </i>
    <i t="default" r="1">
      <x v="7"/>
    </i>
    <i>
      <x v="6"/>
      <x v="6"/>
      <x v="2"/>
    </i>
    <i t="default" r="1">
      <x v="6"/>
    </i>
    <i>
      <x v="7"/>
      <x/>
      <x/>
    </i>
    <i r="2">
      <x v="1"/>
    </i>
    <i t="default" r="1">
      <x/>
    </i>
    <i r="1">
      <x v="3"/>
      <x/>
    </i>
    <i t="default"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Wt" fld="6" baseField="0" baseItem="0"/>
    <dataField name="Sum of Pg Wt" fld="8" baseField="0" baseItem="0"/>
  </dataFields>
  <formats count="9">
    <format dxfId="8">
      <pivotArea outline="0" collapsedLevelsAreSubtotals="1" fieldPosition="0"/>
    </format>
    <format dxfId="7">
      <pivotArea field="-2" type="button" dataOnly="0" labelOnly="1" outline="0" axis="axisCol" fieldPosition="0"/>
    </format>
    <format dxfId="6">
      <pivotArea type="topRight" dataOnly="0" labelOnly="1" outline="0" fieldPosition="0"/>
    </format>
    <format dxfId="5">
      <pivotArea outline="0" collapsedLevelsAreSubtotals="1" fieldPosition="0"/>
    </format>
    <format dxfId="4">
      <pivotArea field="-2" type="button" dataOnly="0" labelOnly="1" outline="0" axis="axisCol" fieldPosition="0"/>
    </format>
    <format dxfId="3">
      <pivotArea type="topRight" dataOnly="0" labelOnly="1" outline="0" fieldPosition="0"/>
    </format>
    <format dxfId="2">
      <pivotArea outline="0" collapsedLevelsAreSubtotals="1" fieldPosition="0"/>
    </format>
    <format dxfId="1">
      <pivotArea field="-2" type="button" dataOnly="0" labelOnly="1" outline="0" axis="axisCol" fieldPosition="0"/>
    </format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F8723-DB13-4469-9A3C-F6912D5C3796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3:C8" firstHeaderRow="1" firstDataRow="2" firstDataCol="1"/>
  <pivotFields count="12">
    <pivotField compact="0" numFmtId="169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0"/>
        <item x="1"/>
        <item t="default"/>
      </items>
    </pivotField>
    <pivotField compact="0" outline="0" showAll="0"/>
    <pivotField dataField="1" compact="0" numFmtId="170" outline="0" showAll="0"/>
    <pivotField compact="0" numFmtId="170" outline="0" showAll="0"/>
    <pivotField dataField="1" compact="0" numFmtId="170" outline="0" showAll="0"/>
    <pivotField compact="0" numFmtId="17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Wt" fld="6" baseField="0" baseItem="0"/>
    <dataField name="Sum of Pg W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5"/>
  <sheetViews>
    <sheetView workbookViewId="0">
      <pane ySplit="1" topLeftCell="A18" activePane="bottomLeft" state="frozen"/>
      <selection pane="bottomLeft" activeCell="E31" sqref="E31"/>
    </sheetView>
  </sheetViews>
  <sheetFormatPr defaultColWidth="9" defaultRowHeight="15"/>
  <cols>
    <col min="1" max="1" width="8.85546875" style="51"/>
    <col min="2" max="2" width="9.42578125" customWidth="1"/>
    <col min="3" max="5" width="29.28515625" customWidth="1"/>
    <col min="6" max="6" width="19.7109375" customWidth="1"/>
    <col min="7" max="7" width="16.7109375" customWidth="1"/>
    <col min="8" max="8" width="15.7109375" customWidth="1"/>
  </cols>
  <sheetData>
    <row r="1" spans="1:9" s="64" customFormat="1" ht="34.1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6</v>
      </c>
    </row>
    <row r="2" spans="1:9" s="64" customFormat="1">
      <c r="A2" s="65">
        <v>1</v>
      </c>
      <c r="B2" s="66" t="s">
        <v>8</v>
      </c>
      <c r="C2" s="64" t="s">
        <v>9</v>
      </c>
      <c r="D2" s="66" t="s">
        <v>10</v>
      </c>
      <c r="E2" s="66" t="s">
        <v>11</v>
      </c>
      <c r="F2" s="66" t="s">
        <v>11</v>
      </c>
      <c r="G2" s="66" t="s">
        <v>12</v>
      </c>
      <c r="H2" s="66"/>
      <c r="I2" s="66" t="s">
        <v>13</v>
      </c>
    </row>
    <row r="3" spans="1:9" s="64" customFormat="1">
      <c r="A3" s="65"/>
      <c r="B3" s="66"/>
      <c r="C3" s="66" t="s">
        <v>9</v>
      </c>
      <c r="D3" s="66" t="s">
        <v>10</v>
      </c>
      <c r="E3" s="66" t="s">
        <v>14</v>
      </c>
      <c r="F3" s="66" t="s">
        <v>15</v>
      </c>
      <c r="G3" s="66" t="s">
        <v>12</v>
      </c>
      <c r="H3" s="66"/>
      <c r="I3" s="66"/>
    </row>
    <row r="4" spans="1:9" s="64" customFormat="1">
      <c r="A4" s="65"/>
      <c r="B4" s="66"/>
      <c r="C4" s="66" t="s">
        <v>9</v>
      </c>
      <c r="D4" s="66" t="s">
        <v>10</v>
      </c>
      <c r="E4" s="66" t="s">
        <v>16</v>
      </c>
      <c r="F4" s="66" t="s">
        <v>17</v>
      </c>
      <c r="G4" s="66" t="s">
        <v>12</v>
      </c>
      <c r="H4" s="66"/>
      <c r="I4" s="66"/>
    </row>
    <row r="5" spans="1:9">
      <c r="A5" s="62"/>
      <c r="B5" s="67"/>
      <c r="C5" s="67"/>
      <c r="D5" s="67"/>
      <c r="E5" s="67"/>
      <c r="F5" s="67"/>
      <c r="G5" s="67"/>
      <c r="H5" s="67"/>
      <c r="I5" s="67"/>
    </row>
    <row r="6" spans="1:9" s="64" customFormat="1">
      <c r="A6" s="65">
        <v>2</v>
      </c>
      <c r="B6" s="66" t="s">
        <v>8</v>
      </c>
      <c r="C6" s="66" t="s">
        <v>18</v>
      </c>
      <c r="D6" s="66" t="s">
        <v>10</v>
      </c>
      <c r="E6" s="66" t="s">
        <v>11</v>
      </c>
      <c r="F6" s="66" t="s">
        <v>11</v>
      </c>
      <c r="G6" s="66" t="s">
        <v>12</v>
      </c>
      <c r="H6" s="66"/>
      <c r="I6" s="66" t="s">
        <v>13</v>
      </c>
    </row>
    <row r="7" spans="1:9" s="64" customFormat="1">
      <c r="A7" s="65"/>
      <c r="B7" s="66"/>
      <c r="C7" s="66" t="s">
        <v>18</v>
      </c>
      <c r="D7" s="66" t="s">
        <v>10</v>
      </c>
      <c r="E7" s="66" t="s">
        <v>14</v>
      </c>
      <c r="F7" s="66" t="s">
        <v>15</v>
      </c>
      <c r="G7" s="66" t="s">
        <v>12</v>
      </c>
      <c r="H7" s="66"/>
      <c r="I7" s="66"/>
    </row>
    <row r="8" spans="1:9" s="64" customFormat="1">
      <c r="A8" s="65"/>
      <c r="B8" s="66"/>
      <c r="C8" s="66" t="s">
        <v>18</v>
      </c>
      <c r="D8" s="66" t="s">
        <v>10</v>
      </c>
      <c r="E8" s="66" t="s">
        <v>16</v>
      </c>
      <c r="F8" s="66" t="s">
        <v>17</v>
      </c>
      <c r="G8" s="66" t="s">
        <v>12</v>
      </c>
      <c r="H8" s="66"/>
      <c r="I8" s="66"/>
    </row>
    <row r="9" spans="1:9" s="64" customFormat="1">
      <c r="A9" s="65"/>
      <c r="B9" s="66"/>
      <c r="C9" s="66"/>
      <c r="D9" s="66"/>
      <c r="E9" s="66"/>
      <c r="F9" s="66"/>
      <c r="G9" s="66"/>
      <c r="H9" s="66"/>
      <c r="I9" s="66"/>
    </row>
    <row r="10" spans="1:9" s="64" customFormat="1">
      <c r="A10" s="65">
        <v>3</v>
      </c>
      <c r="B10" s="66" t="s">
        <v>8</v>
      </c>
      <c r="C10" s="66" t="s">
        <v>19</v>
      </c>
      <c r="D10" s="66" t="s">
        <v>10</v>
      </c>
      <c r="E10" s="66" t="s">
        <v>11</v>
      </c>
      <c r="F10" s="66" t="s">
        <v>11</v>
      </c>
      <c r="G10" s="66" t="s">
        <v>12</v>
      </c>
      <c r="H10" s="66"/>
      <c r="I10" s="66" t="s">
        <v>13</v>
      </c>
    </row>
    <row r="11" spans="1:9" s="64" customFormat="1">
      <c r="A11" s="65"/>
      <c r="B11" s="66"/>
      <c r="C11" s="66" t="s">
        <v>19</v>
      </c>
      <c r="D11" s="66" t="s">
        <v>10</v>
      </c>
      <c r="E11" s="66" t="s">
        <v>14</v>
      </c>
      <c r="F11" s="66" t="s">
        <v>15</v>
      </c>
      <c r="G11" s="66" t="s">
        <v>12</v>
      </c>
      <c r="H11" s="66"/>
      <c r="I11" s="66"/>
    </row>
    <row r="12" spans="1:9" s="64" customFormat="1">
      <c r="A12" s="65"/>
      <c r="B12" s="66"/>
      <c r="C12" s="66" t="s">
        <v>19</v>
      </c>
      <c r="D12" s="66" t="s">
        <v>10</v>
      </c>
      <c r="E12" s="66" t="s">
        <v>16</v>
      </c>
      <c r="F12" s="66" t="s">
        <v>17</v>
      </c>
      <c r="G12" s="66" t="s">
        <v>12</v>
      </c>
      <c r="H12" s="66"/>
      <c r="I12" s="66"/>
    </row>
    <row r="13" spans="1:9" s="64" customFormat="1">
      <c r="A13" s="65"/>
      <c r="B13" s="66"/>
      <c r="C13" s="66"/>
      <c r="D13" s="66"/>
      <c r="E13" s="66"/>
      <c r="F13" s="66"/>
      <c r="G13" s="66"/>
      <c r="H13" s="66"/>
      <c r="I13" s="66"/>
    </row>
    <row r="14" spans="1:9" s="64" customFormat="1">
      <c r="A14" s="65">
        <v>4</v>
      </c>
      <c r="B14" s="66" t="s">
        <v>8</v>
      </c>
      <c r="C14" s="66" t="s">
        <v>20</v>
      </c>
      <c r="D14" s="66" t="s">
        <v>10</v>
      </c>
      <c r="E14" s="66" t="s">
        <v>11</v>
      </c>
      <c r="F14" s="66" t="s">
        <v>11</v>
      </c>
      <c r="G14" s="66" t="s">
        <v>12</v>
      </c>
      <c r="H14" s="66"/>
      <c r="I14" s="66" t="s">
        <v>13</v>
      </c>
    </row>
    <row r="15" spans="1:9">
      <c r="A15" s="62"/>
      <c r="B15" s="67"/>
      <c r="C15" s="67"/>
      <c r="D15" s="67"/>
      <c r="E15" s="67"/>
      <c r="F15" s="67"/>
      <c r="G15" s="67"/>
      <c r="H15" s="67"/>
      <c r="I15" s="67"/>
    </row>
    <row r="16" spans="1:9">
      <c r="A16" s="62">
        <v>5</v>
      </c>
      <c r="B16" s="68" t="s">
        <v>8</v>
      </c>
      <c r="C16" s="68" t="s">
        <v>21</v>
      </c>
      <c r="D16" s="68" t="s">
        <v>22</v>
      </c>
      <c r="E16" s="68" t="s">
        <v>11</v>
      </c>
      <c r="F16" s="68" t="s">
        <v>11</v>
      </c>
      <c r="G16" s="68" t="s">
        <v>12</v>
      </c>
      <c r="H16" s="68" t="s">
        <v>23</v>
      </c>
      <c r="I16" s="67" t="s">
        <v>13</v>
      </c>
    </row>
    <row r="17" spans="1:9">
      <c r="A17" s="62"/>
      <c r="B17" s="67"/>
      <c r="C17" s="67"/>
      <c r="D17" s="67"/>
      <c r="E17" s="67"/>
      <c r="F17" s="67"/>
      <c r="G17" s="67"/>
      <c r="H17" s="67"/>
      <c r="I17" s="67"/>
    </row>
    <row r="18" spans="1:9" s="64" customFormat="1">
      <c r="A18" s="65">
        <v>6</v>
      </c>
      <c r="B18" s="66" t="s">
        <v>8</v>
      </c>
      <c r="C18" s="66" t="s">
        <v>24</v>
      </c>
      <c r="D18" s="66" t="s">
        <v>22</v>
      </c>
      <c r="E18" s="66" t="s">
        <v>11</v>
      </c>
      <c r="F18" s="66" t="s">
        <v>11</v>
      </c>
      <c r="G18" s="66" t="s">
        <v>12</v>
      </c>
      <c r="H18" s="66"/>
      <c r="I18" s="66" t="s">
        <v>13</v>
      </c>
    </row>
    <row r="19" spans="1:9" s="64" customFormat="1">
      <c r="A19" s="65"/>
      <c r="B19" s="66"/>
      <c r="C19" s="66" t="s">
        <v>24</v>
      </c>
      <c r="D19" s="66" t="s">
        <v>22</v>
      </c>
      <c r="E19" s="66" t="s">
        <v>14</v>
      </c>
      <c r="F19" s="66" t="s">
        <v>15</v>
      </c>
      <c r="G19" s="66" t="s">
        <v>12</v>
      </c>
      <c r="H19" s="66"/>
      <c r="I19" s="66"/>
    </row>
    <row r="20" spans="1:9" s="64" customFormat="1">
      <c r="A20" s="65"/>
      <c r="B20" s="66"/>
      <c r="C20" s="66" t="s">
        <v>24</v>
      </c>
      <c r="D20" s="66" t="s">
        <v>22</v>
      </c>
      <c r="E20" s="66" t="s">
        <v>16</v>
      </c>
      <c r="F20" s="66" t="s">
        <v>17</v>
      </c>
      <c r="G20" s="66" t="s">
        <v>12</v>
      </c>
      <c r="H20" s="66"/>
      <c r="I20" s="66"/>
    </row>
    <row r="21" spans="1:9" s="64" customFormat="1">
      <c r="A21" s="65"/>
      <c r="B21" s="66"/>
      <c r="C21" s="66"/>
      <c r="D21" s="66"/>
      <c r="E21" s="66"/>
      <c r="F21" s="66"/>
      <c r="G21" s="66"/>
      <c r="H21" s="66"/>
      <c r="I21" s="66"/>
    </row>
    <row r="22" spans="1:9" s="64" customFormat="1">
      <c r="A22" s="65">
        <v>7</v>
      </c>
      <c r="B22" s="66" t="s">
        <v>8</v>
      </c>
      <c r="C22" s="66" t="s">
        <v>25</v>
      </c>
      <c r="D22" s="66" t="s">
        <v>22</v>
      </c>
      <c r="E22" s="66" t="s">
        <v>11</v>
      </c>
      <c r="F22" s="66" t="s">
        <v>11</v>
      </c>
      <c r="G22" s="66" t="s">
        <v>12</v>
      </c>
      <c r="H22" s="66"/>
      <c r="I22" s="66" t="s">
        <v>13</v>
      </c>
    </row>
    <row r="23" spans="1:9" s="64" customFormat="1">
      <c r="A23" s="65"/>
      <c r="B23" s="66"/>
      <c r="C23" s="66" t="s">
        <v>25</v>
      </c>
      <c r="D23" s="66" t="s">
        <v>22</v>
      </c>
      <c r="E23" s="66" t="s">
        <v>14</v>
      </c>
      <c r="F23" s="66" t="s">
        <v>15</v>
      </c>
      <c r="G23" s="66" t="s">
        <v>12</v>
      </c>
      <c r="H23" s="66"/>
      <c r="I23" s="66"/>
    </row>
    <row r="24" spans="1:9" s="64" customFormat="1">
      <c r="A24" s="65"/>
      <c r="B24" s="66"/>
      <c r="C24" s="66" t="s">
        <v>25</v>
      </c>
      <c r="D24" s="66" t="s">
        <v>22</v>
      </c>
      <c r="E24" s="66" t="s">
        <v>16</v>
      </c>
      <c r="F24" s="66" t="s">
        <v>17</v>
      </c>
      <c r="G24" s="66" t="s">
        <v>12</v>
      </c>
      <c r="H24" s="66"/>
      <c r="I24" s="66"/>
    </row>
    <row r="25" spans="1:9">
      <c r="A25" s="62"/>
      <c r="B25" s="67"/>
      <c r="C25" s="67"/>
      <c r="D25" s="67"/>
      <c r="E25" s="67"/>
      <c r="F25" s="67"/>
      <c r="G25" s="67"/>
      <c r="H25" s="67"/>
      <c r="I25" s="67"/>
    </row>
    <row r="26" spans="1:9">
      <c r="A26" s="62">
        <v>8</v>
      </c>
      <c r="B26" s="69" t="s">
        <v>8</v>
      </c>
      <c r="C26" s="69" t="s">
        <v>26</v>
      </c>
      <c r="D26" s="69" t="s">
        <v>27</v>
      </c>
      <c r="E26" s="69" t="s">
        <v>11</v>
      </c>
      <c r="F26" s="69" t="s">
        <v>11</v>
      </c>
      <c r="G26" s="69" t="s">
        <v>28</v>
      </c>
      <c r="H26" s="67" t="s">
        <v>29</v>
      </c>
      <c r="I26" s="67" t="s">
        <v>13</v>
      </c>
    </row>
    <row r="27" spans="1:9">
      <c r="A27" s="62"/>
      <c r="B27" s="67"/>
      <c r="C27" s="67"/>
      <c r="D27" s="67"/>
      <c r="E27" s="67"/>
      <c r="F27" s="67"/>
      <c r="G27" s="67"/>
      <c r="H27" s="67"/>
      <c r="I27" s="67"/>
    </row>
    <row r="28" spans="1:9">
      <c r="A28" s="62">
        <v>9</v>
      </c>
      <c r="B28" s="69" t="s">
        <v>8</v>
      </c>
      <c r="C28" s="69" t="s">
        <v>30</v>
      </c>
      <c r="D28" s="69" t="s">
        <v>31</v>
      </c>
      <c r="E28" s="69" t="s">
        <v>14</v>
      </c>
      <c r="F28" s="69" t="s">
        <v>15</v>
      </c>
      <c r="G28" s="69" t="s">
        <v>12</v>
      </c>
      <c r="H28" s="67"/>
      <c r="I28" s="67" t="s">
        <v>13</v>
      </c>
    </row>
    <row r="29" spans="1:9">
      <c r="A29" s="62"/>
      <c r="B29" s="69"/>
      <c r="C29" s="69" t="s">
        <v>30</v>
      </c>
      <c r="D29" s="69" t="s">
        <v>31</v>
      </c>
      <c r="E29" s="69" t="s">
        <v>16</v>
      </c>
      <c r="F29" s="69" t="s">
        <v>32</v>
      </c>
      <c r="G29" s="69" t="s">
        <v>12</v>
      </c>
      <c r="H29" s="67"/>
      <c r="I29" s="67"/>
    </row>
    <row r="30" spans="1:9">
      <c r="A30" s="62"/>
      <c r="B30" s="69"/>
      <c r="C30" s="69"/>
      <c r="D30" s="69"/>
      <c r="E30" s="69"/>
      <c r="F30" s="69"/>
      <c r="G30" s="69"/>
      <c r="H30" s="67"/>
      <c r="I30" s="67"/>
    </row>
    <row r="31" spans="1:9">
      <c r="A31" s="62">
        <v>10</v>
      </c>
      <c r="B31" s="69" t="s">
        <v>8</v>
      </c>
      <c r="C31" s="69" t="s">
        <v>33</v>
      </c>
      <c r="D31" s="69" t="s">
        <v>10</v>
      </c>
      <c r="E31" s="69" t="s">
        <v>16</v>
      </c>
      <c r="F31" s="69" t="s">
        <v>34</v>
      </c>
      <c r="G31" s="69" t="s">
        <v>12</v>
      </c>
      <c r="H31" s="67"/>
      <c r="I31" s="67" t="s">
        <v>13</v>
      </c>
    </row>
    <row r="32" spans="1:9">
      <c r="A32" s="62"/>
      <c r="B32" s="67"/>
      <c r="C32" s="67"/>
      <c r="D32" s="67"/>
      <c r="E32" s="67"/>
      <c r="F32" s="67"/>
      <c r="G32" s="67"/>
      <c r="H32" s="67"/>
      <c r="I32" s="67"/>
    </row>
    <row r="33" spans="1:9">
      <c r="A33" s="62">
        <v>11</v>
      </c>
      <c r="B33" s="67" t="s">
        <v>8</v>
      </c>
      <c r="C33" s="67" t="s">
        <v>35</v>
      </c>
      <c r="D33" s="67" t="s">
        <v>10</v>
      </c>
      <c r="E33" s="67" t="s">
        <v>16</v>
      </c>
      <c r="F33" s="67" t="s">
        <v>36</v>
      </c>
      <c r="G33" s="67" t="s">
        <v>12</v>
      </c>
      <c r="H33" s="67"/>
      <c r="I33" s="67"/>
    </row>
    <row r="35" spans="1:9">
      <c r="F35" s="7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VH66"/>
  <sheetViews>
    <sheetView workbookViewId="0">
      <pane ySplit="3" topLeftCell="A4" activePane="bottomLeft" state="frozen"/>
      <selection pane="bottomLeft" activeCell="A20" sqref="A20"/>
    </sheetView>
  </sheetViews>
  <sheetFormatPr defaultColWidth="9" defaultRowHeight="12"/>
  <cols>
    <col min="1" max="1" width="22" style="151" customWidth="1"/>
    <col min="2" max="2" width="16.28515625" style="151" customWidth="1"/>
    <col min="3" max="3" width="12.7109375" style="151" customWidth="1"/>
    <col min="4" max="4" width="13.140625" style="151" customWidth="1"/>
    <col min="5" max="5" width="10.42578125" style="151" bestFit="1" customWidth="1"/>
    <col min="6" max="6" width="9.7109375" style="151" bestFit="1" customWidth="1"/>
    <col min="7" max="7" width="9.140625" style="151" customWidth="1"/>
    <col min="8" max="8" width="7.5703125" style="153" customWidth="1"/>
    <col min="9" max="9" width="9.28515625" style="151" customWidth="1"/>
    <col min="10" max="10" width="4.85546875" style="151" customWidth="1"/>
    <col min="11" max="11" width="9" style="151" customWidth="1"/>
    <col min="12" max="12" width="9.7109375" style="151" customWidth="1"/>
    <col min="13" max="13" width="8.140625" style="151" bestFit="1" customWidth="1"/>
    <col min="14" max="14" width="14.28515625" style="152" bestFit="1" customWidth="1"/>
    <col min="15" max="15" width="11.140625" style="151" bestFit="1" customWidth="1"/>
    <col min="16" max="16" width="14" style="151" bestFit="1" customWidth="1"/>
    <col min="17" max="255" width="9.140625" style="151"/>
    <col min="256" max="256" width="9.140625" style="151" hidden="1" customWidth="1"/>
    <col min="257" max="265" width="13.7109375" style="151" customWidth="1"/>
    <col min="266" max="511" width="9.140625" style="151"/>
    <col min="512" max="512" width="9.140625" style="151" hidden="1" customWidth="1"/>
    <col min="513" max="521" width="13.7109375" style="151" customWidth="1"/>
    <col min="522" max="767" width="9.140625" style="151"/>
    <col min="768" max="768" width="9.140625" style="151" hidden="1" customWidth="1"/>
    <col min="769" max="777" width="13.7109375" style="151" customWidth="1"/>
    <col min="778" max="1023" width="9.140625" style="151"/>
    <col min="1024" max="1024" width="9.140625" style="151" hidden="1" customWidth="1"/>
    <col min="1025" max="1033" width="13.7109375" style="151" customWidth="1"/>
    <col min="1034" max="1279" width="9.140625" style="151"/>
    <col min="1280" max="1280" width="9.140625" style="151" hidden="1" customWidth="1"/>
    <col min="1281" max="1289" width="13.7109375" style="151" customWidth="1"/>
    <col min="1290" max="1535" width="9.140625" style="151"/>
    <col min="1536" max="1536" width="9.140625" style="151" hidden="1" customWidth="1"/>
    <col min="1537" max="1545" width="13.7109375" style="151" customWidth="1"/>
    <col min="1546" max="1791" width="9.140625" style="151"/>
    <col min="1792" max="1792" width="9.140625" style="151" hidden="1" customWidth="1"/>
    <col min="1793" max="1801" width="13.7109375" style="151" customWidth="1"/>
    <col min="1802" max="2047" width="9.140625" style="151"/>
    <col min="2048" max="2048" width="9.140625" style="151" hidden="1" customWidth="1"/>
    <col min="2049" max="2057" width="13.7109375" style="151" customWidth="1"/>
    <col min="2058" max="2303" width="9.140625" style="151"/>
    <col min="2304" max="2304" width="9.140625" style="151" hidden="1" customWidth="1"/>
    <col min="2305" max="2313" width="13.7109375" style="151" customWidth="1"/>
    <col min="2314" max="2559" width="9.140625" style="151"/>
    <col min="2560" max="2560" width="9.140625" style="151" hidden="1" customWidth="1"/>
    <col min="2561" max="2569" width="13.7109375" style="151" customWidth="1"/>
    <col min="2570" max="2815" width="9.140625" style="151"/>
    <col min="2816" max="2816" width="9.140625" style="151" hidden="1" customWidth="1"/>
    <col min="2817" max="2825" width="13.7109375" style="151" customWidth="1"/>
    <col min="2826" max="3071" width="9.140625" style="151"/>
    <col min="3072" max="3072" width="9.140625" style="151" hidden="1" customWidth="1"/>
    <col min="3073" max="3081" width="13.7109375" style="151" customWidth="1"/>
    <col min="3082" max="3327" width="9.140625" style="151"/>
    <col min="3328" max="3328" width="9.140625" style="151" hidden="1" customWidth="1"/>
    <col min="3329" max="3337" width="13.7109375" style="151" customWidth="1"/>
    <col min="3338" max="3583" width="9.140625" style="151"/>
    <col min="3584" max="3584" width="9.140625" style="151" hidden="1" customWidth="1"/>
    <col min="3585" max="3593" width="13.7109375" style="151" customWidth="1"/>
    <col min="3594" max="3839" width="9.140625" style="151"/>
    <col min="3840" max="3840" width="9.140625" style="151" hidden="1" customWidth="1"/>
    <col min="3841" max="3849" width="13.7109375" style="151" customWidth="1"/>
    <col min="3850" max="4095" width="9.140625" style="151"/>
    <col min="4096" max="4096" width="9.140625" style="151" hidden="1" customWidth="1"/>
    <col min="4097" max="4105" width="13.7109375" style="151" customWidth="1"/>
    <col min="4106" max="4351" width="9.140625" style="151"/>
    <col min="4352" max="4352" width="9.140625" style="151" hidden="1" customWidth="1"/>
    <col min="4353" max="4361" width="13.7109375" style="151" customWidth="1"/>
    <col min="4362" max="4607" width="9.140625" style="151"/>
    <col min="4608" max="4608" width="9.140625" style="151" hidden="1" customWidth="1"/>
    <col min="4609" max="4617" width="13.7109375" style="151" customWidth="1"/>
    <col min="4618" max="4863" width="9.140625" style="151"/>
    <col min="4864" max="4864" width="9.140625" style="151" hidden="1" customWidth="1"/>
    <col min="4865" max="4873" width="13.7109375" style="151" customWidth="1"/>
    <col min="4874" max="5119" width="9.140625" style="151"/>
    <col min="5120" max="5120" width="9.140625" style="151" hidden="1" customWidth="1"/>
    <col min="5121" max="5129" width="13.7109375" style="151" customWidth="1"/>
    <col min="5130" max="5375" width="9.140625" style="151"/>
    <col min="5376" max="5376" width="9.140625" style="151" hidden="1" customWidth="1"/>
    <col min="5377" max="5385" width="13.7109375" style="151" customWidth="1"/>
    <col min="5386" max="5631" width="9.140625" style="151"/>
    <col min="5632" max="5632" width="9.140625" style="151" hidden="1" customWidth="1"/>
    <col min="5633" max="5641" width="13.7109375" style="151" customWidth="1"/>
    <col min="5642" max="5887" width="9.140625" style="151"/>
    <col min="5888" max="5888" width="9.140625" style="151" hidden="1" customWidth="1"/>
    <col min="5889" max="5897" width="13.7109375" style="151" customWidth="1"/>
    <col min="5898" max="6143" width="9.140625" style="151"/>
    <col min="6144" max="6144" width="9.140625" style="151" hidden="1" customWidth="1"/>
    <col min="6145" max="6153" width="13.7109375" style="151" customWidth="1"/>
    <col min="6154" max="6399" width="9.140625" style="151"/>
    <col min="6400" max="6400" width="9.140625" style="151" hidden="1" customWidth="1"/>
    <col min="6401" max="6409" width="13.7109375" style="151" customWidth="1"/>
    <col min="6410" max="6655" width="9.140625" style="151"/>
    <col min="6656" max="6656" width="9.140625" style="151" hidden="1" customWidth="1"/>
    <col min="6657" max="6665" width="13.7109375" style="151" customWidth="1"/>
    <col min="6666" max="6911" width="9.140625" style="151"/>
    <col min="6912" max="6912" width="9.140625" style="151" hidden="1" customWidth="1"/>
    <col min="6913" max="6921" width="13.7109375" style="151" customWidth="1"/>
    <col min="6922" max="7167" width="9.140625" style="151"/>
    <col min="7168" max="7168" width="9.140625" style="151" hidden="1" customWidth="1"/>
    <col min="7169" max="7177" width="13.7109375" style="151" customWidth="1"/>
    <col min="7178" max="7423" width="9.140625" style="151"/>
    <col min="7424" max="7424" width="9.140625" style="151" hidden="1" customWidth="1"/>
    <col min="7425" max="7433" width="13.7109375" style="151" customWidth="1"/>
    <col min="7434" max="7679" width="9.140625" style="151"/>
    <col min="7680" max="7680" width="9.140625" style="151" hidden="1" customWidth="1"/>
    <col min="7681" max="7689" width="13.7109375" style="151" customWidth="1"/>
    <col min="7690" max="7935" width="9.140625" style="151"/>
    <col min="7936" max="7936" width="9.140625" style="151" hidden="1" customWidth="1"/>
    <col min="7937" max="7945" width="13.7109375" style="151" customWidth="1"/>
    <col min="7946" max="8191" width="9.140625" style="151"/>
    <col min="8192" max="8192" width="9.140625" style="151" hidden="1" customWidth="1"/>
    <col min="8193" max="8201" width="13.7109375" style="151" customWidth="1"/>
    <col min="8202" max="8447" width="9.140625" style="151"/>
    <col min="8448" max="8448" width="9.140625" style="151" hidden="1" customWidth="1"/>
    <col min="8449" max="8457" width="13.7109375" style="151" customWidth="1"/>
    <col min="8458" max="8703" width="9.140625" style="151"/>
    <col min="8704" max="8704" width="9.140625" style="151" hidden="1" customWidth="1"/>
    <col min="8705" max="8713" width="13.7109375" style="151" customWidth="1"/>
    <col min="8714" max="8959" width="9.140625" style="151"/>
    <col min="8960" max="8960" width="9.140625" style="151" hidden="1" customWidth="1"/>
    <col min="8961" max="8969" width="13.7109375" style="151" customWidth="1"/>
    <col min="8970" max="9215" width="9.140625" style="151"/>
    <col min="9216" max="9216" width="9.140625" style="151" hidden="1" customWidth="1"/>
    <col min="9217" max="9225" width="13.7109375" style="151" customWidth="1"/>
    <col min="9226" max="9471" width="9.140625" style="151"/>
    <col min="9472" max="9472" width="9.140625" style="151" hidden="1" customWidth="1"/>
    <col min="9473" max="9481" width="13.7109375" style="151" customWidth="1"/>
    <col min="9482" max="9727" width="9.140625" style="151"/>
    <col min="9728" max="9728" width="9.140625" style="151" hidden="1" customWidth="1"/>
    <col min="9729" max="9737" width="13.7109375" style="151" customWidth="1"/>
    <col min="9738" max="9983" width="9.140625" style="151"/>
    <col min="9984" max="9984" width="9.140625" style="151" hidden="1" customWidth="1"/>
    <col min="9985" max="9993" width="13.7109375" style="151" customWidth="1"/>
    <col min="9994" max="10239" width="9.140625" style="151"/>
    <col min="10240" max="10240" width="9.140625" style="151" hidden="1" customWidth="1"/>
    <col min="10241" max="10249" width="13.7109375" style="151" customWidth="1"/>
    <col min="10250" max="10495" width="9.140625" style="151"/>
    <col min="10496" max="10496" width="9.140625" style="151" hidden="1" customWidth="1"/>
    <col min="10497" max="10505" width="13.7109375" style="151" customWidth="1"/>
    <col min="10506" max="10751" width="9.140625" style="151"/>
    <col min="10752" max="10752" width="9.140625" style="151" hidden="1" customWidth="1"/>
    <col min="10753" max="10761" width="13.7109375" style="151" customWidth="1"/>
    <col min="10762" max="11007" width="9.140625" style="151"/>
    <col min="11008" max="11008" width="9.140625" style="151" hidden="1" customWidth="1"/>
    <col min="11009" max="11017" width="13.7109375" style="151" customWidth="1"/>
    <col min="11018" max="11263" width="9.140625" style="151"/>
    <col min="11264" max="11264" width="9.140625" style="151" hidden="1" customWidth="1"/>
    <col min="11265" max="11273" width="13.7109375" style="151" customWidth="1"/>
    <col min="11274" max="11519" width="9.140625" style="151"/>
    <col min="11520" max="11520" width="9.140625" style="151" hidden="1" customWidth="1"/>
    <col min="11521" max="11529" width="13.7109375" style="151" customWidth="1"/>
    <col min="11530" max="11775" width="9.140625" style="151"/>
    <col min="11776" max="11776" width="9.140625" style="151" hidden="1" customWidth="1"/>
    <col min="11777" max="11785" width="13.7109375" style="151" customWidth="1"/>
    <col min="11786" max="12031" width="9.140625" style="151"/>
    <col min="12032" max="12032" width="9.140625" style="151" hidden="1" customWidth="1"/>
    <col min="12033" max="12041" width="13.7109375" style="151" customWidth="1"/>
    <col min="12042" max="12287" width="9.140625" style="151"/>
    <col min="12288" max="12288" width="9.140625" style="151" hidden="1" customWidth="1"/>
    <col min="12289" max="12297" width="13.7109375" style="151" customWidth="1"/>
    <col min="12298" max="12543" width="9.140625" style="151"/>
    <col min="12544" max="12544" width="9.140625" style="151" hidden="1" customWidth="1"/>
    <col min="12545" max="12553" width="13.7109375" style="151" customWidth="1"/>
    <col min="12554" max="12799" width="9.140625" style="151"/>
    <col min="12800" max="12800" width="9.140625" style="151" hidden="1" customWidth="1"/>
    <col min="12801" max="12809" width="13.7109375" style="151" customWidth="1"/>
    <col min="12810" max="13055" width="9.140625" style="151"/>
    <col min="13056" max="13056" width="9.140625" style="151" hidden="1" customWidth="1"/>
    <col min="13057" max="13065" width="13.7109375" style="151" customWidth="1"/>
    <col min="13066" max="13311" width="9.140625" style="151"/>
    <col min="13312" max="13312" width="9.140625" style="151" hidden="1" customWidth="1"/>
    <col min="13313" max="13321" width="13.7109375" style="151" customWidth="1"/>
    <col min="13322" max="13567" width="9.140625" style="151"/>
    <col min="13568" max="13568" width="9.140625" style="151" hidden="1" customWidth="1"/>
    <col min="13569" max="13577" width="13.7109375" style="151" customWidth="1"/>
    <col min="13578" max="13823" width="9.140625" style="151"/>
    <col min="13824" max="13824" width="9.140625" style="151" hidden="1" customWidth="1"/>
    <col min="13825" max="13833" width="13.7109375" style="151" customWidth="1"/>
    <col min="13834" max="14079" width="9.140625" style="151"/>
    <col min="14080" max="14080" width="9.140625" style="151" hidden="1" customWidth="1"/>
    <col min="14081" max="14089" width="13.7109375" style="151" customWidth="1"/>
    <col min="14090" max="14335" width="9.140625" style="151"/>
    <col min="14336" max="14336" width="9.140625" style="151" hidden="1" customWidth="1"/>
    <col min="14337" max="14345" width="13.7109375" style="151" customWidth="1"/>
    <col min="14346" max="14591" width="9.140625" style="151"/>
    <col min="14592" max="14592" width="9.140625" style="151" hidden="1" customWidth="1"/>
    <col min="14593" max="14601" width="13.7109375" style="151" customWidth="1"/>
    <col min="14602" max="14847" width="9.140625" style="151"/>
    <col min="14848" max="14848" width="9.140625" style="151" hidden="1" customWidth="1"/>
    <col min="14849" max="14857" width="13.7109375" style="151" customWidth="1"/>
    <col min="14858" max="15103" width="9.140625" style="151"/>
    <col min="15104" max="15104" width="9.140625" style="151" hidden="1" customWidth="1"/>
    <col min="15105" max="15113" width="13.7109375" style="151" customWidth="1"/>
    <col min="15114" max="15359" width="9.140625" style="151"/>
    <col min="15360" max="15360" width="9.140625" style="151" hidden="1" customWidth="1"/>
    <col min="15361" max="15369" width="13.7109375" style="151" customWidth="1"/>
    <col min="15370" max="15615" width="9.140625" style="151"/>
    <col min="15616" max="15616" width="9.140625" style="151" hidden="1" customWidth="1"/>
    <col min="15617" max="15625" width="13.7109375" style="151" customWidth="1"/>
    <col min="15626" max="15871" width="9.140625" style="151"/>
    <col min="15872" max="15872" width="9.140625" style="151" hidden="1" customWidth="1"/>
    <col min="15873" max="15881" width="13.7109375" style="151" customWidth="1"/>
    <col min="15882" max="16127" width="9.140625" style="151"/>
    <col min="16128" max="16128" width="9.140625" style="151" hidden="1" customWidth="1"/>
    <col min="16129" max="16137" width="13.7109375" style="151" customWidth="1"/>
    <col min="16138" max="16384" width="9.140625" style="151"/>
  </cols>
  <sheetData>
    <row r="1" spans="1:14" ht="25.5">
      <c r="A1" s="203" t="s">
        <v>37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165"/>
      <c r="N1" s="165"/>
    </row>
    <row r="2" spans="1:14" s="154" customFormat="1" ht="18">
      <c r="A2" s="202" t="s">
        <v>3270</v>
      </c>
      <c r="B2" s="202"/>
      <c r="C2" s="202"/>
      <c r="D2" s="202"/>
      <c r="E2" s="202"/>
      <c r="F2" s="202"/>
      <c r="G2" s="202"/>
      <c r="H2" s="202" t="s">
        <v>3269</v>
      </c>
      <c r="I2" s="202"/>
      <c r="J2" s="202"/>
      <c r="K2" s="202"/>
      <c r="L2" s="202"/>
      <c r="M2" s="166"/>
      <c r="N2" s="166"/>
    </row>
    <row r="3" spans="1:14" ht="36">
      <c r="A3" s="188" t="s">
        <v>38</v>
      </c>
      <c r="B3" s="188" t="s">
        <v>39</v>
      </c>
      <c r="C3" s="188" t="s">
        <v>40</v>
      </c>
      <c r="D3" s="188" t="s">
        <v>41</v>
      </c>
      <c r="E3" s="188" t="s">
        <v>43</v>
      </c>
      <c r="F3" s="188" t="s">
        <v>42</v>
      </c>
      <c r="G3" s="188" t="s">
        <v>44</v>
      </c>
      <c r="H3" s="189" t="s">
        <v>45</v>
      </c>
      <c r="I3" s="188" t="s">
        <v>46</v>
      </c>
      <c r="J3" s="190"/>
      <c r="K3" s="191" t="s">
        <v>47</v>
      </c>
      <c r="L3" s="191" t="s">
        <v>48</v>
      </c>
    </row>
    <row r="4" spans="1:14">
      <c r="A4" s="192" t="s">
        <v>1099</v>
      </c>
      <c r="B4" s="270">
        <v>592.00595599999997</v>
      </c>
      <c r="C4" s="270">
        <v>571.21546599999999</v>
      </c>
      <c r="D4" s="270">
        <v>0</v>
      </c>
      <c r="E4" s="270">
        <v>0</v>
      </c>
      <c r="F4" s="270">
        <v>0</v>
      </c>
      <c r="G4" s="270">
        <v>0</v>
      </c>
      <c r="H4" s="270">
        <v>0</v>
      </c>
      <c r="I4" s="270">
        <v>20.790489999999998</v>
      </c>
      <c r="J4" s="190"/>
      <c r="K4" s="193">
        <f t="shared" ref="K4:K65" si="0">G4+H4</f>
        <v>0</v>
      </c>
      <c r="L4" s="194">
        <f t="shared" ref="L4:L65" si="1">K4/(C4+D4+E4+F4)</f>
        <v>0</v>
      </c>
    </row>
    <row r="5" spans="1:14">
      <c r="A5" s="192" t="s">
        <v>49</v>
      </c>
      <c r="B5" s="270">
        <v>4262.607156</v>
      </c>
      <c r="C5" s="270">
        <v>4229.1975359999997</v>
      </c>
      <c r="D5" s="270">
        <v>33.33164</v>
      </c>
      <c r="E5" s="270">
        <v>0</v>
      </c>
      <c r="F5" s="270">
        <v>0</v>
      </c>
      <c r="G5" s="270">
        <v>7.7979952899999996E-2</v>
      </c>
      <c r="H5" s="270">
        <v>-1.4699999999999999E-8</v>
      </c>
      <c r="I5" s="270">
        <v>6.1799999999999998E-8</v>
      </c>
      <c r="J5" s="190"/>
      <c r="K5" s="193">
        <f t="shared" si="0"/>
        <v>7.7979938200000001E-2</v>
      </c>
      <c r="L5" s="194">
        <f t="shared" si="1"/>
        <v>1.8294288433041802E-5</v>
      </c>
    </row>
    <row r="6" spans="1:14">
      <c r="A6" s="192" t="s">
        <v>50</v>
      </c>
      <c r="B6" s="270">
        <v>12390.0785665</v>
      </c>
      <c r="C6" s="270">
        <v>12390.0785665004</v>
      </c>
      <c r="D6" s="270">
        <v>0</v>
      </c>
      <c r="E6" s="270">
        <v>0</v>
      </c>
      <c r="F6" s="270">
        <v>0</v>
      </c>
      <c r="G6" s="270">
        <v>0</v>
      </c>
      <c r="H6" s="270">
        <v>-1.128E-7</v>
      </c>
      <c r="I6" s="270">
        <v>1.124E-7</v>
      </c>
      <c r="J6" s="190"/>
      <c r="K6" s="193">
        <f t="shared" si="0"/>
        <v>-1.128E-7</v>
      </c>
      <c r="L6" s="194">
        <f t="shared" si="1"/>
        <v>-9.1040584928155598E-12</v>
      </c>
    </row>
    <row r="7" spans="1:14">
      <c r="A7" s="192" t="s">
        <v>51</v>
      </c>
      <c r="B7" s="270">
        <v>7425.499057</v>
      </c>
      <c r="C7" s="270">
        <v>6437.5340969999997</v>
      </c>
      <c r="D7" s="270">
        <v>972.55851000000007</v>
      </c>
      <c r="E7" s="270">
        <v>0</v>
      </c>
      <c r="F7" s="270">
        <v>13.6166</v>
      </c>
      <c r="G7" s="270">
        <v>1.7898499999999999</v>
      </c>
      <c r="H7" s="270">
        <v>0</v>
      </c>
      <c r="I7" s="270">
        <v>0</v>
      </c>
      <c r="J7" s="190"/>
      <c r="K7" s="193">
        <f t="shared" si="0"/>
        <v>1.7898499999999999</v>
      </c>
      <c r="L7" s="194">
        <f t="shared" si="1"/>
        <v>2.4109915274056072E-4</v>
      </c>
    </row>
    <row r="8" spans="1:14">
      <c r="A8" s="192" t="s">
        <v>52</v>
      </c>
      <c r="B8" s="270">
        <v>263.05061999999998</v>
      </c>
      <c r="C8" s="270">
        <v>241.22602000000001</v>
      </c>
      <c r="D8" s="270">
        <v>0</v>
      </c>
      <c r="E8" s="270">
        <v>0</v>
      </c>
      <c r="F8" s="270">
        <v>0</v>
      </c>
      <c r="G8" s="270">
        <v>0</v>
      </c>
      <c r="H8" s="270">
        <v>0</v>
      </c>
      <c r="I8" s="270">
        <v>21.8246</v>
      </c>
      <c r="J8" s="190"/>
      <c r="K8" s="193">
        <f t="shared" si="0"/>
        <v>0</v>
      </c>
      <c r="L8" s="194">
        <f t="shared" si="1"/>
        <v>0</v>
      </c>
    </row>
    <row r="9" spans="1:14">
      <c r="A9" s="192" t="s">
        <v>53</v>
      </c>
      <c r="B9" s="270">
        <v>3259.13474769</v>
      </c>
      <c r="C9" s="270">
        <v>3123.8867154519999</v>
      </c>
      <c r="D9" s="270">
        <v>5.4870000000000001</v>
      </c>
      <c r="E9" s="270">
        <v>0</v>
      </c>
      <c r="F9" s="270">
        <v>129.32620499999999</v>
      </c>
      <c r="G9" s="270">
        <v>0.43482357000000005</v>
      </c>
      <c r="H9" s="270">
        <v>0</v>
      </c>
      <c r="I9" s="270">
        <v>3.6679999999999999E-6</v>
      </c>
      <c r="J9" s="190"/>
      <c r="K9" s="193">
        <f t="shared" si="0"/>
        <v>0.43482357000000005</v>
      </c>
      <c r="L9" s="194">
        <f t="shared" si="1"/>
        <v>1.3343467659326165E-4</v>
      </c>
    </row>
    <row r="10" spans="1:14">
      <c r="A10" s="192" t="s">
        <v>2732</v>
      </c>
      <c r="B10" s="270">
        <v>4923.4281094075004</v>
      </c>
      <c r="C10" s="270">
        <v>4724.7783099999997</v>
      </c>
      <c r="D10" s="270">
        <v>0</v>
      </c>
      <c r="E10" s="270">
        <v>0</v>
      </c>
      <c r="F10" s="270">
        <v>0</v>
      </c>
      <c r="G10" s="270">
        <v>198.64979940750001</v>
      </c>
      <c r="H10" s="270">
        <v>0</v>
      </c>
      <c r="I10" s="270">
        <v>0</v>
      </c>
      <c r="J10" s="190"/>
      <c r="K10" s="193">
        <f t="shared" si="0"/>
        <v>198.64979940750001</v>
      </c>
      <c r="L10" s="194">
        <f t="shared" si="1"/>
        <v>4.2044258243197873E-2</v>
      </c>
    </row>
    <row r="11" spans="1:14">
      <c r="A11" s="192" t="s">
        <v>54</v>
      </c>
      <c r="B11" s="270">
        <v>1499.64348</v>
      </c>
      <c r="C11" s="270">
        <v>1264.026975</v>
      </c>
      <c r="D11" s="270">
        <v>198.79642999999999</v>
      </c>
      <c r="E11" s="270">
        <v>0</v>
      </c>
      <c r="F11" s="270">
        <v>36.714185000000001</v>
      </c>
      <c r="G11" s="270">
        <v>0.10589</v>
      </c>
      <c r="H11" s="270">
        <v>0</v>
      </c>
      <c r="I11" s="270">
        <v>0</v>
      </c>
      <c r="J11" s="190"/>
      <c r="K11" s="193">
        <f t="shared" si="0"/>
        <v>0.10589</v>
      </c>
      <c r="L11" s="194">
        <f t="shared" si="1"/>
        <v>7.0615102086237129E-5</v>
      </c>
    </row>
    <row r="12" spans="1:14">
      <c r="A12" s="192" t="s">
        <v>55</v>
      </c>
      <c r="B12" s="270">
        <v>3232.0276926938</v>
      </c>
      <c r="C12" s="270">
        <v>3130.5249367427</v>
      </c>
      <c r="D12" s="270">
        <v>0</v>
      </c>
      <c r="E12" s="270">
        <v>0</v>
      </c>
      <c r="F12" s="270">
        <v>0</v>
      </c>
      <c r="G12" s="270">
        <v>101.5027559511</v>
      </c>
      <c r="H12" s="270">
        <v>0</v>
      </c>
      <c r="I12" s="270">
        <v>0</v>
      </c>
      <c r="J12" s="190"/>
      <c r="K12" s="193">
        <f t="shared" si="0"/>
        <v>101.5027559511</v>
      </c>
      <c r="L12" s="194">
        <f t="shared" si="1"/>
        <v>3.2423557710648122E-2</v>
      </c>
    </row>
    <row r="13" spans="1:14">
      <c r="A13" s="192" t="s">
        <v>56</v>
      </c>
      <c r="B13" s="270">
        <v>669.36415</v>
      </c>
      <c r="C13" s="270">
        <v>665.37519999999995</v>
      </c>
      <c r="D13" s="270">
        <v>0</v>
      </c>
      <c r="E13" s="270">
        <v>0</v>
      </c>
      <c r="F13" s="270">
        <v>3.88808</v>
      </c>
      <c r="G13" s="270">
        <v>0.10087</v>
      </c>
      <c r="H13" s="270">
        <v>0</v>
      </c>
      <c r="I13" s="270">
        <v>0</v>
      </c>
      <c r="J13" s="190"/>
      <c r="K13" s="193">
        <f t="shared" si="0"/>
        <v>0.10087</v>
      </c>
      <c r="L13" s="194">
        <f t="shared" si="1"/>
        <v>1.5071796558149733E-4</v>
      </c>
    </row>
    <row r="14" spans="1:14">
      <c r="A14" s="192" t="s">
        <v>57</v>
      </c>
      <c r="B14" s="270">
        <v>2598.8538800000001</v>
      </c>
      <c r="C14" s="270">
        <v>2555.1209600000002</v>
      </c>
      <c r="D14" s="270">
        <v>1.47929</v>
      </c>
      <c r="E14" s="270">
        <v>0</v>
      </c>
      <c r="F14" s="270">
        <v>0</v>
      </c>
      <c r="G14" s="270">
        <v>42.253630000000001</v>
      </c>
      <c r="H14" s="270">
        <v>0</v>
      </c>
      <c r="I14" s="270">
        <v>0</v>
      </c>
      <c r="J14" s="190"/>
      <c r="K14" s="193">
        <f t="shared" si="0"/>
        <v>42.253630000000001</v>
      </c>
      <c r="L14" s="194">
        <f t="shared" si="1"/>
        <v>1.6527272889064294E-2</v>
      </c>
    </row>
    <row r="15" spans="1:14" ht="24">
      <c r="A15" s="192" t="s">
        <v>58</v>
      </c>
      <c r="B15" s="270">
        <v>1909.1700620000001</v>
      </c>
      <c r="C15" s="270">
        <v>1913.8522400000002</v>
      </c>
      <c r="D15" s="270">
        <v>0</v>
      </c>
      <c r="E15" s="270">
        <v>0</v>
      </c>
      <c r="F15" s="270">
        <v>0</v>
      </c>
      <c r="G15" s="270">
        <v>0.20940400000000001</v>
      </c>
      <c r="H15" s="270">
        <v>-4.8915819999999997</v>
      </c>
      <c r="I15" s="270">
        <v>0</v>
      </c>
      <c r="J15" s="190"/>
      <c r="K15" s="193">
        <f t="shared" si="0"/>
        <v>-4.6821779999999995</v>
      </c>
      <c r="L15" s="194">
        <f t="shared" si="1"/>
        <v>-2.4464678631616822E-3</v>
      </c>
    </row>
    <row r="16" spans="1:14">
      <c r="A16" s="192" t="s">
        <v>2900</v>
      </c>
      <c r="B16" s="270">
        <v>667.037374</v>
      </c>
      <c r="C16" s="270">
        <v>667.03737396919996</v>
      </c>
      <c r="D16" s="270">
        <v>0</v>
      </c>
      <c r="E16" s="270">
        <v>0</v>
      </c>
      <c r="F16" s="270">
        <v>0</v>
      </c>
      <c r="G16" s="270">
        <v>0</v>
      </c>
      <c r="H16" s="270">
        <v>0</v>
      </c>
      <c r="I16" s="270">
        <v>3.0799999999999998E-8</v>
      </c>
      <c r="J16" s="190"/>
      <c r="K16" s="193">
        <f t="shared" si="0"/>
        <v>0</v>
      </c>
      <c r="L16" s="194">
        <f t="shared" si="1"/>
        <v>0</v>
      </c>
    </row>
    <row r="17" spans="1:12">
      <c r="A17" s="192" t="s">
        <v>59</v>
      </c>
      <c r="B17" s="270">
        <v>17572.284540007098</v>
      </c>
      <c r="C17" s="270">
        <v>17547.580180000001</v>
      </c>
      <c r="D17" s="270">
        <v>0</v>
      </c>
      <c r="E17" s="270">
        <v>0</v>
      </c>
      <c r="F17" s="270">
        <v>0</v>
      </c>
      <c r="G17" s="270">
        <v>0</v>
      </c>
      <c r="H17" s="270">
        <v>0</v>
      </c>
      <c r="I17" s="270">
        <v>24.7043600071</v>
      </c>
      <c r="J17" s="190"/>
      <c r="K17" s="193">
        <f t="shared" si="0"/>
        <v>0</v>
      </c>
      <c r="L17" s="194">
        <f t="shared" si="1"/>
        <v>0</v>
      </c>
    </row>
    <row r="18" spans="1:12">
      <c r="A18" s="192" t="s">
        <v>2814</v>
      </c>
      <c r="B18" s="270">
        <v>385.08212500000002</v>
      </c>
      <c r="C18" s="270">
        <v>385.15300000000002</v>
      </c>
      <c r="D18" s="270">
        <v>0</v>
      </c>
      <c r="E18" s="270">
        <v>0</v>
      </c>
      <c r="F18" s="270">
        <v>0</v>
      </c>
      <c r="G18" s="270">
        <v>0</v>
      </c>
      <c r="H18" s="270">
        <v>-7.0874999999999994E-2</v>
      </c>
      <c r="I18" s="270">
        <v>0</v>
      </c>
      <c r="J18" s="190"/>
      <c r="K18" s="193">
        <f t="shared" si="0"/>
        <v>-7.0874999999999994E-2</v>
      </c>
      <c r="L18" s="194">
        <f t="shared" si="1"/>
        <v>-1.8401777994718978E-4</v>
      </c>
    </row>
    <row r="19" spans="1:12">
      <c r="A19" s="192" t="s">
        <v>60</v>
      </c>
      <c r="B19" s="270">
        <v>6169.3467499999997</v>
      </c>
      <c r="C19" s="270">
        <v>5710.3699100000003</v>
      </c>
      <c r="D19" s="270">
        <v>453.51152000000002</v>
      </c>
      <c r="E19" s="270">
        <v>0</v>
      </c>
      <c r="F19" s="270">
        <v>0</v>
      </c>
      <c r="G19" s="270">
        <v>0</v>
      </c>
      <c r="H19" s="270">
        <v>0</v>
      </c>
      <c r="I19" s="270">
        <v>5.4653200000000002</v>
      </c>
      <c r="J19" s="190"/>
      <c r="K19" s="193">
        <f t="shared" si="0"/>
        <v>0</v>
      </c>
      <c r="L19" s="194">
        <f t="shared" si="1"/>
        <v>0</v>
      </c>
    </row>
    <row r="20" spans="1:12">
      <c r="A20" s="192" t="s">
        <v>648</v>
      </c>
      <c r="B20" s="270">
        <v>175.90810999999999</v>
      </c>
      <c r="C20" s="270">
        <v>158.68684999999999</v>
      </c>
      <c r="D20" s="270">
        <v>0</v>
      </c>
      <c r="E20" s="270">
        <v>0</v>
      </c>
      <c r="F20" s="270">
        <v>17.18458</v>
      </c>
      <c r="G20" s="270">
        <v>3.6679999999999997E-2</v>
      </c>
      <c r="H20" s="270">
        <v>0</v>
      </c>
      <c r="I20" s="270">
        <v>0</v>
      </c>
      <c r="J20" s="190"/>
      <c r="K20" s="193">
        <f t="shared" si="0"/>
        <v>3.6679999999999997E-2</v>
      </c>
      <c r="L20" s="194">
        <f t="shared" si="1"/>
        <v>2.0856144741644505E-4</v>
      </c>
    </row>
    <row r="21" spans="1:12">
      <c r="A21" s="192" t="s">
        <v>61</v>
      </c>
      <c r="B21" s="270">
        <v>445.01997</v>
      </c>
      <c r="C21" s="270">
        <v>414.33096</v>
      </c>
      <c r="D21" s="270">
        <v>0</v>
      </c>
      <c r="E21" s="270">
        <v>0</v>
      </c>
      <c r="F21" s="270">
        <v>30.569739999999999</v>
      </c>
      <c r="G21" s="270">
        <v>0.11927</v>
      </c>
      <c r="H21" s="270">
        <v>0</v>
      </c>
      <c r="I21" s="270">
        <v>0</v>
      </c>
      <c r="J21" s="190"/>
      <c r="K21" s="193">
        <f t="shared" si="0"/>
        <v>0.11927</v>
      </c>
      <c r="L21" s="194">
        <f t="shared" si="1"/>
        <v>2.6808229341963272E-4</v>
      </c>
    </row>
    <row r="22" spans="1:12">
      <c r="A22" s="192" t="s">
        <v>62</v>
      </c>
      <c r="B22" s="270">
        <v>7550.6349560671997</v>
      </c>
      <c r="C22" s="270">
        <v>6642.6573960672004</v>
      </c>
      <c r="D22" s="270">
        <v>0</v>
      </c>
      <c r="E22" s="270">
        <v>0</v>
      </c>
      <c r="F22" s="270">
        <v>0</v>
      </c>
      <c r="G22" s="270">
        <v>0</v>
      </c>
      <c r="H22" s="270">
        <v>0</v>
      </c>
      <c r="I22" s="270">
        <v>907.97756000000004</v>
      </c>
      <c r="J22" s="190"/>
      <c r="K22" s="193">
        <f t="shared" si="0"/>
        <v>0</v>
      </c>
      <c r="L22" s="194">
        <f t="shared" si="1"/>
        <v>0</v>
      </c>
    </row>
    <row r="23" spans="1:12">
      <c r="A23" s="192" t="s">
        <v>63</v>
      </c>
      <c r="B23" s="270">
        <v>82.120800000000003</v>
      </c>
      <c r="C23" s="270">
        <v>78.411159999999995</v>
      </c>
      <c r="D23" s="270">
        <v>0</v>
      </c>
      <c r="E23" s="270">
        <v>0</v>
      </c>
      <c r="F23" s="270">
        <v>0</v>
      </c>
      <c r="G23" s="270">
        <v>4.0979999999999999</v>
      </c>
      <c r="H23" s="270">
        <v>-0.38835999999999998</v>
      </c>
      <c r="I23" s="270">
        <v>0</v>
      </c>
      <c r="J23" s="190"/>
      <c r="K23" s="193">
        <f t="shared" si="0"/>
        <v>3.7096399999999998</v>
      </c>
      <c r="L23" s="194">
        <f t="shared" si="1"/>
        <v>4.7310102286460244E-2</v>
      </c>
    </row>
    <row r="24" spans="1:12">
      <c r="A24" s="192" t="s">
        <v>64</v>
      </c>
      <c r="B24" s="270">
        <v>5.88</v>
      </c>
      <c r="C24" s="270">
        <v>5.88</v>
      </c>
      <c r="D24" s="270">
        <v>0</v>
      </c>
      <c r="E24" s="270">
        <v>0</v>
      </c>
      <c r="F24" s="270">
        <v>0</v>
      </c>
      <c r="G24" s="270">
        <v>0</v>
      </c>
      <c r="H24" s="270">
        <v>0</v>
      </c>
      <c r="I24" s="270">
        <v>0</v>
      </c>
      <c r="J24" s="190"/>
      <c r="K24" s="193">
        <f t="shared" si="0"/>
        <v>0</v>
      </c>
      <c r="L24" s="194">
        <f t="shared" si="1"/>
        <v>0</v>
      </c>
    </row>
    <row r="25" spans="1:12">
      <c r="A25" s="192" t="s">
        <v>65</v>
      </c>
      <c r="B25" s="270">
        <v>3866.0314229999999</v>
      </c>
      <c r="C25" s="270">
        <v>3535.5779549999997</v>
      </c>
      <c r="D25" s="270">
        <v>0</v>
      </c>
      <c r="E25" s="270">
        <v>0</v>
      </c>
      <c r="F25" s="270">
        <v>0</v>
      </c>
      <c r="G25" s="270">
        <v>0</v>
      </c>
      <c r="H25" s="270">
        <v>0</v>
      </c>
      <c r="I25" s="270">
        <v>330.45346799999999</v>
      </c>
      <c r="J25" s="190"/>
      <c r="K25" s="193">
        <f t="shared" si="0"/>
        <v>0</v>
      </c>
      <c r="L25" s="194">
        <f t="shared" si="1"/>
        <v>0</v>
      </c>
    </row>
    <row r="26" spans="1:12">
      <c r="A26" s="192" t="s">
        <v>66</v>
      </c>
      <c r="B26" s="270">
        <v>5665.4177300000001</v>
      </c>
      <c r="C26" s="270">
        <v>5641.9726800000008</v>
      </c>
      <c r="D26" s="270">
        <v>0</v>
      </c>
      <c r="E26" s="270">
        <v>0</v>
      </c>
      <c r="F26" s="270">
        <v>0</v>
      </c>
      <c r="G26" s="270">
        <v>23.445050000000002</v>
      </c>
      <c r="H26" s="270">
        <v>0</v>
      </c>
      <c r="I26" s="270">
        <v>0</v>
      </c>
      <c r="J26" s="190"/>
      <c r="K26" s="193">
        <f t="shared" si="0"/>
        <v>23.445050000000002</v>
      </c>
      <c r="L26" s="194">
        <f t="shared" si="1"/>
        <v>4.155470316811247E-3</v>
      </c>
    </row>
    <row r="27" spans="1:12">
      <c r="A27" s="192" t="s">
        <v>67</v>
      </c>
      <c r="B27" s="270">
        <v>20784.479335</v>
      </c>
      <c r="C27" s="270">
        <v>13060.595929999999</v>
      </c>
      <c r="D27" s="270">
        <v>7717.6496850000003</v>
      </c>
      <c r="E27" s="270">
        <v>0</v>
      </c>
      <c r="F27" s="270">
        <v>0</v>
      </c>
      <c r="G27" s="270">
        <v>6.2337199999999999</v>
      </c>
      <c r="H27" s="270">
        <v>0</v>
      </c>
      <c r="I27" s="270">
        <v>0</v>
      </c>
      <c r="J27" s="190"/>
      <c r="K27" s="193">
        <f t="shared" si="0"/>
        <v>6.2337199999999999</v>
      </c>
      <c r="L27" s="194">
        <f t="shared" si="1"/>
        <v>3.0001185448976609E-4</v>
      </c>
    </row>
    <row r="28" spans="1:12">
      <c r="A28" s="192" t="s">
        <v>68</v>
      </c>
      <c r="B28" s="270">
        <v>1788.9631400000001</v>
      </c>
      <c r="C28" s="270">
        <v>1720.7608500000001</v>
      </c>
      <c r="D28" s="270">
        <v>0</v>
      </c>
      <c r="E28" s="270">
        <v>0</v>
      </c>
      <c r="F28" s="270">
        <v>0</v>
      </c>
      <c r="G28" s="270">
        <v>68.202290000000005</v>
      </c>
      <c r="H28" s="270">
        <v>0</v>
      </c>
      <c r="I28" s="270">
        <v>0</v>
      </c>
      <c r="J28" s="190"/>
      <c r="K28" s="193">
        <f t="shared" si="0"/>
        <v>68.202290000000005</v>
      </c>
      <c r="L28" s="194">
        <f t="shared" si="1"/>
        <v>3.9634961476488727E-2</v>
      </c>
    </row>
    <row r="29" spans="1:12">
      <c r="A29" s="192" t="s">
        <v>69</v>
      </c>
      <c r="B29" s="270">
        <v>2900.931587</v>
      </c>
      <c r="C29" s="270">
        <v>2770.8340469999998</v>
      </c>
      <c r="D29" s="270">
        <v>0.19256999999999999</v>
      </c>
      <c r="E29" s="270">
        <v>0</v>
      </c>
      <c r="F29" s="270">
        <v>0</v>
      </c>
      <c r="G29" s="270">
        <v>129.90496999999999</v>
      </c>
      <c r="H29" s="270">
        <v>0</v>
      </c>
      <c r="I29" s="270">
        <v>0</v>
      </c>
      <c r="J29" s="190"/>
      <c r="K29" s="193">
        <f t="shared" si="0"/>
        <v>129.90496999999999</v>
      </c>
      <c r="L29" s="194">
        <f t="shared" si="1"/>
        <v>4.6879726525557219E-2</v>
      </c>
    </row>
    <row r="30" spans="1:12" ht="24">
      <c r="A30" s="192" t="s">
        <v>2942</v>
      </c>
      <c r="B30" s="270">
        <v>57.937860000000001</v>
      </c>
      <c r="C30" s="270">
        <v>57.937860000000001</v>
      </c>
      <c r="D30" s="270">
        <v>0</v>
      </c>
      <c r="E30" s="270">
        <v>0</v>
      </c>
      <c r="F30" s="270">
        <v>0</v>
      </c>
      <c r="G30" s="270">
        <v>0</v>
      </c>
      <c r="H30" s="270">
        <v>0</v>
      </c>
      <c r="I30" s="270">
        <v>0</v>
      </c>
      <c r="J30" s="190"/>
      <c r="K30" s="193">
        <f t="shared" si="0"/>
        <v>0</v>
      </c>
      <c r="L30" s="194">
        <f t="shared" si="1"/>
        <v>0</v>
      </c>
    </row>
    <row r="31" spans="1:12">
      <c r="A31" s="192" t="s">
        <v>893</v>
      </c>
      <c r="B31" s="270">
        <v>5206.4544805337009</v>
      </c>
      <c r="C31" s="270">
        <v>5103.6171700000004</v>
      </c>
      <c r="D31" s="270">
        <v>55.180979999999998</v>
      </c>
      <c r="E31" s="270">
        <v>0</v>
      </c>
      <c r="F31" s="270">
        <v>47.656214900000002</v>
      </c>
      <c r="G31" s="270">
        <v>1.1921000000000001E-4</v>
      </c>
      <c r="H31" s="270">
        <v>-3.5763E-6</v>
      </c>
      <c r="I31" s="270">
        <v>0</v>
      </c>
      <c r="J31" s="190"/>
      <c r="K31" s="193">
        <f t="shared" si="0"/>
        <v>1.156337E-4</v>
      </c>
      <c r="L31" s="194">
        <f t="shared" si="1"/>
        <v>2.2209682808238914E-8</v>
      </c>
    </row>
    <row r="32" spans="1:12">
      <c r="A32" s="192" t="s">
        <v>70</v>
      </c>
      <c r="B32" s="270">
        <v>113.47499999999999</v>
      </c>
      <c r="C32" s="270">
        <v>113.47499999999999</v>
      </c>
      <c r="D32" s="270">
        <v>0</v>
      </c>
      <c r="E32" s="270">
        <v>0</v>
      </c>
      <c r="F32" s="270">
        <v>0</v>
      </c>
      <c r="G32" s="270">
        <v>0</v>
      </c>
      <c r="H32" s="270">
        <v>0</v>
      </c>
      <c r="I32" s="270">
        <v>0</v>
      </c>
      <c r="J32" s="190"/>
      <c r="K32" s="193">
        <f t="shared" si="0"/>
        <v>0</v>
      </c>
      <c r="L32" s="194">
        <f t="shared" si="1"/>
        <v>0</v>
      </c>
    </row>
    <row r="33" spans="1:12">
      <c r="A33" s="192" t="s">
        <v>71</v>
      </c>
      <c r="B33" s="270">
        <v>11559.62485</v>
      </c>
      <c r="C33" s="270">
        <v>1956.96614</v>
      </c>
      <c r="D33" s="270">
        <v>9602.42533</v>
      </c>
      <c r="E33" s="270">
        <v>0</v>
      </c>
      <c r="F33" s="270">
        <v>0</v>
      </c>
      <c r="G33" s="270">
        <v>0.23338</v>
      </c>
      <c r="H33" s="270">
        <v>0</v>
      </c>
      <c r="I33" s="270">
        <v>0</v>
      </c>
      <c r="J33" s="190"/>
      <c r="K33" s="193">
        <f t="shared" si="0"/>
        <v>0.23338</v>
      </c>
      <c r="L33" s="194">
        <f t="shared" si="1"/>
        <v>2.0189644118004769E-5</v>
      </c>
    </row>
    <row r="34" spans="1:12">
      <c r="A34" s="192" t="s">
        <v>72</v>
      </c>
      <c r="B34" s="270">
        <v>2982.4428800000001</v>
      </c>
      <c r="C34" s="270">
        <v>2971.3021250000002</v>
      </c>
      <c r="D34" s="270">
        <v>0</v>
      </c>
      <c r="E34" s="270">
        <v>0</v>
      </c>
      <c r="F34" s="270">
        <v>11.140755</v>
      </c>
      <c r="G34" s="270">
        <v>0</v>
      </c>
      <c r="H34" s="270">
        <v>0</v>
      </c>
      <c r="I34" s="270">
        <v>0</v>
      </c>
      <c r="J34" s="190"/>
      <c r="K34" s="193">
        <f t="shared" si="0"/>
        <v>0</v>
      </c>
      <c r="L34" s="194">
        <f t="shared" si="1"/>
        <v>0</v>
      </c>
    </row>
    <row r="35" spans="1:12">
      <c r="A35" s="192" t="s">
        <v>73</v>
      </c>
      <c r="B35" s="270">
        <v>640.30961000000002</v>
      </c>
      <c r="C35" s="270">
        <v>608.51854000000003</v>
      </c>
      <c r="D35" s="270">
        <v>0</v>
      </c>
      <c r="E35" s="270">
        <v>0</v>
      </c>
      <c r="F35" s="270">
        <v>0</v>
      </c>
      <c r="G35" s="270">
        <v>0</v>
      </c>
      <c r="H35" s="270">
        <v>0</v>
      </c>
      <c r="I35" s="270">
        <v>31.791070000000001</v>
      </c>
      <c r="J35" s="190"/>
      <c r="K35" s="193">
        <f t="shared" si="0"/>
        <v>0</v>
      </c>
      <c r="L35" s="194">
        <f t="shared" si="1"/>
        <v>0</v>
      </c>
    </row>
    <row r="36" spans="1:12">
      <c r="A36" s="192" t="s">
        <v>74</v>
      </c>
      <c r="B36" s="270">
        <v>4152.4505863814002</v>
      </c>
      <c r="C36" s="270">
        <v>4114.7471699999996</v>
      </c>
      <c r="D36" s="270">
        <v>0</v>
      </c>
      <c r="E36" s="270">
        <v>0</v>
      </c>
      <c r="F36" s="270">
        <v>37.185735000000001</v>
      </c>
      <c r="G36" s="270">
        <v>0.51768398999999998</v>
      </c>
      <c r="H36" s="270">
        <v>-7.0365500000000004E-6</v>
      </c>
      <c r="I36" s="270">
        <v>4.4279499999999997E-6</v>
      </c>
      <c r="J36" s="190"/>
      <c r="K36" s="193">
        <f t="shared" si="0"/>
        <v>0.51767695344999998</v>
      </c>
      <c r="L36" s="194">
        <f t="shared" si="1"/>
        <v>1.2468336201352945E-4</v>
      </c>
    </row>
    <row r="37" spans="1:12">
      <c r="A37" s="192" t="s">
        <v>75</v>
      </c>
      <c r="B37" s="270">
        <v>6560.7314200000001</v>
      </c>
      <c r="C37" s="270">
        <v>6560.7314200000001</v>
      </c>
      <c r="D37" s="270">
        <v>0</v>
      </c>
      <c r="E37" s="270">
        <v>0</v>
      </c>
      <c r="F37" s="270">
        <v>0</v>
      </c>
      <c r="G37" s="270">
        <v>0</v>
      </c>
      <c r="H37" s="270">
        <v>0</v>
      </c>
      <c r="I37" s="270">
        <v>0</v>
      </c>
      <c r="J37" s="190"/>
      <c r="K37" s="193">
        <f t="shared" si="0"/>
        <v>0</v>
      </c>
      <c r="L37" s="194">
        <f t="shared" si="1"/>
        <v>0</v>
      </c>
    </row>
    <row r="38" spans="1:12">
      <c r="A38" s="192" t="s">
        <v>3257</v>
      </c>
      <c r="B38" s="270">
        <v>310.2525</v>
      </c>
      <c r="C38" s="270">
        <v>309.11250000000001</v>
      </c>
      <c r="D38" s="270">
        <v>0</v>
      </c>
      <c r="E38" s="270">
        <v>0</v>
      </c>
      <c r="F38" s="270">
        <v>0</v>
      </c>
      <c r="G38" s="270">
        <v>1.1399999999999999</v>
      </c>
      <c r="H38" s="270">
        <v>0</v>
      </c>
      <c r="I38" s="270">
        <v>0</v>
      </c>
      <c r="J38" s="190"/>
      <c r="K38" s="193">
        <f t="shared" si="0"/>
        <v>1.1399999999999999</v>
      </c>
      <c r="L38" s="194">
        <f t="shared" si="1"/>
        <v>3.687977678029843E-3</v>
      </c>
    </row>
    <row r="39" spans="1:12">
      <c r="A39" s="192" t="s">
        <v>76</v>
      </c>
      <c r="B39" s="270">
        <v>7806.1674441305995</v>
      </c>
      <c r="C39" s="270">
        <v>7806.199174072899</v>
      </c>
      <c r="D39" s="270">
        <v>0</v>
      </c>
      <c r="E39" s="270">
        <v>0</v>
      </c>
      <c r="F39" s="270">
        <v>0</v>
      </c>
      <c r="G39" s="270">
        <v>0</v>
      </c>
      <c r="H39" s="270">
        <v>-3.1729942300000001E-2</v>
      </c>
      <c r="I39" s="270">
        <v>0</v>
      </c>
      <c r="J39" s="190"/>
      <c r="K39" s="193">
        <f t="shared" si="0"/>
        <v>-3.1729942300000001E-2</v>
      </c>
      <c r="L39" s="194">
        <f t="shared" si="1"/>
        <v>-4.0647108269266518E-6</v>
      </c>
    </row>
    <row r="40" spans="1:12">
      <c r="A40" s="192" t="s">
        <v>2459</v>
      </c>
      <c r="B40" s="270">
        <v>1137.198105403</v>
      </c>
      <c r="C40" s="270">
        <v>1137.19766</v>
      </c>
      <c r="D40" s="270">
        <v>0</v>
      </c>
      <c r="E40" s="270">
        <v>0</v>
      </c>
      <c r="F40" s="270">
        <v>0</v>
      </c>
      <c r="G40" s="270">
        <v>4.8195E-3</v>
      </c>
      <c r="H40" s="270">
        <v>-4.3740970000000004E-3</v>
      </c>
      <c r="I40" s="270">
        <v>0</v>
      </c>
      <c r="J40" s="190"/>
      <c r="K40" s="193">
        <f t="shared" si="0"/>
        <v>4.454029999999996E-4</v>
      </c>
      <c r="L40" s="194">
        <f t="shared" si="1"/>
        <v>3.9166717947696054E-7</v>
      </c>
    </row>
    <row r="41" spans="1:12">
      <c r="A41" s="192" t="s">
        <v>78</v>
      </c>
      <c r="B41" s="270">
        <v>8028.5629147398004</v>
      </c>
      <c r="C41" s="270">
        <v>7911.8191029203999</v>
      </c>
      <c r="D41" s="270">
        <v>0</v>
      </c>
      <c r="E41" s="270">
        <v>0</v>
      </c>
      <c r="F41" s="270">
        <v>116.43411690000001</v>
      </c>
      <c r="G41" s="270">
        <v>0.30969363420000001</v>
      </c>
      <c r="H41" s="270">
        <v>-3.3048000000000001E-6</v>
      </c>
      <c r="I41" s="270">
        <v>4.5900000000000001E-6</v>
      </c>
      <c r="J41" s="190"/>
      <c r="K41" s="193">
        <f t="shared" si="0"/>
        <v>0.30969032940000002</v>
      </c>
      <c r="L41" s="194">
        <f t="shared" si="1"/>
        <v>3.8575057477687292E-5</v>
      </c>
    </row>
    <row r="42" spans="1:12">
      <c r="A42" s="192" t="s">
        <v>79</v>
      </c>
      <c r="B42" s="270">
        <v>3895.7808571542</v>
      </c>
      <c r="C42" s="270">
        <v>3895.4347666560002</v>
      </c>
      <c r="D42" s="270">
        <v>0</v>
      </c>
      <c r="E42" s="270">
        <v>0</v>
      </c>
      <c r="F42" s="270">
        <v>0</v>
      </c>
      <c r="G42" s="270">
        <v>0.34609049819999999</v>
      </c>
      <c r="H42" s="270">
        <v>0</v>
      </c>
      <c r="I42" s="270">
        <v>0</v>
      </c>
      <c r="J42" s="190"/>
      <c r="K42" s="193">
        <f t="shared" si="0"/>
        <v>0.34609049819999999</v>
      </c>
      <c r="L42" s="194">
        <f t="shared" si="1"/>
        <v>8.8845153091113931E-5</v>
      </c>
    </row>
    <row r="43" spans="1:12">
      <c r="A43" s="192" t="s">
        <v>3258</v>
      </c>
      <c r="B43" s="270">
        <v>1416.7741699999999</v>
      </c>
      <c r="C43" s="270">
        <v>1415.6125440000001</v>
      </c>
      <c r="D43" s="270">
        <v>0.85262400000000005</v>
      </c>
      <c r="E43" s="270">
        <v>0</v>
      </c>
      <c r="F43" s="270">
        <v>0</v>
      </c>
      <c r="G43" s="270">
        <v>0.309002</v>
      </c>
      <c r="H43" s="270">
        <v>0</v>
      </c>
      <c r="I43" s="270">
        <v>0</v>
      </c>
      <c r="J43" s="190"/>
      <c r="K43" s="193">
        <f t="shared" si="0"/>
        <v>0.309002</v>
      </c>
      <c r="L43" s="194">
        <f t="shared" si="1"/>
        <v>2.1815008726003488E-4</v>
      </c>
    </row>
    <row r="44" spans="1:12">
      <c r="A44" s="192" t="s">
        <v>2729</v>
      </c>
      <c r="B44" s="270">
        <v>1628.18929</v>
      </c>
      <c r="C44" s="270">
        <v>1593.3866800000001</v>
      </c>
      <c r="D44" s="270">
        <v>34.16742</v>
      </c>
      <c r="E44" s="270">
        <v>0</v>
      </c>
      <c r="F44" s="270">
        <v>0</v>
      </c>
      <c r="G44" s="270">
        <v>0.63519000000000003</v>
      </c>
      <c r="H44" s="270">
        <v>0</v>
      </c>
      <c r="I44" s="270">
        <v>0</v>
      </c>
      <c r="J44" s="190"/>
      <c r="K44" s="193">
        <f t="shared" si="0"/>
        <v>0.63519000000000003</v>
      </c>
      <c r="L44" s="194">
        <f t="shared" si="1"/>
        <v>3.9027274116418004E-4</v>
      </c>
    </row>
    <row r="45" spans="1:12">
      <c r="A45" s="192" t="s">
        <v>80</v>
      </c>
      <c r="B45" s="270">
        <v>12278.0674098</v>
      </c>
      <c r="C45" s="270">
        <v>12226.539158</v>
      </c>
      <c r="D45" s="270">
        <v>46.510639999999995</v>
      </c>
      <c r="E45" s="270">
        <v>0</v>
      </c>
      <c r="F45" s="270">
        <v>0</v>
      </c>
      <c r="G45" s="270">
        <v>4.0098288000000002</v>
      </c>
      <c r="H45" s="270">
        <v>0</v>
      </c>
      <c r="I45" s="270">
        <v>1.0077830000000001</v>
      </c>
      <c r="J45" s="190"/>
      <c r="K45" s="193">
        <f t="shared" si="0"/>
        <v>4.0098288000000002</v>
      </c>
      <c r="L45" s="194">
        <f t="shared" si="1"/>
        <v>3.2671820500992645E-4</v>
      </c>
    </row>
    <row r="46" spans="1:12" ht="24">
      <c r="A46" s="192" t="s">
        <v>3259</v>
      </c>
      <c r="B46" s="270">
        <v>920.98</v>
      </c>
      <c r="C46" s="270">
        <v>920.05902000000003</v>
      </c>
      <c r="D46" s="270">
        <v>0</v>
      </c>
      <c r="E46" s="270">
        <v>0</v>
      </c>
      <c r="F46" s="270">
        <v>0</v>
      </c>
      <c r="G46" s="270">
        <v>0.92098000000000002</v>
      </c>
      <c r="H46" s="270">
        <v>0</v>
      </c>
      <c r="I46" s="270">
        <v>0</v>
      </c>
      <c r="J46" s="190"/>
      <c r="K46" s="193">
        <f t="shared" si="0"/>
        <v>0.92098000000000002</v>
      </c>
      <c r="L46" s="194">
        <f t="shared" si="1"/>
        <v>1.001001001001001E-3</v>
      </c>
    </row>
    <row r="47" spans="1:12">
      <c r="A47" s="192" t="s">
        <v>735</v>
      </c>
      <c r="B47" s="270">
        <v>266.39747999999997</v>
      </c>
      <c r="C47" s="270">
        <v>194.57463000000001</v>
      </c>
      <c r="D47" s="270">
        <v>69.661410000000004</v>
      </c>
      <c r="E47" s="270">
        <v>0</v>
      </c>
      <c r="F47" s="270">
        <v>2.1164100000000001</v>
      </c>
      <c r="G47" s="270">
        <v>4.5030000000000001E-2</v>
      </c>
      <c r="H47" s="270">
        <v>0</v>
      </c>
      <c r="I47" s="270">
        <v>0</v>
      </c>
      <c r="J47" s="190"/>
      <c r="K47" s="193">
        <f t="shared" si="0"/>
        <v>4.5030000000000001E-2</v>
      </c>
      <c r="L47" s="194">
        <f t="shared" si="1"/>
        <v>1.6906170752324599E-4</v>
      </c>
    </row>
    <row r="48" spans="1:12">
      <c r="A48" s="192" t="s">
        <v>81</v>
      </c>
      <c r="B48" s="270">
        <v>1504.5457249999999</v>
      </c>
      <c r="C48" s="270">
        <v>1504.558145</v>
      </c>
      <c r="D48" s="270">
        <v>0</v>
      </c>
      <c r="E48" s="270">
        <v>0</v>
      </c>
      <c r="F48" s="270">
        <v>2.2214800000000001</v>
      </c>
      <c r="G48" s="270">
        <v>4.5774249999999999</v>
      </c>
      <c r="H48" s="270">
        <v>-6.8113250000000001</v>
      </c>
      <c r="I48" s="270">
        <v>0</v>
      </c>
      <c r="J48" s="190"/>
      <c r="K48" s="193">
        <f t="shared" si="0"/>
        <v>-2.2339000000000002</v>
      </c>
      <c r="L48" s="194">
        <f t="shared" si="1"/>
        <v>-1.4825658397126257E-3</v>
      </c>
    </row>
    <row r="49" spans="1:12" ht="24">
      <c r="A49" s="192" t="s">
        <v>82</v>
      </c>
      <c r="B49" s="270">
        <v>781.70423000000005</v>
      </c>
      <c r="C49" s="270">
        <v>777.44934490000003</v>
      </c>
      <c r="D49" s="270">
        <v>1.63226</v>
      </c>
      <c r="E49" s="270">
        <v>0</v>
      </c>
      <c r="F49" s="270">
        <v>0</v>
      </c>
      <c r="G49" s="270">
        <v>2.6226251</v>
      </c>
      <c r="H49" s="270">
        <v>0</v>
      </c>
      <c r="I49" s="270">
        <v>0</v>
      </c>
      <c r="J49" s="190"/>
      <c r="K49" s="193">
        <f t="shared" si="0"/>
        <v>2.6226251</v>
      </c>
      <c r="L49" s="194">
        <f t="shared" si="1"/>
        <v>3.366303457179727E-3</v>
      </c>
    </row>
    <row r="50" spans="1:12" ht="24">
      <c r="A50" s="192" t="s">
        <v>83</v>
      </c>
      <c r="B50" s="270">
        <v>1797.0282099999999</v>
      </c>
      <c r="C50" s="270">
        <v>1795.4223</v>
      </c>
      <c r="D50" s="270">
        <v>0</v>
      </c>
      <c r="E50" s="270">
        <v>0</v>
      </c>
      <c r="F50" s="270">
        <v>0</v>
      </c>
      <c r="G50" s="270">
        <v>1.6059099999999999</v>
      </c>
      <c r="H50" s="270">
        <v>0</v>
      </c>
      <c r="I50" s="270">
        <v>0</v>
      </c>
      <c r="J50" s="190"/>
      <c r="K50" s="193">
        <f t="shared" si="0"/>
        <v>1.6059099999999999</v>
      </c>
      <c r="L50" s="194">
        <f t="shared" si="1"/>
        <v>8.9444694989028483E-4</v>
      </c>
    </row>
    <row r="51" spans="1:12">
      <c r="A51" s="192" t="s">
        <v>84</v>
      </c>
      <c r="B51" s="270">
        <v>29.215620000000001</v>
      </c>
      <c r="C51" s="270">
        <v>27.620039999999999</v>
      </c>
      <c r="D51" s="270">
        <v>0</v>
      </c>
      <c r="E51" s="270">
        <v>0</v>
      </c>
      <c r="F51" s="270">
        <v>0</v>
      </c>
      <c r="G51" s="270">
        <v>1.59558</v>
      </c>
      <c r="H51" s="270">
        <v>0</v>
      </c>
      <c r="I51" s="270">
        <v>0</v>
      </c>
      <c r="J51" s="190"/>
      <c r="K51" s="193">
        <f t="shared" si="0"/>
        <v>1.59558</v>
      </c>
      <c r="L51" s="194">
        <f t="shared" si="1"/>
        <v>5.7768924302788849E-2</v>
      </c>
    </row>
    <row r="52" spans="1:12">
      <c r="A52" s="192" t="s">
        <v>85</v>
      </c>
      <c r="B52" s="270">
        <v>17202.869699999999</v>
      </c>
      <c r="C52" s="270">
        <v>17195.716840000001</v>
      </c>
      <c r="D52" s="270">
        <v>15.843249999999999</v>
      </c>
      <c r="E52" s="270">
        <v>0</v>
      </c>
      <c r="F52" s="270">
        <v>0</v>
      </c>
      <c r="G52" s="270">
        <v>0.55613000000000001</v>
      </c>
      <c r="H52" s="270">
        <v>-9.2465200000000003</v>
      </c>
      <c r="I52" s="270">
        <v>0</v>
      </c>
      <c r="J52" s="190"/>
      <c r="K52" s="193">
        <f t="shared" si="0"/>
        <v>-8.6903900000000007</v>
      </c>
      <c r="L52" s="194">
        <f t="shared" si="1"/>
        <v>-5.0491587947621081E-4</v>
      </c>
    </row>
    <row r="53" spans="1:12">
      <c r="A53" s="192" t="s">
        <v>86</v>
      </c>
      <c r="B53" s="270">
        <v>23232.65926</v>
      </c>
      <c r="C53" s="270">
        <v>22121.45377</v>
      </c>
      <c r="D53" s="270">
        <v>1039.8399449999999</v>
      </c>
      <c r="E53" s="270">
        <v>3.432655</v>
      </c>
      <c r="F53" s="270">
        <v>66.508875000000003</v>
      </c>
      <c r="G53" s="270">
        <v>1.424015</v>
      </c>
      <c r="H53" s="270">
        <v>0</v>
      </c>
      <c r="I53" s="270">
        <v>0</v>
      </c>
      <c r="J53" s="190"/>
      <c r="K53" s="193">
        <f t="shared" si="0"/>
        <v>1.424015</v>
      </c>
      <c r="L53" s="194">
        <f t="shared" si="1"/>
        <v>6.1297429300772427E-5</v>
      </c>
    </row>
    <row r="54" spans="1:12">
      <c r="A54" s="192" t="s">
        <v>2901</v>
      </c>
      <c r="B54" s="270">
        <v>245.26339999999999</v>
      </c>
      <c r="C54" s="270">
        <v>245.26339999999999</v>
      </c>
      <c r="D54" s="270">
        <v>0</v>
      </c>
      <c r="E54" s="270">
        <v>0</v>
      </c>
      <c r="F54" s="270">
        <v>0</v>
      </c>
      <c r="G54" s="270">
        <v>0</v>
      </c>
      <c r="H54" s="270">
        <v>0</v>
      </c>
      <c r="I54" s="270">
        <v>0</v>
      </c>
      <c r="J54" s="190"/>
      <c r="K54" s="193">
        <f t="shared" si="0"/>
        <v>0</v>
      </c>
      <c r="L54" s="194">
        <f t="shared" si="1"/>
        <v>0</v>
      </c>
    </row>
    <row r="55" spans="1:12">
      <c r="A55" s="192" t="s">
        <v>1400</v>
      </c>
      <c r="B55" s="270">
        <v>69.308674999999994</v>
      </c>
      <c r="C55" s="270">
        <v>64.205275</v>
      </c>
      <c r="D55" s="270">
        <v>0</v>
      </c>
      <c r="E55" s="270">
        <v>0</v>
      </c>
      <c r="F55" s="270">
        <v>5.0808850000000003</v>
      </c>
      <c r="G55" s="270">
        <v>2.2515E-2</v>
      </c>
      <c r="H55" s="270">
        <v>0</v>
      </c>
      <c r="I55" s="270">
        <v>0</v>
      </c>
      <c r="J55" s="190"/>
      <c r="K55" s="193">
        <f t="shared" si="0"/>
        <v>2.2515E-2</v>
      </c>
      <c r="L55" s="194">
        <f t="shared" si="1"/>
        <v>3.249566724436742E-4</v>
      </c>
    </row>
    <row r="56" spans="1:12">
      <c r="A56" s="192" t="s">
        <v>2736</v>
      </c>
      <c r="B56" s="270">
        <v>114.98263</v>
      </c>
      <c r="C56" s="270">
        <v>79.879869999999997</v>
      </c>
      <c r="D56" s="270">
        <v>0</v>
      </c>
      <c r="E56" s="270">
        <v>0</v>
      </c>
      <c r="F56" s="270">
        <v>0</v>
      </c>
      <c r="G56" s="270">
        <v>0</v>
      </c>
      <c r="H56" s="270">
        <v>0</v>
      </c>
      <c r="I56" s="270">
        <v>35.102760000000004</v>
      </c>
      <c r="J56" s="190"/>
      <c r="K56" s="193">
        <f t="shared" si="0"/>
        <v>0</v>
      </c>
      <c r="L56" s="194">
        <f t="shared" si="1"/>
        <v>0</v>
      </c>
    </row>
    <row r="57" spans="1:12">
      <c r="A57" s="192" t="s">
        <v>87</v>
      </c>
      <c r="B57" s="270">
        <v>1099.5220722644501</v>
      </c>
      <c r="C57" s="270">
        <v>1065.3984608680501</v>
      </c>
      <c r="D57" s="270">
        <v>4.6121400000000001</v>
      </c>
      <c r="E57" s="270">
        <v>0</v>
      </c>
      <c r="F57" s="270">
        <v>28.637560000000001</v>
      </c>
      <c r="G57" s="270">
        <v>0.87391679999999994</v>
      </c>
      <c r="H57" s="270">
        <v>-5.4036000000000002E-6</v>
      </c>
      <c r="I57" s="270">
        <v>0</v>
      </c>
      <c r="J57" s="190"/>
      <c r="K57" s="193">
        <f t="shared" si="0"/>
        <v>0.87391139639999993</v>
      </c>
      <c r="L57" s="194">
        <f t="shared" si="1"/>
        <v>7.9544246058675986E-4</v>
      </c>
    </row>
    <row r="58" spans="1:12">
      <c r="A58" s="192" t="s">
        <v>2835</v>
      </c>
      <c r="B58" s="270">
        <v>168.24074400000001</v>
      </c>
      <c r="C58" s="270">
        <v>168.20175599999999</v>
      </c>
      <c r="D58" s="270">
        <v>0</v>
      </c>
      <c r="E58" s="270">
        <v>0</v>
      </c>
      <c r="F58" s="270">
        <v>0</v>
      </c>
      <c r="G58" s="270">
        <v>3.8988000000000002E-2</v>
      </c>
      <c r="H58" s="270">
        <v>0</v>
      </c>
      <c r="I58" s="270">
        <v>0</v>
      </c>
      <c r="J58" s="190"/>
      <c r="K58" s="193">
        <f t="shared" si="0"/>
        <v>3.8988000000000002E-2</v>
      </c>
      <c r="L58" s="194">
        <f t="shared" si="1"/>
        <v>2.3179306166102098E-4</v>
      </c>
    </row>
    <row r="59" spans="1:12">
      <c r="A59" s="192" t="s">
        <v>2706</v>
      </c>
      <c r="B59" s="270">
        <v>19482.348173499999</v>
      </c>
      <c r="C59" s="270">
        <v>9304.6018535000003</v>
      </c>
      <c r="D59" s="270">
        <v>10177.74632</v>
      </c>
      <c r="E59" s="270">
        <v>0</v>
      </c>
      <c r="F59" s="270">
        <v>0</v>
      </c>
      <c r="G59" s="270">
        <v>0</v>
      </c>
      <c r="H59" s="270">
        <v>0</v>
      </c>
      <c r="I59" s="270">
        <v>0</v>
      </c>
      <c r="J59" s="190"/>
      <c r="K59" s="193">
        <f t="shared" si="0"/>
        <v>0</v>
      </c>
      <c r="L59" s="194">
        <f t="shared" si="1"/>
        <v>0</v>
      </c>
    </row>
    <row r="60" spans="1:12">
      <c r="A60" s="192" t="s">
        <v>992</v>
      </c>
      <c r="B60" s="270">
        <v>5666.0818399999998</v>
      </c>
      <c r="C60" s="270">
        <v>5603.9184100000002</v>
      </c>
      <c r="D60" s="270">
        <v>62.163429999999998</v>
      </c>
      <c r="E60" s="270">
        <v>0</v>
      </c>
      <c r="F60" s="270">
        <v>0</v>
      </c>
      <c r="G60" s="270">
        <v>0</v>
      </c>
      <c r="H60" s="270">
        <v>0</v>
      </c>
      <c r="I60" s="270">
        <v>0</v>
      </c>
      <c r="J60" s="190"/>
      <c r="K60" s="193">
        <f t="shared" si="0"/>
        <v>0</v>
      </c>
      <c r="L60" s="194">
        <f t="shared" si="1"/>
        <v>0</v>
      </c>
    </row>
    <row r="61" spans="1:12">
      <c r="A61" s="192" t="s">
        <v>88</v>
      </c>
      <c r="B61" s="270">
        <v>9440.2294000000002</v>
      </c>
      <c r="C61" s="270">
        <v>8809.7452599999997</v>
      </c>
      <c r="D61" s="270">
        <v>562.91018999999994</v>
      </c>
      <c r="E61" s="270">
        <v>0</v>
      </c>
      <c r="F61" s="270">
        <v>66.719449999999995</v>
      </c>
      <c r="G61" s="270">
        <v>0.85450000000000004</v>
      </c>
      <c r="H61" s="270">
        <v>0</v>
      </c>
      <c r="I61" s="270">
        <v>0</v>
      </c>
      <c r="J61" s="190"/>
      <c r="K61" s="193">
        <f t="shared" si="0"/>
        <v>0.85450000000000004</v>
      </c>
      <c r="L61" s="194">
        <f t="shared" si="1"/>
        <v>9.0525062205125468E-5</v>
      </c>
    </row>
    <row r="62" spans="1:12">
      <c r="A62" s="192" t="s">
        <v>2762</v>
      </c>
      <c r="B62" s="270">
        <v>3235.8382749000002</v>
      </c>
      <c r="C62" s="270">
        <v>3236.0056909</v>
      </c>
      <c r="D62" s="270">
        <v>9.1699999999999993E-3</v>
      </c>
      <c r="E62" s="270">
        <v>0</v>
      </c>
      <c r="F62" s="270">
        <v>0</v>
      </c>
      <c r="G62" s="270">
        <v>1.560198</v>
      </c>
      <c r="H62" s="270">
        <v>-1.7367840000000001</v>
      </c>
      <c r="I62" s="270">
        <v>0</v>
      </c>
      <c r="J62" s="190"/>
      <c r="K62" s="193">
        <f t="shared" si="0"/>
        <v>-0.17658600000000013</v>
      </c>
      <c r="L62" s="194">
        <f t="shared" si="1"/>
        <v>-5.4568970660069239E-5</v>
      </c>
    </row>
    <row r="63" spans="1:12">
      <c r="A63" s="192" t="s">
        <v>89</v>
      </c>
      <c r="B63" s="270">
        <v>806.64822000000004</v>
      </c>
      <c r="C63" s="270">
        <v>185.64664999999999</v>
      </c>
      <c r="D63" s="270">
        <v>620.65310999999997</v>
      </c>
      <c r="E63" s="270">
        <v>0</v>
      </c>
      <c r="F63" s="270">
        <v>0</v>
      </c>
      <c r="G63" s="270">
        <v>0.34845999999999999</v>
      </c>
      <c r="H63" s="270">
        <v>0</v>
      </c>
      <c r="I63" s="270">
        <v>0</v>
      </c>
      <c r="J63" s="190"/>
      <c r="K63" s="193">
        <f t="shared" si="0"/>
        <v>0.34845999999999999</v>
      </c>
      <c r="L63" s="194">
        <f t="shared" si="1"/>
        <v>4.3217177690837955E-4</v>
      </c>
    </row>
    <row r="64" spans="1:12">
      <c r="A64" s="192" t="s">
        <v>2943</v>
      </c>
      <c r="B64" s="270">
        <v>349.773144</v>
      </c>
      <c r="C64" s="270">
        <v>349.773144</v>
      </c>
      <c r="D64" s="270">
        <v>0</v>
      </c>
      <c r="E64" s="270">
        <v>0</v>
      </c>
      <c r="F64" s="270">
        <v>0</v>
      </c>
      <c r="G64" s="270">
        <v>0</v>
      </c>
      <c r="H64" s="270">
        <v>0</v>
      </c>
      <c r="I64" s="270">
        <v>0</v>
      </c>
      <c r="J64" s="190"/>
      <c r="K64" s="193">
        <f t="shared" si="0"/>
        <v>0</v>
      </c>
      <c r="L64" s="194">
        <f t="shared" si="1"/>
        <v>0</v>
      </c>
    </row>
    <row r="65" spans="1:12">
      <c r="A65" s="192" t="s">
        <v>90</v>
      </c>
      <c r="B65" s="270">
        <v>9109.8065349999997</v>
      </c>
      <c r="C65" s="270">
        <v>8329.9583199999997</v>
      </c>
      <c r="D65" s="270">
        <v>756.05090499999994</v>
      </c>
      <c r="E65" s="270">
        <v>0.92311500000000002</v>
      </c>
      <c r="F65" s="270">
        <v>21.891165000000001</v>
      </c>
      <c r="G65" s="270">
        <v>0.98302999999999996</v>
      </c>
      <c r="H65" s="270">
        <v>0</v>
      </c>
      <c r="I65" s="270">
        <v>0</v>
      </c>
      <c r="J65" s="190"/>
      <c r="K65" s="193">
        <f t="shared" si="0"/>
        <v>0.98302999999999996</v>
      </c>
      <c r="L65" s="194">
        <f t="shared" si="1"/>
        <v>1.0792063315974855E-4</v>
      </c>
    </row>
    <row r="66" spans="1:12">
      <c r="A66" s="188" t="s">
        <v>91</v>
      </c>
      <c r="B66" s="189">
        <v>292646.12227017485</v>
      </c>
      <c r="C66" s="189">
        <v>252569.79282154879</v>
      </c>
      <c r="D66" s="189">
        <v>32433.265768999994</v>
      </c>
      <c r="E66" s="189">
        <v>4.3557699999999997</v>
      </c>
      <c r="F66" s="189">
        <v>636.8920367999998</v>
      </c>
      <c r="G66" s="189">
        <v>602.70009341390016</v>
      </c>
      <c r="H66" s="189">
        <v>-23.181569488049998</v>
      </c>
      <c r="I66" s="189">
        <v>6422.2973489002507</v>
      </c>
      <c r="J66" s="195"/>
      <c r="K66" s="196">
        <f t="shared" ref="K66" si="2">G66+H66</f>
        <v>579.51852392585022</v>
      </c>
      <c r="L66" s="197">
        <f t="shared" ref="L66" si="3">K66/(C66+D66+E66+F66)</f>
        <v>2.0288117457510401E-3</v>
      </c>
    </row>
  </sheetData>
  <sortState xmlns:xlrd2="http://schemas.microsoft.com/office/spreadsheetml/2017/richdata2" ref="A3:L3">
    <sortCondition descending="1" ref="K3"/>
    <sortCondition descending="1" ref="L3"/>
  </sortState>
  <mergeCells count="3">
    <mergeCell ref="A2:G2"/>
    <mergeCell ref="H2:L2"/>
    <mergeCell ref="A1:L1"/>
  </mergeCells>
  <pageMargins left="0.23622047244094491" right="0.23622047244094491" top="0.74803149606299213" bottom="0.74803149606299213" header="0.31496062992125984" footer="0.31496062992125984"/>
  <pageSetup orientation="landscape" useFirstPageNumber="1" r:id="rId1"/>
  <headerFooter>
    <oddHeader>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6"/>
  <sheetViews>
    <sheetView showGridLines="0" zoomScaleNormal="100" workbookViewId="0">
      <selection activeCell="L7" sqref="L7"/>
    </sheetView>
  </sheetViews>
  <sheetFormatPr defaultColWidth="7.140625" defaultRowHeight="15"/>
  <cols>
    <col min="1" max="1" width="10.140625" bestFit="1" customWidth="1"/>
    <col min="2" max="2" width="17.7109375" customWidth="1"/>
    <col min="3" max="3" width="9.140625" bestFit="1" customWidth="1"/>
    <col min="4" max="4" width="19.85546875" bestFit="1" customWidth="1"/>
    <col min="5" max="5" width="5" bestFit="1" customWidth="1"/>
    <col min="6" max="6" width="7.85546875" bestFit="1" customWidth="1"/>
    <col min="10" max="10" width="16.28515625" bestFit="1" customWidth="1"/>
  </cols>
  <sheetData>
    <row r="1" spans="1:13" ht="25.5">
      <c r="A1" s="207" t="s">
        <v>92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</row>
    <row r="2" spans="1:13" ht="18">
      <c r="A2" s="206" t="s">
        <v>3266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pans="1:13">
      <c r="A3" s="71" t="s">
        <v>93</v>
      </c>
      <c r="B3" s="71" t="s">
        <v>94</v>
      </c>
      <c r="C3" s="71" t="s">
        <v>95</v>
      </c>
      <c r="D3" s="71" t="s">
        <v>96</v>
      </c>
      <c r="E3" s="71" t="s">
        <v>97</v>
      </c>
      <c r="F3" s="71" t="s">
        <v>98</v>
      </c>
      <c r="G3" s="208" t="s">
        <v>99</v>
      </c>
      <c r="H3" s="209"/>
      <c r="I3" s="208" t="s">
        <v>38</v>
      </c>
      <c r="J3" s="209"/>
      <c r="K3" s="208" t="s">
        <v>100</v>
      </c>
      <c r="L3" s="209"/>
      <c r="M3" s="71" t="s">
        <v>101</v>
      </c>
    </row>
    <row r="4" spans="1:13" ht="33.75">
      <c r="A4" s="271">
        <v>46193</v>
      </c>
      <c r="B4" s="272" t="s">
        <v>3260</v>
      </c>
      <c r="C4" s="272" t="s">
        <v>3261</v>
      </c>
      <c r="D4" s="272" t="s">
        <v>3262</v>
      </c>
      <c r="E4" s="272"/>
      <c r="F4" s="273">
        <v>0</v>
      </c>
      <c r="G4" s="274" t="s">
        <v>3263</v>
      </c>
      <c r="H4" s="204"/>
      <c r="I4" s="274" t="s">
        <v>2706</v>
      </c>
      <c r="J4" s="204"/>
      <c r="K4" s="274" t="s">
        <v>2882</v>
      </c>
      <c r="L4" s="204"/>
      <c r="M4" s="272" t="s">
        <v>3264</v>
      </c>
    </row>
    <row r="5" spans="1:13" ht="22.5">
      <c r="A5" s="271">
        <v>46193</v>
      </c>
      <c r="B5" s="272"/>
      <c r="C5" s="272" t="s">
        <v>3261</v>
      </c>
      <c r="D5" s="272"/>
      <c r="E5" s="272" t="s">
        <v>3265</v>
      </c>
      <c r="F5" s="273">
        <v>1E-3</v>
      </c>
      <c r="G5" s="274" t="s">
        <v>3263</v>
      </c>
      <c r="H5" s="204"/>
      <c r="I5" s="274" t="s">
        <v>2706</v>
      </c>
      <c r="J5" s="204"/>
      <c r="K5" s="274" t="s">
        <v>2882</v>
      </c>
      <c r="L5" s="204"/>
      <c r="M5" s="272" t="s">
        <v>3264</v>
      </c>
    </row>
    <row r="6" spans="1:13">
      <c r="A6" s="275" t="s">
        <v>102</v>
      </c>
      <c r="B6" s="275"/>
      <c r="C6" s="275"/>
      <c r="D6" s="275"/>
      <c r="E6" s="275"/>
      <c r="F6" s="276">
        <v>1E-3</v>
      </c>
      <c r="G6" s="277"/>
      <c r="H6" s="205"/>
      <c r="I6" s="277"/>
      <c r="J6" s="205"/>
      <c r="K6" s="277"/>
      <c r="L6" s="205"/>
      <c r="M6" s="275"/>
    </row>
  </sheetData>
  <mergeCells count="14">
    <mergeCell ref="A2:M2"/>
    <mergeCell ref="A1:M1"/>
    <mergeCell ref="G3:H3"/>
    <mergeCell ref="I3:J3"/>
    <mergeCell ref="K3:L3"/>
    <mergeCell ref="G4:H4"/>
    <mergeCell ref="I4:J4"/>
    <mergeCell ref="K4:L4"/>
    <mergeCell ref="G5:H5"/>
    <mergeCell ref="I5:J5"/>
    <mergeCell ref="K5:L5"/>
    <mergeCell ref="G6:H6"/>
    <mergeCell ref="I6:J6"/>
    <mergeCell ref="K6:L6"/>
  </mergeCells>
  <pageMargins left="0.25" right="0.25" top="0.75" bottom="0.75" header="0.3" footer="0.3"/>
  <pageSetup paperSize="9" orientation="landscape" r:id="rId1"/>
  <headerFooter>
    <oddHeader>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58"/>
  <sheetViews>
    <sheetView showGridLines="0" workbookViewId="0">
      <pane ySplit="1" topLeftCell="A13" activePane="bottomLeft" state="frozenSplit"/>
      <selection sqref="A1:D1"/>
      <selection pane="bottomLeft" activeCell="B23" sqref="B23"/>
    </sheetView>
  </sheetViews>
  <sheetFormatPr defaultColWidth="9.140625" defaultRowHeight="15"/>
  <cols>
    <col min="1" max="1" width="26.7109375" customWidth="1"/>
    <col min="2" max="2" width="25.140625" customWidth="1"/>
    <col min="3" max="3" width="16.42578125" customWidth="1"/>
    <col min="4" max="4" width="12.5703125" customWidth="1"/>
  </cols>
  <sheetData>
    <row r="1" spans="1:4" ht="21.75" customHeight="1">
      <c r="A1" s="210" t="s">
        <v>103</v>
      </c>
      <c r="B1" s="210"/>
      <c r="C1" s="210"/>
      <c r="D1" s="210"/>
    </row>
    <row r="2" spans="1:4" ht="15" customHeight="1">
      <c r="A2" s="211" t="s">
        <v>3267</v>
      </c>
      <c r="B2" s="211"/>
      <c r="C2" s="211"/>
      <c r="D2" s="211"/>
    </row>
    <row r="3" spans="1:4">
      <c r="A3" s="211"/>
      <c r="B3" s="211"/>
      <c r="C3" s="211"/>
      <c r="D3" s="211"/>
    </row>
    <row r="4" spans="1:4">
      <c r="A4" s="169" t="s">
        <v>104</v>
      </c>
      <c r="B4" s="169" t="s">
        <v>38</v>
      </c>
      <c r="C4" s="169" t="s">
        <v>105</v>
      </c>
      <c r="D4" s="169" t="s">
        <v>106</v>
      </c>
    </row>
    <row r="5" spans="1:4">
      <c r="A5" s="170" t="s">
        <v>1098</v>
      </c>
      <c r="B5" s="170" t="s">
        <v>1099</v>
      </c>
      <c r="C5" s="172">
        <v>535.09199999999998</v>
      </c>
      <c r="D5" s="172">
        <v>535.09199999999998</v>
      </c>
    </row>
    <row r="6" spans="1:4">
      <c r="A6" s="171" t="s">
        <v>1100</v>
      </c>
      <c r="B6" s="171" t="s">
        <v>2860</v>
      </c>
      <c r="C6" s="173">
        <v>535.09199999999998</v>
      </c>
      <c r="D6" s="173">
        <v>535.09199999999998</v>
      </c>
    </row>
    <row r="7" spans="1:4">
      <c r="A7" s="170" t="s">
        <v>870</v>
      </c>
      <c r="B7" s="170" t="s">
        <v>870</v>
      </c>
      <c r="C7" s="172">
        <v>6.72</v>
      </c>
      <c r="D7" s="172">
        <v>6.72</v>
      </c>
    </row>
    <row r="8" spans="1:4">
      <c r="A8" s="171" t="s">
        <v>871</v>
      </c>
      <c r="B8" s="171" t="s">
        <v>2860</v>
      </c>
      <c r="C8" s="173">
        <v>6.72</v>
      </c>
      <c r="D8" s="173">
        <v>6.72</v>
      </c>
    </row>
    <row r="9" spans="1:4">
      <c r="A9" s="170" t="s">
        <v>107</v>
      </c>
      <c r="B9" s="170" t="s">
        <v>52</v>
      </c>
      <c r="C9" s="172">
        <v>1130.308</v>
      </c>
      <c r="D9" s="172">
        <v>1130.308</v>
      </c>
    </row>
    <row r="10" spans="1:4">
      <c r="A10" s="171" t="s">
        <v>108</v>
      </c>
      <c r="B10" s="171" t="s">
        <v>2860</v>
      </c>
      <c r="C10" s="173">
        <v>1130.308</v>
      </c>
      <c r="D10" s="173">
        <v>1130.308</v>
      </c>
    </row>
    <row r="11" spans="1:4">
      <c r="A11" s="170" t="s">
        <v>109</v>
      </c>
      <c r="B11" s="170" t="s">
        <v>109</v>
      </c>
      <c r="C11" s="172">
        <v>213.6</v>
      </c>
      <c r="D11" s="172">
        <v>213.6</v>
      </c>
    </row>
    <row r="12" spans="1:4">
      <c r="A12" s="171" t="s">
        <v>110</v>
      </c>
      <c r="B12" s="171" t="s">
        <v>2860</v>
      </c>
      <c r="C12" s="173">
        <v>213.6</v>
      </c>
      <c r="D12" s="173">
        <v>213.6</v>
      </c>
    </row>
    <row r="13" spans="1:4">
      <c r="A13" s="170" t="s">
        <v>2684</v>
      </c>
      <c r="B13" s="170" t="s">
        <v>2684</v>
      </c>
      <c r="C13" s="172">
        <v>3.0000000000000001E-3</v>
      </c>
      <c r="D13" s="172">
        <v>3.0000000000000001E-3</v>
      </c>
    </row>
    <row r="14" spans="1:4">
      <c r="A14" s="171" t="s">
        <v>2685</v>
      </c>
      <c r="B14" s="171" t="s">
        <v>2860</v>
      </c>
      <c r="C14" s="173">
        <v>3.0000000000000001E-3</v>
      </c>
      <c r="D14" s="173">
        <v>3.0000000000000001E-3</v>
      </c>
    </row>
    <row r="15" spans="1:4">
      <c r="A15" s="170" t="s">
        <v>111</v>
      </c>
      <c r="B15" s="170" t="s">
        <v>112</v>
      </c>
      <c r="C15" s="172">
        <v>244.417</v>
      </c>
      <c r="D15" s="172">
        <v>244.417</v>
      </c>
    </row>
    <row r="16" spans="1:4">
      <c r="A16" s="171" t="s">
        <v>113</v>
      </c>
      <c r="B16" s="171" t="s">
        <v>2860</v>
      </c>
      <c r="C16" s="173">
        <v>244.417</v>
      </c>
      <c r="D16" s="173">
        <v>244.417</v>
      </c>
    </row>
    <row r="17" spans="1:4">
      <c r="A17" s="170" t="s">
        <v>164</v>
      </c>
      <c r="B17" s="170" t="s">
        <v>2824</v>
      </c>
      <c r="C17" s="172">
        <v>10.82</v>
      </c>
      <c r="D17" s="172">
        <v>10.82</v>
      </c>
    </row>
    <row r="18" spans="1:4">
      <c r="A18" s="170" t="s">
        <v>2860</v>
      </c>
      <c r="B18" s="170" t="s">
        <v>2736</v>
      </c>
      <c r="C18" s="172">
        <v>906.59</v>
      </c>
      <c r="D18" s="172">
        <v>906.59</v>
      </c>
    </row>
    <row r="19" spans="1:4">
      <c r="A19" s="171" t="s">
        <v>166</v>
      </c>
      <c r="B19" s="171" t="s">
        <v>2860</v>
      </c>
      <c r="C19" s="173">
        <v>917.41</v>
      </c>
      <c r="D19" s="173">
        <v>917.41</v>
      </c>
    </row>
    <row r="20" spans="1:4">
      <c r="A20" s="170" t="s">
        <v>116</v>
      </c>
      <c r="B20" s="170" t="s">
        <v>117</v>
      </c>
      <c r="C20" s="172">
        <v>139.93</v>
      </c>
      <c r="D20" s="172">
        <v>139.93</v>
      </c>
    </row>
    <row r="21" spans="1:4">
      <c r="A21" s="171" t="s">
        <v>118</v>
      </c>
      <c r="B21" s="171" t="s">
        <v>2860</v>
      </c>
      <c r="C21" s="173">
        <v>139.93</v>
      </c>
      <c r="D21" s="173">
        <v>139.93</v>
      </c>
    </row>
    <row r="22" spans="1:4">
      <c r="A22" s="170" t="s">
        <v>121</v>
      </c>
      <c r="B22" s="170" t="s">
        <v>60</v>
      </c>
      <c r="C22" s="172">
        <v>1248.248</v>
      </c>
      <c r="D22" s="172">
        <v>1248.248</v>
      </c>
    </row>
    <row r="23" spans="1:4">
      <c r="A23" s="171" t="s">
        <v>122</v>
      </c>
      <c r="B23" s="171" t="s">
        <v>2860</v>
      </c>
      <c r="C23" s="173">
        <v>1248.248</v>
      </c>
      <c r="D23" s="173">
        <v>1248.248</v>
      </c>
    </row>
    <row r="24" spans="1:4">
      <c r="A24" s="170" t="s">
        <v>123</v>
      </c>
      <c r="B24" s="170" t="s">
        <v>62</v>
      </c>
      <c r="C24" s="172">
        <v>9925.348</v>
      </c>
      <c r="D24" s="172">
        <v>9925.348</v>
      </c>
    </row>
    <row r="25" spans="1:4">
      <c r="A25" s="171" t="s">
        <v>124</v>
      </c>
      <c r="B25" s="171" t="s">
        <v>2860</v>
      </c>
      <c r="C25" s="173">
        <v>9925.348</v>
      </c>
      <c r="D25" s="173">
        <v>9925.348</v>
      </c>
    </row>
    <row r="26" spans="1:4">
      <c r="A26" s="170" t="s">
        <v>125</v>
      </c>
      <c r="B26" s="170" t="s">
        <v>126</v>
      </c>
      <c r="C26" s="172">
        <v>88.76</v>
      </c>
      <c r="D26" s="172">
        <v>88.76</v>
      </c>
    </row>
    <row r="27" spans="1:4">
      <c r="A27" s="171" t="s">
        <v>127</v>
      </c>
      <c r="B27" s="171" t="s">
        <v>2860</v>
      </c>
      <c r="C27" s="173">
        <v>88.76</v>
      </c>
      <c r="D27" s="173">
        <v>88.76</v>
      </c>
    </row>
    <row r="28" spans="1:4">
      <c r="A28" s="170" t="s">
        <v>172</v>
      </c>
      <c r="B28" s="170" t="s">
        <v>2840</v>
      </c>
      <c r="C28" s="172">
        <v>50.37</v>
      </c>
      <c r="D28" s="172">
        <v>50.37</v>
      </c>
    </row>
    <row r="29" spans="1:4">
      <c r="A29" s="170" t="s">
        <v>2860</v>
      </c>
      <c r="B29" s="170" t="s">
        <v>65</v>
      </c>
      <c r="C29" s="172">
        <v>260.64699999999999</v>
      </c>
      <c r="D29" s="172">
        <v>260.64699999999999</v>
      </c>
    </row>
    <row r="30" spans="1:4">
      <c r="A30" s="171" t="s">
        <v>173</v>
      </c>
      <c r="B30" s="171" t="s">
        <v>2860</v>
      </c>
      <c r="C30" s="173">
        <v>311.017</v>
      </c>
      <c r="D30" s="173">
        <v>311.017</v>
      </c>
    </row>
    <row r="31" spans="1:4">
      <c r="A31" s="170" t="s">
        <v>128</v>
      </c>
      <c r="B31" s="170" t="s">
        <v>128</v>
      </c>
      <c r="C31" s="172">
        <v>448.06700000000001</v>
      </c>
      <c r="D31" s="172">
        <v>447.66</v>
      </c>
    </row>
    <row r="32" spans="1:4">
      <c r="A32" s="171" t="s">
        <v>129</v>
      </c>
      <c r="B32" s="171" t="s">
        <v>2860</v>
      </c>
      <c r="C32" s="173">
        <v>448.06700000000001</v>
      </c>
      <c r="D32" s="173">
        <v>447.66</v>
      </c>
    </row>
    <row r="33" spans="1:4">
      <c r="A33" s="170" t="s">
        <v>130</v>
      </c>
      <c r="B33" s="170" t="s">
        <v>131</v>
      </c>
      <c r="C33" s="172">
        <v>494.5</v>
      </c>
      <c r="D33" s="172">
        <v>494.5</v>
      </c>
    </row>
    <row r="34" spans="1:4">
      <c r="A34" s="171" t="s">
        <v>132</v>
      </c>
      <c r="B34" s="171" t="s">
        <v>2860</v>
      </c>
      <c r="C34" s="173">
        <v>494.5</v>
      </c>
      <c r="D34" s="173">
        <v>494.5</v>
      </c>
    </row>
    <row r="35" spans="1:4">
      <c r="A35" s="170" t="s">
        <v>175</v>
      </c>
      <c r="B35" s="170" t="s">
        <v>176</v>
      </c>
      <c r="C35" s="172">
        <v>0.03</v>
      </c>
      <c r="D35" s="172">
        <v>0.03</v>
      </c>
    </row>
    <row r="36" spans="1:4">
      <c r="A36" s="171" t="s">
        <v>177</v>
      </c>
      <c r="B36" s="171" t="s">
        <v>2860</v>
      </c>
      <c r="C36" s="173">
        <v>0.03</v>
      </c>
      <c r="D36" s="173">
        <v>0.03</v>
      </c>
    </row>
    <row r="37" spans="1:4">
      <c r="A37" s="170" t="s">
        <v>133</v>
      </c>
      <c r="B37" s="170" t="s">
        <v>2815</v>
      </c>
      <c r="C37" s="172">
        <v>227.03899999999999</v>
      </c>
      <c r="D37" s="172">
        <v>227.03899999999999</v>
      </c>
    </row>
    <row r="38" spans="1:4">
      <c r="A38" s="171" t="s">
        <v>134</v>
      </c>
      <c r="B38" s="171" t="s">
        <v>2860</v>
      </c>
      <c r="C38" s="173">
        <v>227.03899999999999</v>
      </c>
      <c r="D38" s="173">
        <v>227.03899999999999</v>
      </c>
    </row>
    <row r="39" spans="1:4">
      <c r="A39" s="170" t="s">
        <v>135</v>
      </c>
      <c r="B39" s="170" t="s">
        <v>73</v>
      </c>
      <c r="C39" s="172">
        <v>1139.5909999999999</v>
      </c>
      <c r="D39" s="172">
        <v>1139.5909999999999</v>
      </c>
    </row>
    <row r="40" spans="1:4">
      <c r="A40" s="171" t="s">
        <v>136</v>
      </c>
      <c r="B40" s="171" t="s">
        <v>2860</v>
      </c>
      <c r="C40" s="173">
        <v>1139.5909999999999</v>
      </c>
      <c r="D40" s="173">
        <v>1139.5909999999999</v>
      </c>
    </row>
    <row r="41" spans="1:4">
      <c r="A41" s="170" t="s">
        <v>137</v>
      </c>
      <c r="B41" s="170" t="s">
        <v>138</v>
      </c>
      <c r="C41" s="172">
        <v>266.57</v>
      </c>
      <c r="D41" s="172">
        <v>266.57</v>
      </c>
    </row>
    <row r="42" spans="1:4">
      <c r="A42" s="171" t="s">
        <v>139</v>
      </c>
      <c r="B42" s="171" t="s">
        <v>2860</v>
      </c>
      <c r="C42" s="173">
        <v>266.57</v>
      </c>
      <c r="D42" s="173">
        <v>266.57</v>
      </c>
    </row>
    <row r="43" spans="1:4">
      <c r="A43" s="170" t="s">
        <v>140</v>
      </c>
      <c r="B43" s="170" t="s">
        <v>59</v>
      </c>
      <c r="C43" s="172">
        <v>557.98900000000003</v>
      </c>
      <c r="D43" s="172">
        <v>557.98900000000003</v>
      </c>
    </row>
    <row r="44" spans="1:4">
      <c r="A44" s="170" t="s">
        <v>2860</v>
      </c>
      <c r="B44" s="170" t="s">
        <v>141</v>
      </c>
      <c r="C44" s="172">
        <v>346.09</v>
      </c>
      <c r="D44" s="172">
        <v>346.09</v>
      </c>
    </row>
    <row r="45" spans="1:4">
      <c r="A45" s="171" t="s">
        <v>142</v>
      </c>
      <c r="B45" s="171" t="s">
        <v>2860</v>
      </c>
      <c r="C45" s="173">
        <v>904.07899999999995</v>
      </c>
      <c r="D45" s="173">
        <v>904.07899999999995</v>
      </c>
    </row>
    <row r="46" spans="1:4">
      <c r="A46" s="170" t="s">
        <v>143</v>
      </c>
      <c r="B46" s="170" t="s">
        <v>2701</v>
      </c>
      <c r="C46" s="172">
        <v>85.32</v>
      </c>
      <c r="D46" s="172">
        <v>85.32</v>
      </c>
    </row>
    <row r="47" spans="1:4">
      <c r="A47" s="171" t="s">
        <v>144</v>
      </c>
      <c r="B47" s="171" t="s">
        <v>2860</v>
      </c>
      <c r="C47" s="173">
        <v>85.32</v>
      </c>
      <c r="D47" s="173">
        <v>85.32</v>
      </c>
    </row>
    <row r="48" spans="1:4">
      <c r="A48" s="170" t="s">
        <v>145</v>
      </c>
      <c r="B48" s="170" t="s">
        <v>146</v>
      </c>
      <c r="C48" s="172">
        <v>1129.71</v>
      </c>
      <c r="D48" s="172">
        <v>531.86599999999999</v>
      </c>
    </row>
    <row r="49" spans="1:4">
      <c r="A49" s="171" t="s">
        <v>147</v>
      </c>
      <c r="B49" s="171" t="s">
        <v>2860</v>
      </c>
      <c r="C49" s="173">
        <v>1129.71</v>
      </c>
      <c r="D49" s="173">
        <v>531.86599999999999</v>
      </c>
    </row>
    <row r="50" spans="1:4">
      <c r="A50" s="170" t="s">
        <v>215</v>
      </c>
      <c r="B50" s="170" t="s">
        <v>2733</v>
      </c>
      <c r="C50" s="172">
        <v>229.39</v>
      </c>
      <c r="D50" s="172">
        <v>229.39</v>
      </c>
    </row>
    <row r="51" spans="1:4">
      <c r="A51" s="171" t="s">
        <v>2681</v>
      </c>
      <c r="B51" s="171" t="s">
        <v>2860</v>
      </c>
      <c r="C51" s="173">
        <v>229.39</v>
      </c>
      <c r="D51" s="173">
        <v>229.39</v>
      </c>
    </row>
    <row r="52" spans="1:4">
      <c r="A52" s="170" t="s">
        <v>2763</v>
      </c>
      <c r="B52" s="170" t="s">
        <v>2763</v>
      </c>
      <c r="C52" s="172">
        <v>1.6E-2</v>
      </c>
      <c r="D52" s="172">
        <v>1.6E-2</v>
      </c>
    </row>
    <row r="53" spans="1:4">
      <c r="A53" s="171" t="s">
        <v>2764</v>
      </c>
      <c r="B53" s="171" t="s">
        <v>2860</v>
      </c>
      <c r="C53" s="173">
        <v>1.6E-2</v>
      </c>
      <c r="D53" s="173">
        <v>1.6E-2</v>
      </c>
    </row>
    <row r="54" spans="1:4">
      <c r="A54" s="170" t="s">
        <v>148</v>
      </c>
      <c r="B54" s="170" t="s">
        <v>149</v>
      </c>
      <c r="C54" s="172">
        <v>12.32</v>
      </c>
      <c r="D54" s="172">
        <v>12.32</v>
      </c>
    </row>
    <row r="55" spans="1:4">
      <c r="A55" s="171" t="s">
        <v>150</v>
      </c>
      <c r="B55" s="171" t="s">
        <v>2860</v>
      </c>
      <c r="C55" s="173">
        <v>12.32</v>
      </c>
      <c r="D55" s="173">
        <v>12.32</v>
      </c>
    </row>
    <row r="56" spans="1:4">
      <c r="A56" s="170" t="s">
        <v>151</v>
      </c>
      <c r="B56" s="170" t="s">
        <v>152</v>
      </c>
      <c r="C56" s="172">
        <v>572.80999999999995</v>
      </c>
      <c r="D56" s="172">
        <v>572.80999999999995</v>
      </c>
    </row>
    <row r="57" spans="1:4">
      <c r="A57" s="171" t="s">
        <v>153</v>
      </c>
      <c r="B57" s="171" t="s">
        <v>2860</v>
      </c>
      <c r="C57" s="173">
        <v>572.80999999999995</v>
      </c>
      <c r="D57" s="173">
        <v>572.80999999999995</v>
      </c>
    </row>
    <row r="58" spans="1:4">
      <c r="A58" s="171" t="s">
        <v>102</v>
      </c>
      <c r="B58" s="171" t="s">
        <v>2860</v>
      </c>
      <c r="C58" s="173">
        <v>20270.294000000002</v>
      </c>
      <c r="D58" s="173">
        <v>19672.043000000001</v>
      </c>
    </row>
  </sheetData>
  <mergeCells count="2">
    <mergeCell ref="A1:D1"/>
    <mergeCell ref="A2:D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178"/>
  <sheetViews>
    <sheetView tabSelected="1" topLeftCell="A43" workbookViewId="0">
      <selection activeCell="A52" sqref="A52:D54"/>
    </sheetView>
  </sheetViews>
  <sheetFormatPr defaultColWidth="9" defaultRowHeight="15"/>
  <cols>
    <col min="1" max="1" width="30" style="52" customWidth="1"/>
    <col min="2" max="2" width="22.5703125" style="52" customWidth="1"/>
    <col min="3" max="3" width="18.85546875" style="63" bestFit="1" customWidth="1"/>
    <col min="4" max="4" width="19" style="63" bestFit="1" customWidth="1"/>
    <col min="8" max="8" width="14.85546875" customWidth="1"/>
  </cols>
  <sheetData>
    <row r="1" spans="1:4" ht="39.75" customHeight="1">
      <c r="A1" s="213" t="s">
        <v>2705</v>
      </c>
      <c r="B1" s="214"/>
      <c r="C1" s="214"/>
      <c r="D1" s="214"/>
    </row>
    <row r="2" spans="1:4" ht="42" customHeight="1">
      <c r="A2" s="212" t="s">
        <v>3268</v>
      </c>
      <c r="B2" s="212"/>
      <c r="C2" s="212"/>
      <c r="D2" s="212"/>
    </row>
    <row r="3" spans="1:4">
      <c r="A3" s="174" t="s">
        <v>104</v>
      </c>
      <c r="B3" s="174" t="s">
        <v>38</v>
      </c>
      <c r="C3" s="174" t="s">
        <v>105</v>
      </c>
      <c r="D3" s="174" t="s">
        <v>106</v>
      </c>
    </row>
    <row r="4" spans="1:4">
      <c r="A4" s="140" t="s">
        <v>155</v>
      </c>
      <c r="B4" s="140" t="s">
        <v>155</v>
      </c>
      <c r="C4" s="172">
        <v>14509.325999999999</v>
      </c>
      <c r="D4" s="172">
        <v>14509.325999999999</v>
      </c>
    </row>
    <row r="5" spans="1:4">
      <c r="A5" s="139" t="s">
        <v>156</v>
      </c>
      <c r="B5" s="139" t="s">
        <v>2860</v>
      </c>
      <c r="C5" s="173">
        <v>14509.325999999999</v>
      </c>
      <c r="D5" s="173">
        <v>14509.325999999999</v>
      </c>
    </row>
    <row r="6" spans="1:4">
      <c r="A6" s="140" t="s">
        <v>1098</v>
      </c>
      <c r="B6" s="140" t="s">
        <v>1098</v>
      </c>
      <c r="C6" s="172">
        <v>25.31</v>
      </c>
      <c r="D6" s="172">
        <v>25.31</v>
      </c>
    </row>
    <row r="7" spans="1:4">
      <c r="A7" s="140" t="s">
        <v>2860</v>
      </c>
      <c r="B7" s="140" t="s">
        <v>1099</v>
      </c>
      <c r="C7" s="172">
        <v>753.41200000000003</v>
      </c>
      <c r="D7" s="172">
        <v>753.41200000000003</v>
      </c>
    </row>
    <row r="8" spans="1:4">
      <c r="A8" s="139" t="s">
        <v>1100</v>
      </c>
      <c r="B8" s="139" t="s">
        <v>2860</v>
      </c>
      <c r="C8" s="173">
        <v>778.72199999999998</v>
      </c>
      <c r="D8" s="173">
        <v>778.72199999999998</v>
      </c>
    </row>
    <row r="9" spans="1:4">
      <c r="A9" s="140" t="s">
        <v>157</v>
      </c>
      <c r="B9" s="140" t="s">
        <v>157</v>
      </c>
      <c r="C9" s="172">
        <v>21667.77</v>
      </c>
      <c r="D9" s="172">
        <v>21658.85</v>
      </c>
    </row>
    <row r="10" spans="1:4">
      <c r="A10" s="139" t="s">
        <v>158</v>
      </c>
      <c r="B10" s="139" t="s">
        <v>2860</v>
      </c>
      <c r="C10" s="173">
        <v>21667.77</v>
      </c>
      <c r="D10" s="173">
        <v>21658.85</v>
      </c>
    </row>
    <row r="11" spans="1:4">
      <c r="A11" s="140" t="s">
        <v>870</v>
      </c>
      <c r="B11" s="140" t="s">
        <v>870</v>
      </c>
      <c r="C11" s="172">
        <v>4817.1930000000002</v>
      </c>
      <c r="D11" s="172">
        <v>4753.2240000000002</v>
      </c>
    </row>
    <row r="12" spans="1:4">
      <c r="A12" s="139" t="s">
        <v>871</v>
      </c>
      <c r="B12" s="139" t="s">
        <v>2860</v>
      </c>
      <c r="C12" s="173">
        <v>4817.1930000000002</v>
      </c>
      <c r="D12" s="173">
        <v>4753.2240000000002</v>
      </c>
    </row>
    <row r="13" spans="1:4">
      <c r="A13" s="140" t="s">
        <v>3271</v>
      </c>
      <c r="B13" s="140" t="s">
        <v>3271</v>
      </c>
      <c r="C13" s="172">
        <v>929.97699999999998</v>
      </c>
      <c r="D13" s="172">
        <v>929.97699999999998</v>
      </c>
    </row>
    <row r="14" spans="1:4">
      <c r="A14" s="139" t="s">
        <v>3272</v>
      </c>
      <c r="B14" s="139" t="s">
        <v>2860</v>
      </c>
      <c r="C14" s="173">
        <v>929.97699999999998</v>
      </c>
      <c r="D14" s="173">
        <v>929.97699999999998</v>
      </c>
    </row>
    <row r="15" spans="1:4">
      <c r="A15" s="140" t="s">
        <v>2806</v>
      </c>
      <c r="B15" s="140" t="s">
        <v>2806</v>
      </c>
      <c r="C15" s="172">
        <v>17520.990000000002</v>
      </c>
      <c r="D15" s="172">
        <v>8535.4390000000003</v>
      </c>
    </row>
    <row r="16" spans="1:4">
      <c r="A16" s="139" t="s">
        <v>2807</v>
      </c>
      <c r="B16" s="139" t="s">
        <v>2860</v>
      </c>
      <c r="C16" s="173">
        <v>17520.990000000002</v>
      </c>
      <c r="D16" s="173">
        <v>8535.4390000000003</v>
      </c>
    </row>
    <row r="17" spans="1:4">
      <c r="A17" s="140" t="s">
        <v>107</v>
      </c>
      <c r="B17" s="140" t="s">
        <v>162</v>
      </c>
      <c r="C17" s="172">
        <v>63.98</v>
      </c>
      <c r="D17" s="172">
        <v>63.98</v>
      </c>
    </row>
    <row r="18" spans="1:4">
      <c r="A18" s="140" t="s">
        <v>2860</v>
      </c>
      <c r="B18" s="140" t="s">
        <v>52</v>
      </c>
      <c r="C18" s="172">
        <v>3999.6379999999999</v>
      </c>
      <c r="D18" s="172">
        <v>3999.6379999999999</v>
      </c>
    </row>
    <row r="19" spans="1:4">
      <c r="A19" s="139" t="s">
        <v>108</v>
      </c>
      <c r="B19" s="139" t="s">
        <v>2860</v>
      </c>
      <c r="C19" s="173">
        <v>4063.6179999999999</v>
      </c>
      <c r="D19" s="173">
        <v>4063.6179999999999</v>
      </c>
    </row>
    <row r="20" spans="1:4">
      <c r="A20" s="140" t="s">
        <v>109</v>
      </c>
      <c r="B20" s="140" t="s">
        <v>109</v>
      </c>
      <c r="C20" s="172">
        <v>277.52999999999997</v>
      </c>
      <c r="D20" s="172">
        <v>277.52999999999997</v>
      </c>
    </row>
    <row r="21" spans="1:4">
      <c r="A21" s="140" t="s">
        <v>2860</v>
      </c>
      <c r="B21" s="140" t="s">
        <v>53</v>
      </c>
      <c r="C21" s="172">
        <v>357.43</v>
      </c>
      <c r="D21" s="172">
        <v>357.43</v>
      </c>
    </row>
    <row r="22" spans="1:4">
      <c r="A22" s="139" t="s">
        <v>110</v>
      </c>
      <c r="B22" s="139" t="s">
        <v>2860</v>
      </c>
      <c r="C22" s="173">
        <v>634.96</v>
      </c>
      <c r="D22" s="173">
        <v>634.96</v>
      </c>
    </row>
    <row r="23" spans="1:4">
      <c r="A23" s="140" t="s">
        <v>2857</v>
      </c>
      <c r="B23" s="140" t="s">
        <v>2857</v>
      </c>
      <c r="C23" s="172">
        <v>0.01</v>
      </c>
      <c r="D23" s="172">
        <v>0.01</v>
      </c>
    </row>
    <row r="24" spans="1:4">
      <c r="A24" s="139" t="s">
        <v>2858</v>
      </c>
      <c r="B24" s="139" t="s">
        <v>2860</v>
      </c>
      <c r="C24" s="173">
        <v>0.01</v>
      </c>
      <c r="D24" s="173">
        <v>0.01</v>
      </c>
    </row>
    <row r="25" spans="1:4">
      <c r="A25" s="140" t="s">
        <v>163</v>
      </c>
      <c r="B25" s="140" t="s">
        <v>163</v>
      </c>
      <c r="C25" s="172">
        <v>3.6999999999999998E-2</v>
      </c>
      <c r="D25" s="172">
        <v>0.01</v>
      </c>
    </row>
    <row r="26" spans="1:4">
      <c r="A26" s="139" t="s">
        <v>2686</v>
      </c>
      <c r="B26" s="139" t="s">
        <v>2860</v>
      </c>
      <c r="C26" s="173">
        <v>3.6999999999999998E-2</v>
      </c>
      <c r="D26" s="173">
        <v>0.01</v>
      </c>
    </row>
    <row r="27" spans="1:4">
      <c r="A27" s="140" t="s">
        <v>2684</v>
      </c>
      <c r="B27" s="140" t="s">
        <v>2684</v>
      </c>
      <c r="C27" s="172">
        <v>58.643000000000001</v>
      </c>
      <c r="D27" s="172">
        <v>58.643000000000001</v>
      </c>
    </row>
    <row r="28" spans="1:4">
      <c r="A28" s="140" t="s">
        <v>2860</v>
      </c>
      <c r="B28" s="140" t="s">
        <v>57</v>
      </c>
      <c r="C28" s="172">
        <v>1361.1669999999999</v>
      </c>
      <c r="D28" s="172">
        <v>1361.1669999999999</v>
      </c>
    </row>
    <row r="29" spans="1:4">
      <c r="A29" s="140" t="s">
        <v>2860</v>
      </c>
      <c r="B29" s="140" t="s">
        <v>82</v>
      </c>
      <c r="C29" s="172">
        <v>101.27</v>
      </c>
      <c r="D29" s="172">
        <v>100.72</v>
      </c>
    </row>
    <row r="30" spans="1:4">
      <c r="A30" s="139" t="s">
        <v>2685</v>
      </c>
      <c r="B30" s="139" t="s">
        <v>2860</v>
      </c>
      <c r="C30" s="173">
        <v>1521.08</v>
      </c>
      <c r="D30" s="173">
        <v>1520.53</v>
      </c>
    </row>
    <row r="31" spans="1:4">
      <c r="A31" s="140" t="s">
        <v>2728</v>
      </c>
      <c r="B31" s="140" t="s">
        <v>68</v>
      </c>
      <c r="C31" s="172">
        <v>1005.14</v>
      </c>
      <c r="D31" s="172">
        <v>1004.985</v>
      </c>
    </row>
    <row r="32" spans="1:4">
      <c r="A32" s="139" t="s">
        <v>2730</v>
      </c>
      <c r="B32" s="139" t="s">
        <v>2860</v>
      </c>
      <c r="C32" s="173">
        <v>1005.14</v>
      </c>
      <c r="D32" s="173">
        <v>1004.985</v>
      </c>
    </row>
    <row r="33" spans="1:4">
      <c r="A33" s="140" t="s">
        <v>111</v>
      </c>
      <c r="B33" s="140" t="s">
        <v>112</v>
      </c>
      <c r="C33" s="172">
        <v>6534.3050000000003</v>
      </c>
      <c r="D33" s="172">
        <v>6534.3050000000003</v>
      </c>
    </row>
    <row r="34" spans="1:4">
      <c r="A34" s="139" t="s">
        <v>113</v>
      </c>
      <c r="B34" s="139" t="s">
        <v>2860</v>
      </c>
      <c r="C34" s="173">
        <v>6534.3050000000003</v>
      </c>
      <c r="D34" s="173">
        <v>6534.3050000000003</v>
      </c>
    </row>
    <row r="35" spans="1:4">
      <c r="A35" s="140" t="s">
        <v>164</v>
      </c>
      <c r="B35" s="140" t="s">
        <v>165</v>
      </c>
      <c r="C35" s="172">
        <v>3795.5309999999999</v>
      </c>
      <c r="D35" s="172">
        <v>3788.5810000000001</v>
      </c>
    </row>
    <row r="36" spans="1:4">
      <c r="A36" s="140" t="s">
        <v>2860</v>
      </c>
      <c r="B36" s="140" t="s">
        <v>2824</v>
      </c>
      <c r="C36" s="172">
        <v>10.82</v>
      </c>
      <c r="D36" s="172">
        <v>10.82</v>
      </c>
    </row>
    <row r="37" spans="1:4">
      <c r="A37" s="140" t="s">
        <v>2860</v>
      </c>
      <c r="B37" s="140" t="s">
        <v>2736</v>
      </c>
      <c r="C37" s="172">
        <v>1078.02</v>
      </c>
      <c r="D37" s="172">
        <v>1078.02</v>
      </c>
    </row>
    <row r="38" spans="1:4">
      <c r="A38" s="139" t="s">
        <v>166</v>
      </c>
      <c r="B38" s="139" t="s">
        <v>2860</v>
      </c>
      <c r="C38" s="173">
        <v>4884.3710000000001</v>
      </c>
      <c r="D38" s="173">
        <v>4877.4210000000003</v>
      </c>
    </row>
    <row r="39" spans="1:4">
      <c r="A39" s="140" t="s">
        <v>114</v>
      </c>
      <c r="B39" s="140" t="s">
        <v>167</v>
      </c>
      <c r="C39" s="172">
        <v>28240.691999999999</v>
      </c>
      <c r="D39" s="172">
        <v>28238.691999999999</v>
      </c>
    </row>
    <row r="40" spans="1:4">
      <c r="A40" s="140" t="s">
        <v>2860</v>
      </c>
      <c r="B40" s="140" t="s">
        <v>2706</v>
      </c>
      <c r="C40" s="172">
        <v>3889.95</v>
      </c>
      <c r="D40" s="172">
        <v>3889.95</v>
      </c>
    </row>
    <row r="41" spans="1:4">
      <c r="A41" s="139" t="s">
        <v>115</v>
      </c>
      <c r="B41" s="139" t="s">
        <v>2860</v>
      </c>
      <c r="C41" s="173">
        <v>32130.642</v>
      </c>
      <c r="D41" s="173">
        <v>32128.642</v>
      </c>
    </row>
    <row r="42" spans="1:4">
      <c r="A42" s="140" t="s">
        <v>116</v>
      </c>
      <c r="B42" s="140" t="s">
        <v>51</v>
      </c>
      <c r="C42" s="172">
        <v>3336.4</v>
      </c>
      <c r="D42" s="172">
        <v>3336.4</v>
      </c>
    </row>
    <row r="43" spans="1:4">
      <c r="A43" s="140" t="s">
        <v>2860</v>
      </c>
      <c r="B43" s="140" t="s">
        <v>54</v>
      </c>
      <c r="C43" s="172">
        <v>2324.8000000000002</v>
      </c>
      <c r="D43" s="172">
        <v>2324.8000000000002</v>
      </c>
    </row>
    <row r="44" spans="1:4">
      <c r="A44" s="140" t="s">
        <v>2860</v>
      </c>
      <c r="B44" s="140" t="s">
        <v>56</v>
      </c>
      <c r="C44" s="172">
        <v>406.03</v>
      </c>
      <c r="D44" s="172">
        <v>406.03</v>
      </c>
    </row>
    <row r="45" spans="1:4">
      <c r="A45" s="140" t="s">
        <v>2860</v>
      </c>
      <c r="B45" s="140" t="s">
        <v>117</v>
      </c>
      <c r="C45" s="172">
        <v>1955.71</v>
      </c>
      <c r="D45" s="172">
        <v>1955.71</v>
      </c>
    </row>
    <row r="46" spans="1:4">
      <c r="A46" s="140" t="s">
        <v>2860</v>
      </c>
      <c r="B46" s="140" t="s">
        <v>61</v>
      </c>
      <c r="C46" s="172">
        <v>747.9</v>
      </c>
      <c r="D46" s="172">
        <v>747.9</v>
      </c>
    </row>
    <row r="47" spans="1:4">
      <c r="A47" s="140" t="s">
        <v>2860</v>
      </c>
      <c r="B47" s="140" t="s">
        <v>735</v>
      </c>
      <c r="C47" s="172">
        <v>272.25</v>
      </c>
      <c r="D47" s="172">
        <v>272.25</v>
      </c>
    </row>
    <row r="48" spans="1:4">
      <c r="A48" s="140" t="s">
        <v>2860</v>
      </c>
      <c r="B48" s="140" t="s">
        <v>2901</v>
      </c>
      <c r="C48" s="172">
        <v>326.8</v>
      </c>
      <c r="D48" s="172">
        <v>326.8</v>
      </c>
    </row>
    <row r="49" spans="1:4">
      <c r="A49" s="140" t="s">
        <v>2860</v>
      </c>
      <c r="B49" s="140" t="s">
        <v>1168</v>
      </c>
      <c r="C49" s="172">
        <v>1948.55</v>
      </c>
      <c r="D49" s="172">
        <v>1948.55</v>
      </c>
    </row>
    <row r="50" spans="1:4">
      <c r="A50" s="140" t="s">
        <v>2860</v>
      </c>
      <c r="B50" s="140" t="s">
        <v>1400</v>
      </c>
      <c r="C50" s="172">
        <v>205.91</v>
      </c>
      <c r="D50" s="172">
        <v>205.91</v>
      </c>
    </row>
    <row r="51" spans="1:4">
      <c r="A51" s="139" t="s">
        <v>118</v>
      </c>
      <c r="B51" s="139" t="s">
        <v>2860</v>
      </c>
      <c r="C51" s="173">
        <v>11524.35</v>
      </c>
      <c r="D51" s="173">
        <v>11524.35</v>
      </c>
    </row>
    <row r="52" spans="1:4">
      <c r="A52" s="140" t="s">
        <v>121</v>
      </c>
      <c r="B52" s="140" t="s">
        <v>2775</v>
      </c>
      <c r="C52" s="172">
        <v>1.0999999999999999E-2</v>
      </c>
      <c r="D52" s="172">
        <v>1.0999999999999999E-2</v>
      </c>
    </row>
    <row r="53" spans="1:4">
      <c r="A53" s="140" t="s">
        <v>2860</v>
      </c>
      <c r="B53" s="140" t="s">
        <v>60</v>
      </c>
      <c r="C53" s="172">
        <v>5235.8879999999999</v>
      </c>
      <c r="D53" s="172">
        <v>5235.8879999999999</v>
      </c>
    </row>
    <row r="54" spans="1:4">
      <c r="A54" s="139" t="s">
        <v>122</v>
      </c>
      <c r="B54" s="139" t="s">
        <v>2860</v>
      </c>
      <c r="C54" s="173">
        <v>5235.8990000000003</v>
      </c>
      <c r="D54" s="173">
        <v>5235.8990000000003</v>
      </c>
    </row>
    <row r="55" spans="1:4">
      <c r="A55" s="140" t="s">
        <v>123</v>
      </c>
      <c r="B55" s="140" t="s">
        <v>168</v>
      </c>
      <c r="C55" s="172">
        <v>309.56</v>
      </c>
      <c r="D55" s="172">
        <v>309.56</v>
      </c>
    </row>
    <row r="56" spans="1:4">
      <c r="A56" s="140" t="s">
        <v>2860</v>
      </c>
      <c r="B56" s="140" t="s">
        <v>62</v>
      </c>
      <c r="C56" s="172">
        <v>15005.608</v>
      </c>
      <c r="D56" s="172">
        <v>15005.608</v>
      </c>
    </row>
    <row r="57" spans="1:4">
      <c r="A57" s="139" t="s">
        <v>124</v>
      </c>
      <c r="B57" s="139" t="s">
        <v>2860</v>
      </c>
      <c r="C57" s="173">
        <v>15315.168</v>
      </c>
      <c r="D57" s="173">
        <v>15315.168</v>
      </c>
    </row>
    <row r="58" spans="1:4">
      <c r="A58" s="140" t="s">
        <v>125</v>
      </c>
      <c r="B58" s="140" t="s">
        <v>58</v>
      </c>
      <c r="C58" s="172">
        <v>180.24600000000001</v>
      </c>
      <c r="D58" s="172">
        <v>180.24600000000001</v>
      </c>
    </row>
    <row r="59" spans="1:4">
      <c r="A59" s="140" t="s">
        <v>2860</v>
      </c>
      <c r="B59" s="140" t="s">
        <v>2814</v>
      </c>
      <c r="C59" s="172">
        <v>180.29</v>
      </c>
      <c r="D59" s="172">
        <v>180.29</v>
      </c>
    </row>
    <row r="60" spans="1:4">
      <c r="A60" s="140" t="s">
        <v>2860</v>
      </c>
      <c r="B60" s="140" t="s">
        <v>126</v>
      </c>
      <c r="C60" s="172">
        <v>5276.37</v>
      </c>
      <c r="D60" s="172">
        <v>5276.37</v>
      </c>
    </row>
    <row r="61" spans="1:4">
      <c r="A61" s="140" t="s">
        <v>2860</v>
      </c>
      <c r="B61" s="140" t="s">
        <v>85</v>
      </c>
      <c r="C61" s="172">
        <v>2423.4380000000001</v>
      </c>
      <c r="D61" s="172">
        <v>2423.1849999999999</v>
      </c>
    </row>
    <row r="62" spans="1:4">
      <c r="A62" s="139" t="s">
        <v>127</v>
      </c>
      <c r="B62" s="139" t="s">
        <v>2860</v>
      </c>
      <c r="C62" s="173">
        <v>8060.3440000000001</v>
      </c>
      <c r="D62" s="173">
        <v>8060.0910000000003</v>
      </c>
    </row>
    <row r="63" spans="1:4">
      <c r="A63" s="140" t="s">
        <v>169</v>
      </c>
      <c r="B63" s="140" t="s">
        <v>63</v>
      </c>
      <c r="C63" s="172">
        <v>219.94</v>
      </c>
      <c r="D63" s="172">
        <v>219.94</v>
      </c>
    </row>
    <row r="64" spans="1:4">
      <c r="A64" s="139" t="s">
        <v>2878</v>
      </c>
      <c r="B64" s="139" t="s">
        <v>2860</v>
      </c>
      <c r="C64" s="173">
        <v>219.94</v>
      </c>
      <c r="D64" s="173">
        <v>219.94</v>
      </c>
    </row>
    <row r="65" spans="1:4">
      <c r="A65" s="140" t="s">
        <v>170</v>
      </c>
      <c r="B65" s="140" t="s">
        <v>2731</v>
      </c>
      <c r="C65" s="172">
        <v>303.31</v>
      </c>
      <c r="D65" s="172">
        <v>300.24799999999999</v>
      </c>
    </row>
    <row r="66" spans="1:4">
      <c r="A66" s="140" t="s">
        <v>2860</v>
      </c>
      <c r="B66" s="140" t="s">
        <v>64</v>
      </c>
      <c r="C66" s="172">
        <v>62.22</v>
      </c>
      <c r="D66" s="172">
        <v>61.195999999999998</v>
      </c>
    </row>
    <row r="67" spans="1:4">
      <c r="A67" s="139" t="s">
        <v>171</v>
      </c>
      <c r="B67" s="139" t="s">
        <v>2860</v>
      </c>
      <c r="C67" s="173">
        <v>365.53</v>
      </c>
      <c r="D67" s="173">
        <v>361.44400000000002</v>
      </c>
    </row>
    <row r="68" spans="1:4">
      <c r="A68" s="140" t="s">
        <v>172</v>
      </c>
      <c r="B68" s="140" t="s">
        <v>2840</v>
      </c>
      <c r="C68" s="172">
        <v>1225.8630000000001</v>
      </c>
      <c r="D68" s="172">
        <v>1225.0609999999999</v>
      </c>
    </row>
    <row r="69" spans="1:4">
      <c r="A69" s="140" t="s">
        <v>2860</v>
      </c>
      <c r="B69" s="140" t="s">
        <v>65</v>
      </c>
      <c r="C69" s="172">
        <v>3533.0729999999999</v>
      </c>
      <c r="D69" s="172">
        <v>3533.0729999999999</v>
      </c>
    </row>
    <row r="70" spans="1:4">
      <c r="A70" s="139" t="s">
        <v>173</v>
      </c>
      <c r="B70" s="139" t="s">
        <v>2860</v>
      </c>
      <c r="C70" s="173">
        <v>4758.9359999999997</v>
      </c>
      <c r="D70" s="173">
        <v>4758.134</v>
      </c>
    </row>
    <row r="71" spans="1:4">
      <c r="A71" s="140" t="s">
        <v>128</v>
      </c>
      <c r="B71" s="140" t="s">
        <v>128</v>
      </c>
      <c r="C71" s="172">
        <v>448.06700000000001</v>
      </c>
      <c r="D71" s="172">
        <v>447.66</v>
      </c>
    </row>
    <row r="72" spans="1:4">
      <c r="A72" s="140" t="s">
        <v>2860</v>
      </c>
      <c r="B72" s="140" t="s">
        <v>66</v>
      </c>
      <c r="C72" s="172">
        <v>8091.91</v>
      </c>
      <c r="D72" s="172">
        <v>8091.91</v>
      </c>
    </row>
    <row r="73" spans="1:4">
      <c r="A73" s="140" t="s">
        <v>2860</v>
      </c>
      <c r="B73" s="140" t="s">
        <v>83</v>
      </c>
      <c r="C73" s="172">
        <v>399.89</v>
      </c>
      <c r="D73" s="172">
        <v>399.89</v>
      </c>
    </row>
    <row r="74" spans="1:4">
      <c r="A74" s="139" t="s">
        <v>129</v>
      </c>
      <c r="B74" s="139" t="s">
        <v>2860</v>
      </c>
      <c r="C74" s="173">
        <v>8939.8670000000002</v>
      </c>
      <c r="D74" s="173">
        <v>8939.4599999999991</v>
      </c>
    </row>
    <row r="75" spans="1:4">
      <c r="A75" s="140" t="s">
        <v>130</v>
      </c>
      <c r="B75" s="140" t="s">
        <v>131</v>
      </c>
      <c r="C75" s="172">
        <v>31707.706999999999</v>
      </c>
      <c r="D75" s="172">
        <v>28504.867999999999</v>
      </c>
    </row>
    <row r="76" spans="1:4">
      <c r="A76" s="140" t="s">
        <v>2860</v>
      </c>
      <c r="B76" s="140" t="s">
        <v>67</v>
      </c>
      <c r="C76" s="172">
        <v>1253.2090000000001</v>
      </c>
      <c r="D76" s="172">
        <v>1253.2090000000001</v>
      </c>
    </row>
    <row r="77" spans="1:4">
      <c r="A77" s="139" t="s">
        <v>132</v>
      </c>
      <c r="B77" s="139" t="s">
        <v>2860</v>
      </c>
      <c r="C77" s="173">
        <v>32960.915999999997</v>
      </c>
      <c r="D77" s="173">
        <v>29758.077000000001</v>
      </c>
    </row>
    <row r="78" spans="1:4">
      <c r="A78" s="140" t="s">
        <v>175</v>
      </c>
      <c r="B78" s="140" t="s">
        <v>176</v>
      </c>
      <c r="C78" s="172">
        <v>437.41</v>
      </c>
      <c r="D78" s="172">
        <v>437.41</v>
      </c>
    </row>
    <row r="79" spans="1:4">
      <c r="A79" s="140" t="s">
        <v>2860</v>
      </c>
      <c r="B79" s="140" t="s">
        <v>69</v>
      </c>
      <c r="C79" s="172">
        <v>3627.05</v>
      </c>
      <c r="D79" s="172">
        <v>3627.05</v>
      </c>
    </row>
    <row r="80" spans="1:4">
      <c r="A80" s="139" t="s">
        <v>177</v>
      </c>
      <c r="B80" s="139" t="s">
        <v>2860</v>
      </c>
      <c r="C80" s="173">
        <v>4064.46</v>
      </c>
      <c r="D80" s="173">
        <v>4064.46</v>
      </c>
    </row>
    <row r="81" spans="1:4">
      <c r="A81" s="140" t="s">
        <v>890</v>
      </c>
      <c r="B81" s="140" t="s">
        <v>890</v>
      </c>
      <c r="C81" s="172">
        <v>1428.7</v>
      </c>
      <c r="D81" s="172">
        <v>1428.7</v>
      </c>
    </row>
    <row r="82" spans="1:4">
      <c r="A82" s="140" t="s">
        <v>2860</v>
      </c>
      <c r="B82" s="140" t="s">
        <v>893</v>
      </c>
      <c r="C82" s="172">
        <v>2833.777</v>
      </c>
      <c r="D82" s="172">
        <v>2833.777</v>
      </c>
    </row>
    <row r="83" spans="1:4">
      <c r="A83" s="139" t="s">
        <v>891</v>
      </c>
      <c r="B83" s="139" t="s">
        <v>2860</v>
      </c>
      <c r="C83" s="173">
        <v>4262.4769999999999</v>
      </c>
      <c r="D83" s="173">
        <v>4262.4769999999999</v>
      </c>
    </row>
    <row r="84" spans="1:4">
      <c r="A84" s="140" t="s">
        <v>178</v>
      </c>
      <c r="B84" s="140" t="s">
        <v>179</v>
      </c>
      <c r="C84" s="172">
        <v>4297.33</v>
      </c>
      <c r="D84" s="172">
        <v>4297.33</v>
      </c>
    </row>
    <row r="85" spans="1:4">
      <c r="A85" s="139" t="s">
        <v>180</v>
      </c>
      <c r="B85" s="139" t="s">
        <v>2860</v>
      </c>
      <c r="C85" s="173">
        <v>4297.33</v>
      </c>
      <c r="D85" s="173">
        <v>4297.33</v>
      </c>
    </row>
    <row r="86" spans="1:4">
      <c r="A86" s="140" t="s">
        <v>181</v>
      </c>
      <c r="B86" s="140" t="s">
        <v>181</v>
      </c>
      <c r="C86" s="172">
        <v>2915.558</v>
      </c>
      <c r="D86" s="172">
        <v>2915.558</v>
      </c>
    </row>
    <row r="87" spans="1:4">
      <c r="A87" s="140" t="s">
        <v>2860</v>
      </c>
      <c r="B87" s="140" t="s">
        <v>70</v>
      </c>
      <c r="C87" s="172">
        <v>545.50300000000004</v>
      </c>
      <c r="D87" s="172">
        <v>545.50300000000004</v>
      </c>
    </row>
    <row r="88" spans="1:4">
      <c r="A88" s="139" t="s">
        <v>182</v>
      </c>
      <c r="B88" s="139" t="s">
        <v>2860</v>
      </c>
      <c r="C88" s="173">
        <v>3461.0610000000001</v>
      </c>
      <c r="D88" s="173">
        <v>3461.0610000000001</v>
      </c>
    </row>
    <row r="89" spans="1:4">
      <c r="A89" s="140" t="s">
        <v>183</v>
      </c>
      <c r="B89" s="140" t="s">
        <v>184</v>
      </c>
      <c r="C89" s="172">
        <v>1509.866</v>
      </c>
      <c r="D89" s="172">
        <v>1509.866</v>
      </c>
    </row>
    <row r="90" spans="1:4">
      <c r="A90" s="139" t="s">
        <v>2704</v>
      </c>
      <c r="B90" s="139" t="s">
        <v>2860</v>
      </c>
      <c r="C90" s="173">
        <v>1509.866</v>
      </c>
      <c r="D90" s="173">
        <v>1509.866</v>
      </c>
    </row>
    <row r="91" spans="1:4">
      <c r="A91" s="140" t="s">
        <v>133</v>
      </c>
      <c r="B91" s="140" t="s">
        <v>2815</v>
      </c>
      <c r="C91" s="172">
        <v>227.03899999999999</v>
      </c>
      <c r="D91" s="172">
        <v>227.03899999999999</v>
      </c>
    </row>
    <row r="92" spans="1:4">
      <c r="A92" s="140" t="s">
        <v>2860</v>
      </c>
      <c r="B92" s="140" t="s">
        <v>72</v>
      </c>
      <c r="C92" s="172">
        <v>163.03</v>
      </c>
      <c r="D92" s="172">
        <v>163.03</v>
      </c>
    </row>
    <row r="93" spans="1:4">
      <c r="A93" s="139" t="s">
        <v>134</v>
      </c>
      <c r="B93" s="139" t="s">
        <v>2860</v>
      </c>
      <c r="C93" s="173">
        <v>390.06900000000002</v>
      </c>
      <c r="D93" s="173">
        <v>390.06900000000002</v>
      </c>
    </row>
    <row r="94" spans="1:4">
      <c r="A94" s="140" t="s">
        <v>135</v>
      </c>
      <c r="B94" s="140" t="s">
        <v>73</v>
      </c>
      <c r="C94" s="172">
        <v>1185.721</v>
      </c>
      <c r="D94" s="172">
        <v>1185.721</v>
      </c>
    </row>
    <row r="95" spans="1:4">
      <c r="A95" s="139" t="s">
        <v>136</v>
      </c>
      <c r="B95" s="139" t="s">
        <v>2860</v>
      </c>
      <c r="C95" s="173">
        <v>1185.721</v>
      </c>
      <c r="D95" s="173">
        <v>1185.721</v>
      </c>
    </row>
    <row r="96" spans="1:4">
      <c r="A96" s="140" t="s">
        <v>186</v>
      </c>
      <c r="B96" s="140" t="s">
        <v>186</v>
      </c>
      <c r="C96" s="172">
        <v>10062.768</v>
      </c>
      <c r="D96" s="172">
        <v>10062.768</v>
      </c>
    </row>
    <row r="97" spans="1:4">
      <c r="A97" s="139" t="s">
        <v>2687</v>
      </c>
      <c r="B97" s="139" t="s">
        <v>2860</v>
      </c>
      <c r="C97" s="173">
        <v>10062.768</v>
      </c>
      <c r="D97" s="173">
        <v>10062.768</v>
      </c>
    </row>
    <row r="98" spans="1:4">
      <c r="A98" s="140" t="s">
        <v>187</v>
      </c>
      <c r="B98" s="140" t="s">
        <v>187</v>
      </c>
      <c r="C98" s="172">
        <v>20168.749</v>
      </c>
      <c r="D98" s="172">
        <v>20168.749</v>
      </c>
    </row>
    <row r="99" spans="1:4">
      <c r="A99" s="139" t="s">
        <v>2688</v>
      </c>
      <c r="B99" s="139" t="s">
        <v>2860</v>
      </c>
      <c r="C99" s="173">
        <v>20168.749</v>
      </c>
      <c r="D99" s="173">
        <v>20168.749</v>
      </c>
    </row>
    <row r="100" spans="1:4">
      <c r="A100" s="140" t="s">
        <v>2808</v>
      </c>
      <c r="B100" s="140" t="s">
        <v>2808</v>
      </c>
      <c r="C100" s="172">
        <v>3474.1289999999999</v>
      </c>
      <c r="D100" s="172">
        <v>2115.7199999999998</v>
      </c>
    </row>
    <row r="101" spans="1:4">
      <c r="A101" s="139" t="s">
        <v>2809</v>
      </c>
      <c r="B101" s="139" t="s">
        <v>2860</v>
      </c>
      <c r="C101" s="173">
        <v>3474.1289999999999</v>
      </c>
      <c r="D101" s="173">
        <v>2115.7199999999998</v>
      </c>
    </row>
    <row r="102" spans="1:4">
      <c r="A102" s="140" t="s">
        <v>633</v>
      </c>
      <c r="B102" s="140" t="s">
        <v>633</v>
      </c>
      <c r="C102" s="172">
        <v>10014.81</v>
      </c>
      <c r="D102" s="172">
        <v>4823.9049999999997</v>
      </c>
    </row>
    <row r="103" spans="1:4">
      <c r="A103" s="139" t="s">
        <v>2810</v>
      </c>
      <c r="B103" s="139" t="s">
        <v>2860</v>
      </c>
      <c r="C103" s="173">
        <v>10014.81</v>
      </c>
      <c r="D103" s="173">
        <v>4823.9049999999997</v>
      </c>
    </row>
    <row r="104" spans="1:4">
      <c r="A104" s="140" t="s">
        <v>2902</v>
      </c>
      <c r="B104" s="140" t="s">
        <v>2902</v>
      </c>
      <c r="C104" s="172">
        <v>2197.915</v>
      </c>
      <c r="D104" s="172">
        <v>2197.915</v>
      </c>
    </row>
    <row r="105" spans="1:4">
      <c r="A105" s="139" t="s">
        <v>2903</v>
      </c>
      <c r="B105" s="139" t="s">
        <v>2860</v>
      </c>
      <c r="C105" s="173">
        <v>2197.915</v>
      </c>
      <c r="D105" s="173">
        <v>2197.915</v>
      </c>
    </row>
    <row r="106" spans="1:4">
      <c r="A106" s="140" t="s">
        <v>137</v>
      </c>
      <c r="B106" s="140" t="s">
        <v>2732</v>
      </c>
      <c r="C106" s="172">
        <v>3294.84</v>
      </c>
      <c r="D106" s="172">
        <v>3294.84</v>
      </c>
    </row>
    <row r="107" spans="1:4">
      <c r="A107" s="140" t="s">
        <v>2860</v>
      </c>
      <c r="B107" s="140" t="s">
        <v>138</v>
      </c>
      <c r="C107" s="172">
        <v>1056.43</v>
      </c>
      <c r="D107" s="172">
        <v>1056.43</v>
      </c>
    </row>
    <row r="108" spans="1:4">
      <c r="A108" s="140" t="s">
        <v>2860</v>
      </c>
      <c r="B108" s="140" t="s">
        <v>80</v>
      </c>
      <c r="C108" s="172">
        <v>6018.1120000000001</v>
      </c>
      <c r="D108" s="172">
        <v>6018.1120000000001</v>
      </c>
    </row>
    <row r="109" spans="1:4">
      <c r="A109" s="139" t="s">
        <v>139</v>
      </c>
      <c r="B109" s="139" t="s">
        <v>2860</v>
      </c>
      <c r="C109" s="173">
        <v>10369.380999999999</v>
      </c>
      <c r="D109" s="173">
        <v>10369.380999999999</v>
      </c>
    </row>
    <row r="110" spans="1:4">
      <c r="A110" s="140" t="s">
        <v>140</v>
      </c>
      <c r="B110" s="140" t="s">
        <v>59</v>
      </c>
      <c r="C110" s="172">
        <v>717.50900000000001</v>
      </c>
      <c r="D110" s="172">
        <v>717.50900000000001</v>
      </c>
    </row>
    <row r="111" spans="1:4">
      <c r="A111" s="140" t="s">
        <v>2860</v>
      </c>
      <c r="B111" s="140" t="s">
        <v>2879</v>
      </c>
      <c r="C111" s="172">
        <v>569.30899999999997</v>
      </c>
      <c r="D111" s="172">
        <v>569.30899999999997</v>
      </c>
    </row>
    <row r="112" spans="1:4">
      <c r="A112" s="140" t="s">
        <v>2860</v>
      </c>
      <c r="B112" s="140" t="s">
        <v>141</v>
      </c>
      <c r="C112" s="172">
        <v>346.09</v>
      </c>
      <c r="D112" s="172">
        <v>346.09</v>
      </c>
    </row>
    <row r="113" spans="1:4">
      <c r="A113" s="139" t="s">
        <v>142</v>
      </c>
      <c r="B113" s="139" t="s">
        <v>2860</v>
      </c>
      <c r="C113" s="173">
        <v>1632.9079999999999</v>
      </c>
      <c r="D113" s="173">
        <v>1632.9079999999999</v>
      </c>
    </row>
    <row r="114" spans="1:4">
      <c r="A114" s="140" t="s">
        <v>191</v>
      </c>
      <c r="B114" s="140" t="s">
        <v>191</v>
      </c>
      <c r="C114" s="172">
        <v>414.24700000000001</v>
      </c>
      <c r="D114" s="172">
        <v>414.24700000000001</v>
      </c>
    </row>
    <row r="115" spans="1:4">
      <c r="A115" s="139" t="s">
        <v>2689</v>
      </c>
      <c r="B115" s="139" t="s">
        <v>2860</v>
      </c>
      <c r="C115" s="173">
        <v>414.24700000000001</v>
      </c>
      <c r="D115" s="173">
        <v>414.24700000000001</v>
      </c>
    </row>
    <row r="116" spans="1:4">
      <c r="A116" s="140" t="s">
        <v>192</v>
      </c>
      <c r="B116" s="140" t="s">
        <v>192</v>
      </c>
      <c r="C116" s="172">
        <v>3141.114</v>
      </c>
      <c r="D116" s="172">
        <v>3141.114</v>
      </c>
    </row>
    <row r="117" spans="1:4">
      <c r="A117" s="139" t="s">
        <v>2690</v>
      </c>
      <c r="B117" s="139" t="s">
        <v>2860</v>
      </c>
      <c r="C117" s="173">
        <v>3141.114</v>
      </c>
      <c r="D117" s="173">
        <v>3141.114</v>
      </c>
    </row>
    <row r="118" spans="1:4">
      <c r="A118" s="140" t="s">
        <v>193</v>
      </c>
      <c r="B118" s="140" t="s">
        <v>194</v>
      </c>
      <c r="C118" s="172">
        <v>4802.4309999999996</v>
      </c>
      <c r="D118" s="172">
        <v>4795.01</v>
      </c>
    </row>
    <row r="119" spans="1:4">
      <c r="A119" s="139" t="s">
        <v>195</v>
      </c>
      <c r="B119" s="139" t="s">
        <v>2860</v>
      </c>
      <c r="C119" s="173">
        <v>4802.4309999999996</v>
      </c>
      <c r="D119" s="173">
        <v>4795.01</v>
      </c>
    </row>
    <row r="120" spans="1:4">
      <c r="A120" s="140" t="s">
        <v>196</v>
      </c>
      <c r="B120" s="140" t="s">
        <v>196</v>
      </c>
      <c r="C120" s="172">
        <v>3067.9920000000002</v>
      </c>
      <c r="D120" s="172">
        <v>3066.462</v>
      </c>
    </row>
    <row r="121" spans="1:4">
      <c r="A121" s="139" t="s">
        <v>197</v>
      </c>
      <c r="B121" s="139" t="s">
        <v>2860</v>
      </c>
      <c r="C121" s="173">
        <v>3067.9920000000002</v>
      </c>
      <c r="D121" s="173">
        <v>3066.462</v>
      </c>
    </row>
    <row r="122" spans="1:4">
      <c r="A122" s="140" t="s">
        <v>198</v>
      </c>
      <c r="B122" s="140" t="s">
        <v>198</v>
      </c>
      <c r="C122" s="172">
        <v>1875.5809999999999</v>
      </c>
      <c r="D122" s="172">
        <v>1875.5809999999999</v>
      </c>
    </row>
    <row r="123" spans="1:4">
      <c r="A123" s="139" t="s">
        <v>2691</v>
      </c>
      <c r="B123" s="139" t="s">
        <v>2860</v>
      </c>
      <c r="C123" s="173">
        <v>1875.5809999999999</v>
      </c>
      <c r="D123" s="173">
        <v>1875.5809999999999</v>
      </c>
    </row>
    <row r="124" spans="1:4">
      <c r="A124" s="140" t="s">
        <v>199</v>
      </c>
      <c r="B124" s="140" t="s">
        <v>199</v>
      </c>
      <c r="C124" s="172">
        <v>2256.5929999999998</v>
      </c>
      <c r="D124" s="172">
        <v>2256.5929999999998</v>
      </c>
    </row>
    <row r="125" spans="1:4">
      <c r="A125" s="139" t="s">
        <v>2692</v>
      </c>
      <c r="B125" s="139" t="s">
        <v>2860</v>
      </c>
      <c r="C125" s="173">
        <v>2256.5929999999998</v>
      </c>
      <c r="D125" s="173">
        <v>2256.5929999999998</v>
      </c>
    </row>
    <row r="126" spans="1:4">
      <c r="A126" s="140" t="s">
        <v>201</v>
      </c>
      <c r="B126" s="140" t="s">
        <v>201</v>
      </c>
      <c r="C126" s="172">
        <v>3026.8409999999999</v>
      </c>
      <c r="D126" s="172">
        <v>3026.8409999999999</v>
      </c>
    </row>
    <row r="127" spans="1:4">
      <c r="A127" s="139" t="s">
        <v>2693</v>
      </c>
      <c r="B127" s="139" t="s">
        <v>2860</v>
      </c>
      <c r="C127" s="173">
        <v>3026.8409999999999</v>
      </c>
      <c r="D127" s="173">
        <v>3026.8409999999999</v>
      </c>
    </row>
    <row r="128" spans="1:4">
      <c r="A128" s="140" t="s">
        <v>202</v>
      </c>
      <c r="B128" s="140" t="s">
        <v>202</v>
      </c>
      <c r="C128" s="172">
        <v>2860.7759999999998</v>
      </c>
      <c r="D128" s="172">
        <v>2860.7759999999998</v>
      </c>
    </row>
    <row r="129" spans="1:4">
      <c r="A129" s="139" t="s">
        <v>2694</v>
      </c>
      <c r="B129" s="139" t="s">
        <v>2860</v>
      </c>
      <c r="C129" s="173">
        <v>2860.7759999999998</v>
      </c>
      <c r="D129" s="173">
        <v>2860.7759999999998</v>
      </c>
    </row>
    <row r="130" spans="1:4">
      <c r="A130" s="140" t="s">
        <v>204</v>
      </c>
      <c r="B130" s="140" t="s">
        <v>204</v>
      </c>
      <c r="C130" s="172">
        <v>6648.75</v>
      </c>
      <c r="D130" s="172">
        <v>6648.75</v>
      </c>
    </row>
    <row r="131" spans="1:4">
      <c r="A131" s="139" t="s">
        <v>2695</v>
      </c>
      <c r="B131" s="139" t="s">
        <v>2860</v>
      </c>
      <c r="C131" s="173">
        <v>6648.75</v>
      </c>
      <c r="D131" s="173">
        <v>6648.75</v>
      </c>
    </row>
    <row r="132" spans="1:4">
      <c r="A132" s="140" t="s">
        <v>205</v>
      </c>
      <c r="B132" s="140" t="s">
        <v>205</v>
      </c>
      <c r="C132" s="172">
        <v>25.152000000000001</v>
      </c>
      <c r="D132" s="172">
        <v>25.152000000000001</v>
      </c>
    </row>
    <row r="133" spans="1:4">
      <c r="A133" s="140" t="s">
        <v>2860</v>
      </c>
      <c r="B133" s="140" t="s">
        <v>206</v>
      </c>
      <c r="C133" s="172">
        <v>7886.3990000000003</v>
      </c>
      <c r="D133" s="172">
        <v>7886.3990000000003</v>
      </c>
    </row>
    <row r="134" spans="1:4">
      <c r="A134" s="139" t="s">
        <v>207</v>
      </c>
      <c r="B134" s="139" t="s">
        <v>2860</v>
      </c>
      <c r="C134" s="173">
        <v>7911.5510000000004</v>
      </c>
      <c r="D134" s="173">
        <v>7911.5510000000004</v>
      </c>
    </row>
    <row r="135" spans="1:4">
      <c r="A135" s="140" t="s">
        <v>208</v>
      </c>
      <c r="B135" s="140" t="s">
        <v>209</v>
      </c>
      <c r="C135" s="172">
        <v>0</v>
      </c>
      <c r="D135" s="172">
        <v>0</v>
      </c>
    </row>
    <row r="136" spans="1:4">
      <c r="A136" s="139" t="s">
        <v>210</v>
      </c>
      <c r="B136" s="139" t="s">
        <v>2860</v>
      </c>
      <c r="C136" s="173">
        <v>0</v>
      </c>
      <c r="D136" s="173">
        <v>0</v>
      </c>
    </row>
    <row r="137" spans="1:4">
      <c r="A137" s="140" t="s">
        <v>211</v>
      </c>
      <c r="B137" s="140" t="s">
        <v>212</v>
      </c>
      <c r="C137" s="172">
        <v>1755.338</v>
      </c>
      <c r="D137" s="172">
        <v>1755.338</v>
      </c>
    </row>
    <row r="138" spans="1:4">
      <c r="A138" s="139" t="s">
        <v>213</v>
      </c>
      <c r="B138" s="139" t="s">
        <v>2860</v>
      </c>
      <c r="C138" s="173">
        <v>1755.338</v>
      </c>
      <c r="D138" s="173">
        <v>1755.338</v>
      </c>
    </row>
    <row r="139" spans="1:4">
      <c r="A139" s="140" t="s">
        <v>143</v>
      </c>
      <c r="B139" s="140" t="s">
        <v>2701</v>
      </c>
      <c r="C139" s="172">
        <v>261.10000000000002</v>
      </c>
      <c r="D139" s="172">
        <v>187.52699999999999</v>
      </c>
    </row>
    <row r="140" spans="1:4">
      <c r="A140" s="140" t="s">
        <v>2860</v>
      </c>
      <c r="B140" s="140" t="s">
        <v>87</v>
      </c>
      <c r="C140" s="172">
        <v>307.33999999999997</v>
      </c>
      <c r="D140" s="172">
        <v>307.33999999999997</v>
      </c>
    </row>
    <row r="141" spans="1:4">
      <c r="A141" s="139" t="s">
        <v>144</v>
      </c>
      <c r="B141" s="139" t="s">
        <v>2860</v>
      </c>
      <c r="C141" s="173">
        <v>568.44000000000005</v>
      </c>
      <c r="D141" s="173">
        <v>494.86700000000002</v>
      </c>
    </row>
    <row r="142" spans="1:4">
      <c r="A142" s="140" t="s">
        <v>145</v>
      </c>
      <c r="B142" s="140" t="s">
        <v>76</v>
      </c>
      <c r="C142" s="172">
        <v>1190.0999999999999</v>
      </c>
      <c r="D142" s="172">
        <v>768.971</v>
      </c>
    </row>
    <row r="143" spans="1:4">
      <c r="A143" s="140" t="s">
        <v>2860</v>
      </c>
      <c r="B143" s="140" t="s">
        <v>1952</v>
      </c>
      <c r="C143" s="172">
        <v>1475.2349999999999</v>
      </c>
      <c r="D143" s="172">
        <v>483.77800000000002</v>
      </c>
    </row>
    <row r="144" spans="1:4">
      <c r="A144" s="140" t="s">
        <v>2860</v>
      </c>
      <c r="B144" s="140" t="s">
        <v>2459</v>
      </c>
      <c r="C144" s="172">
        <v>2713.8</v>
      </c>
      <c r="D144" s="172">
        <v>1323.1410000000001</v>
      </c>
    </row>
    <row r="145" spans="1:4">
      <c r="A145" s="140" t="s">
        <v>2860</v>
      </c>
      <c r="B145" s="140" t="s">
        <v>78</v>
      </c>
      <c r="C145" s="172">
        <v>8090.23</v>
      </c>
      <c r="D145" s="172">
        <v>4224.933</v>
      </c>
    </row>
    <row r="146" spans="1:4">
      <c r="A146" s="140" t="s">
        <v>2860</v>
      </c>
      <c r="B146" s="140" t="s">
        <v>79</v>
      </c>
      <c r="C146" s="172">
        <v>13608.35</v>
      </c>
      <c r="D146" s="172">
        <v>7456.89</v>
      </c>
    </row>
    <row r="147" spans="1:4">
      <c r="A147" s="140" t="s">
        <v>2860</v>
      </c>
      <c r="B147" s="140" t="s">
        <v>146</v>
      </c>
      <c r="C147" s="172">
        <v>3911.8440000000001</v>
      </c>
      <c r="D147" s="172">
        <v>2036.261</v>
      </c>
    </row>
    <row r="148" spans="1:4">
      <c r="A148" s="139" t="s">
        <v>147</v>
      </c>
      <c r="B148" s="139" t="s">
        <v>2860</v>
      </c>
      <c r="C148" s="173">
        <v>30989.558000000001</v>
      </c>
      <c r="D148" s="173">
        <v>16293.975</v>
      </c>
    </row>
    <row r="149" spans="1:4">
      <c r="A149" s="140" t="s">
        <v>215</v>
      </c>
      <c r="B149" s="140" t="s">
        <v>2733</v>
      </c>
      <c r="C149" s="172">
        <v>632.59</v>
      </c>
      <c r="D149" s="172">
        <v>632.59</v>
      </c>
    </row>
    <row r="150" spans="1:4">
      <c r="A150" s="140" t="s">
        <v>2860</v>
      </c>
      <c r="B150" s="140" t="s">
        <v>992</v>
      </c>
      <c r="C150" s="172">
        <v>13554.31</v>
      </c>
      <c r="D150" s="172">
        <v>13554.31</v>
      </c>
    </row>
    <row r="151" spans="1:4">
      <c r="A151" s="139" t="s">
        <v>2681</v>
      </c>
      <c r="B151" s="139" t="s">
        <v>2860</v>
      </c>
      <c r="C151" s="173">
        <v>14186.9</v>
      </c>
      <c r="D151" s="173">
        <v>14186.9</v>
      </c>
    </row>
    <row r="152" spans="1:4">
      <c r="A152" s="140" t="s">
        <v>217</v>
      </c>
      <c r="B152" s="140" t="s">
        <v>217</v>
      </c>
      <c r="C152" s="172">
        <v>1131.79</v>
      </c>
      <c r="D152" s="172">
        <v>1131.79</v>
      </c>
    </row>
    <row r="153" spans="1:4">
      <c r="A153" s="139" t="s">
        <v>2696</v>
      </c>
      <c r="B153" s="139" t="s">
        <v>2860</v>
      </c>
      <c r="C153" s="173">
        <v>1131.79</v>
      </c>
      <c r="D153" s="173">
        <v>1131.79</v>
      </c>
    </row>
    <row r="154" spans="1:4">
      <c r="A154" s="140" t="s">
        <v>218</v>
      </c>
      <c r="B154" s="140" t="s">
        <v>218</v>
      </c>
      <c r="C154" s="172">
        <v>5938.8149999999996</v>
      </c>
      <c r="D154" s="172">
        <v>5938.8149999999996</v>
      </c>
    </row>
    <row r="155" spans="1:4">
      <c r="A155" s="139" t="s">
        <v>2697</v>
      </c>
      <c r="B155" s="139" t="s">
        <v>2860</v>
      </c>
      <c r="C155" s="173">
        <v>5938.8149999999996</v>
      </c>
      <c r="D155" s="173">
        <v>5938.8149999999996</v>
      </c>
    </row>
    <row r="156" spans="1:4">
      <c r="A156" s="140" t="s">
        <v>219</v>
      </c>
      <c r="B156" s="140" t="s">
        <v>2904</v>
      </c>
      <c r="C156" s="172">
        <v>31.4</v>
      </c>
      <c r="D156" s="172">
        <v>31.4</v>
      </c>
    </row>
    <row r="157" spans="1:4">
      <c r="A157" s="139" t="s">
        <v>989</v>
      </c>
      <c r="B157" s="139" t="s">
        <v>2860</v>
      </c>
      <c r="C157" s="173">
        <v>31.4</v>
      </c>
      <c r="D157" s="173">
        <v>31.4</v>
      </c>
    </row>
    <row r="158" spans="1:4">
      <c r="A158" s="140" t="s">
        <v>2763</v>
      </c>
      <c r="B158" s="140" t="s">
        <v>2763</v>
      </c>
      <c r="C158" s="172">
        <v>2.9000000000000001E-2</v>
      </c>
      <c r="D158" s="172">
        <v>2.9000000000000001E-2</v>
      </c>
    </row>
    <row r="159" spans="1:4">
      <c r="A159" s="140" t="s">
        <v>2860</v>
      </c>
      <c r="B159" s="140" t="s">
        <v>2762</v>
      </c>
      <c r="C159" s="172">
        <v>3.0000000000000001E-3</v>
      </c>
      <c r="D159" s="172">
        <v>3.0000000000000001E-3</v>
      </c>
    </row>
    <row r="160" spans="1:4">
      <c r="A160" s="139" t="s">
        <v>2764</v>
      </c>
      <c r="B160" s="139" t="s">
        <v>2860</v>
      </c>
      <c r="C160" s="173">
        <v>3.2000000000000001E-2</v>
      </c>
      <c r="D160" s="173">
        <v>3.2000000000000001E-2</v>
      </c>
    </row>
    <row r="161" spans="1:4">
      <c r="A161" s="140" t="s">
        <v>894</v>
      </c>
      <c r="B161" s="140" t="s">
        <v>894</v>
      </c>
      <c r="C161" s="172">
        <v>5500.8209999999999</v>
      </c>
      <c r="D161" s="172">
        <v>5500.4930000000004</v>
      </c>
    </row>
    <row r="162" spans="1:4">
      <c r="A162" s="139" t="s">
        <v>895</v>
      </c>
      <c r="B162" s="139" t="s">
        <v>2860</v>
      </c>
      <c r="C162" s="173">
        <v>5500.8209999999999</v>
      </c>
      <c r="D162" s="173">
        <v>5500.4930000000004</v>
      </c>
    </row>
    <row r="163" spans="1:4">
      <c r="A163" s="140" t="s">
        <v>148</v>
      </c>
      <c r="B163" s="140" t="s">
        <v>149</v>
      </c>
      <c r="C163" s="172">
        <v>3830.913</v>
      </c>
      <c r="D163" s="172">
        <v>3830.913</v>
      </c>
    </row>
    <row r="164" spans="1:4">
      <c r="A164" s="139" t="s">
        <v>150</v>
      </c>
      <c r="B164" s="139" t="s">
        <v>2860</v>
      </c>
      <c r="C164" s="173">
        <v>3830.913</v>
      </c>
      <c r="D164" s="173">
        <v>3830.913</v>
      </c>
    </row>
    <row r="165" spans="1:4">
      <c r="A165" s="140" t="s">
        <v>220</v>
      </c>
      <c r="B165" s="140" t="s">
        <v>220</v>
      </c>
      <c r="C165" s="172">
        <v>26.96</v>
      </c>
      <c r="D165" s="172">
        <v>26.96</v>
      </c>
    </row>
    <row r="166" spans="1:4">
      <c r="A166" s="139" t="s">
        <v>2698</v>
      </c>
      <c r="B166" s="139" t="s">
        <v>2860</v>
      </c>
      <c r="C166" s="173">
        <v>26.96</v>
      </c>
      <c r="D166" s="173">
        <v>26.96</v>
      </c>
    </row>
    <row r="167" spans="1:4">
      <c r="A167" s="140" t="s">
        <v>221</v>
      </c>
      <c r="B167" s="140" t="s">
        <v>221</v>
      </c>
      <c r="C167" s="172">
        <v>5193.0680000000002</v>
      </c>
      <c r="D167" s="172">
        <v>5193.0680000000002</v>
      </c>
    </row>
    <row r="168" spans="1:4">
      <c r="A168" s="139" t="s">
        <v>2699</v>
      </c>
      <c r="B168" s="139" t="s">
        <v>2860</v>
      </c>
      <c r="C168" s="173">
        <v>5193.0680000000002</v>
      </c>
      <c r="D168" s="173">
        <v>5193.0680000000002</v>
      </c>
    </row>
    <row r="169" spans="1:4">
      <c r="A169" s="140" t="s">
        <v>222</v>
      </c>
      <c r="B169" s="140" t="s">
        <v>222</v>
      </c>
      <c r="C169" s="172">
        <v>663.47699999999998</v>
      </c>
      <c r="D169" s="172">
        <v>663.47699999999998</v>
      </c>
    </row>
    <row r="170" spans="1:4">
      <c r="A170" s="139" t="s">
        <v>2700</v>
      </c>
      <c r="B170" s="139" t="s">
        <v>2860</v>
      </c>
      <c r="C170" s="173">
        <v>663.47699999999998</v>
      </c>
      <c r="D170" s="173">
        <v>663.47699999999998</v>
      </c>
    </row>
    <row r="171" spans="1:4">
      <c r="A171" s="140" t="s">
        <v>223</v>
      </c>
      <c r="B171" s="140" t="s">
        <v>223</v>
      </c>
      <c r="C171" s="172">
        <v>219.94</v>
      </c>
      <c r="D171" s="172">
        <v>0.02</v>
      </c>
    </row>
    <row r="172" spans="1:4">
      <c r="A172" s="139" t="s">
        <v>224</v>
      </c>
      <c r="B172" s="139" t="s">
        <v>2860</v>
      </c>
      <c r="C172" s="173">
        <v>219.94</v>
      </c>
      <c r="D172" s="173">
        <v>0.02</v>
      </c>
    </row>
    <row r="173" spans="1:4">
      <c r="A173" s="140" t="s">
        <v>151</v>
      </c>
      <c r="B173" s="140" t="s">
        <v>86</v>
      </c>
      <c r="C173" s="172">
        <v>4784.68</v>
      </c>
      <c r="D173" s="172">
        <v>4784.68</v>
      </c>
    </row>
    <row r="174" spans="1:4">
      <c r="A174" s="140" t="s">
        <v>2860</v>
      </c>
      <c r="B174" s="140" t="s">
        <v>88</v>
      </c>
      <c r="C174" s="172">
        <v>2069.9299999999998</v>
      </c>
      <c r="D174" s="172">
        <v>2069.9299999999998</v>
      </c>
    </row>
    <row r="175" spans="1:4">
      <c r="A175" s="140" t="s">
        <v>2860</v>
      </c>
      <c r="B175" s="140" t="s">
        <v>152</v>
      </c>
      <c r="C175" s="172">
        <v>831.1</v>
      </c>
      <c r="D175" s="172">
        <v>831.1</v>
      </c>
    </row>
    <row r="176" spans="1:4">
      <c r="A176" s="140" t="s">
        <v>2860</v>
      </c>
      <c r="B176" s="140" t="s">
        <v>90</v>
      </c>
      <c r="C176" s="172">
        <v>5084.04</v>
      </c>
      <c r="D176" s="172">
        <v>5084.04</v>
      </c>
    </row>
    <row r="177" spans="1:4">
      <c r="A177" s="139" t="s">
        <v>153</v>
      </c>
      <c r="B177" s="139" t="s">
        <v>2860</v>
      </c>
      <c r="C177" s="173">
        <v>12769.75</v>
      </c>
      <c r="D177" s="173">
        <v>12769.75</v>
      </c>
    </row>
    <row r="178" spans="1:4">
      <c r="A178" s="139" t="s">
        <v>102</v>
      </c>
      <c r="B178" s="139" t="s">
        <v>2860</v>
      </c>
      <c r="C178" s="173">
        <v>394283.81300000002</v>
      </c>
      <c r="D178" s="173">
        <v>360459.63400000002</v>
      </c>
    </row>
  </sheetData>
  <mergeCells count="2">
    <mergeCell ref="A2:D2"/>
    <mergeCell ref="A1:D1"/>
  </mergeCells>
  <pageMargins left="0.7" right="0.7" top="0.75" bottom="0.75" header="0.3" footer="0.3"/>
  <pageSetup orientation="portrait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N5"/>
  <sheetViews>
    <sheetView workbookViewId="0">
      <selection activeCell="J1" sqref="J1"/>
    </sheetView>
  </sheetViews>
  <sheetFormatPr defaultColWidth="9" defaultRowHeight="15"/>
  <cols>
    <col min="1" max="1" width="13" customWidth="1"/>
    <col min="2" max="2" width="28" customWidth="1"/>
    <col min="3" max="3" width="29.5703125" customWidth="1"/>
    <col min="5" max="5" width="12.28515625" customWidth="1"/>
    <col min="6" max="6" width="13.28515625" customWidth="1"/>
  </cols>
  <sheetData>
    <row r="2" spans="1:14" ht="16.5">
      <c r="I2" s="59" t="s">
        <v>225</v>
      </c>
      <c r="J2" s="59" t="s">
        <v>226</v>
      </c>
      <c r="K2" s="59" t="s">
        <v>227</v>
      </c>
      <c r="L2" s="59" t="s">
        <v>228</v>
      </c>
      <c r="M2" s="60" t="s">
        <v>229</v>
      </c>
      <c r="N2" s="60" t="s">
        <v>230</v>
      </c>
    </row>
    <row r="3" spans="1:14" ht="30">
      <c r="A3" s="53" t="s">
        <v>231</v>
      </c>
      <c r="B3" s="53" t="s">
        <v>232</v>
      </c>
      <c r="C3" s="53" t="s">
        <v>233</v>
      </c>
      <c r="D3" s="54" t="s">
        <v>101</v>
      </c>
      <c r="E3" s="54" t="s">
        <v>234</v>
      </c>
      <c r="F3" s="54" t="s">
        <v>235</v>
      </c>
      <c r="G3" s="55" t="s">
        <v>236</v>
      </c>
      <c r="H3" s="55" t="s">
        <v>237</v>
      </c>
      <c r="I3" s="61">
        <v>45889</v>
      </c>
      <c r="J3" s="61">
        <f>+I3+1</f>
        <v>45890</v>
      </c>
      <c r="K3" s="61">
        <f>+J3+1</f>
        <v>45891</v>
      </c>
      <c r="L3" s="61">
        <f>+K3+1</f>
        <v>45892</v>
      </c>
      <c r="M3" s="61">
        <f>+L3+1</f>
        <v>45893</v>
      </c>
      <c r="N3" s="61">
        <f>+M3+1</f>
        <v>45894</v>
      </c>
    </row>
    <row r="4" spans="1:14" ht="24">
      <c r="A4" s="55">
        <v>6079</v>
      </c>
      <c r="B4" s="55" t="s">
        <v>238</v>
      </c>
      <c r="C4" s="56" t="s">
        <v>239</v>
      </c>
      <c r="D4" s="57"/>
      <c r="E4" s="57" t="s">
        <v>240</v>
      </c>
      <c r="F4" s="58" t="s">
        <v>241</v>
      </c>
      <c r="G4" s="55">
        <v>100</v>
      </c>
      <c r="H4" s="55">
        <v>400</v>
      </c>
      <c r="I4" s="62"/>
      <c r="J4" s="62"/>
      <c r="K4" s="62"/>
      <c r="L4" s="62"/>
      <c r="M4" s="62"/>
      <c r="N4" s="62"/>
    </row>
    <row r="5" spans="1:14" ht="24">
      <c r="A5" s="55">
        <v>6080</v>
      </c>
      <c r="B5" s="55" t="s">
        <v>242</v>
      </c>
      <c r="C5" s="56" t="s">
        <v>243</v>
      </c>
      <c r="D5" s="57"/>
      <c r="E5" s="57" t="s">
        <v>240</v>
      </c>
      <c r="F5" s="58" t="s">
        <v>241</v>
      </c>
      <c r="G5" s="55">
        <v>100</v>
      </c>
      <c r="H5" s="55">
        <v>400</v>
      </c>
      <c r="I5" s="62"/>
      <c r="J5" s="62"/>
      <c r="K5" s="62"/>
      <c r="L5" s="62"/>
      <c r="M5" s="62"/>
      <c r="N5" s="6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C072-FE9A-458A-97E3-E216571BBF3F}">
  <sheetPr codeName="Sheet17"/>
  <dimension ref="A1:D78"/>
  <sheetViews>
    <sheetView workbookViewId="0">
      <selection activeCell="D78" sqref="A1:D78"/>
    </sheetView>
  </sheetViews>
  <sheetFormatPr defaultRowHeight="15"/>
  <cols>
    <col min="1" max="1" width="50.7109375" style="63" customWidth="1"/>
    <col min="2" max="2" width="11.7109375" style="63" customWidth="1"/>
    <col min="3" max="3" width="12" style="63" customWidth="1"/>
    <col min="4" max="4" width="12.85546875" style="63" bestFit="1" customWidth="1"/>
  </cols>
  <sheetData>
    <row r="1" spans="1:4" ht="18">
      <c r="A1" s="216" t="s">
        <v>2702</v>
      </c>
      <c r="B1" s="216"/>
      <c r="C1" s="216"/>
      <c r="D1" s="216"/>
    </row>
    <row r="2" spans="1:4">
      <c r="A2" s="215" t="s">
        <v>3273</v>
      </c>
      <c r="B2" s="215"/>
      <c r="C2" s="215"/>
      <c r="D2" s="215"/>
    </row>
    <row r="3" spans="1:4">
      <c r="A3" s="90" t="s">
        <v>2703</v>
      </c>
      <c r="B3" s="90" t="s">
        <v>97</v>
      </c>
      <c r="C3" s="90" t="s">
        <v>247</v>
      </c>
      <c r="D3" s="90" t="s">
        <v>248</v>
      </c>
    </row>
    <row r="4" spans="1:4">
      <c r="A4" s="280" t="s">
        <v>2766</v>
      </c>
      <c r="B4" s="278" t="s">
        <v>250</v>
      </c>
      <c r="C4" s="283">
        <v>1241.9380000000001</v>
      </c>
      <c r="D4" s="283">
        <v>1140.0994000000001</v>
      </c>
    </row>
    <row r="5" spans="1:4">
      <c r="A5" s="280"/>
      <c r="B5" s="278" t="s">
        <v>253</v>
      </c>
      <c r="C5" s="283">
        <v>38.875</v>
      </c>
      <c r="D5" s="283">
        <v>29.156300000000002</v>
      </c>
    </row>
    <row r="6" spans="1:4">
      <c r="A6" s="281" t="s">
        <v>2767</v>
      </c>
      <c r="B6" s="281"/>
      <c r="C6" s="284">
        <v>1280.8130000000001</v>
      </c>
      <c r="D6" s="284">
        <v>1169.2557000000002</v>
      </c>
    </row>
    <row r="7" spans="1:4">
      <c r="A7" s="280" t="s">
        <v>2716</v>
      </c>
      <c r="B7" s="278" t="s">
        <v>250</v>
      </c>
      <c r="C7" s="283">
        <v>1031.8510000000003</v>
      </c>
      <c r="D7" s="283">
        <v>945.89649999999983</v>
      </c>
    </row>
    <row r="8" spans="1:4">
      <c r="A8" s="281" t="s">
        <v>2717</v>
      </c>
      <c r="B8" s="281"/>
      <c r="C8" s="284">
        <v>1031.8510000000003</v>
      </c>
      <c r="D8" s="284">
        <v>945.89649999999983</v>
      </c>
    </row>
    <row r="9" spans="1:4">
      <c r="A9" s="280" t="s">
        <v>2771</v>
      </c>
      <c r="B9" s="278" t="s">
        <v>253</v>
      </c>
      <c r="C9" s="283">
        <v>707.07999999999993</v>
      </c>
      <c r="D9" s="283">
        <v>530.30999999999995</v>
      </c>
    </row>
    <row r="10" spans="1:4">
      <c r="A10" s="281" t="s">
        <v>2772</v>
      </c>
      <c r="B10" s="281"/>
      <c r="C10" s="284">
        <v>707.07999999999993</v>
      </c>
      <c r="D10" s="284">
        <v>530.30999999999995</v>
      </c>
    </row>
    <row r="11" spans="1:4">
      <c r="A11" s="280" t="s">
        <v>2773</v>
      </c>
      <c r="B11" s="278" t="s">
        <v>250</v>
      </c>
      <c r="C11" s="283">
        <v>184.12</v>
      </c>
      <c r="D11" s="283">
        <v>169.02209999999999</v>
      </c>
    </row>
    <row r="12" spans="1:4">
      <c r="A12" s="280"/>
      <c r="B12" s="278" t="s">
        <v>253</v>
      </c>
      <c r="C12" s="283">
        <v>104.09</v>
      </c>
      <c r="D12" s="283">
        <v>78.067499999999995</v>
      </c>
    </row>
    <row r="13" spans="1:4">
      <c r="A13" s="281" t="s">
        <v>2774</v>
      </c>
      <c r="B13" s="281"/>
      <c r="C13" s="284">
        <v>288.21000000000004</v>
      </c>
      <c r="D13" s="284">
        <v>247.08959999999999</v>
      </c>
    </row>
    <row r="14" spans="1:4">
      <c r="A14" s="280" t="s">
        <v>2798</v>
      </c>
      <c r="B14" s="278" t="s">
        <v>250</v>
      </c>
      <c r="C14" s="283">
        <v>611.00300000000016</v>
      </c>
      <c r="D14" s="283">
        <v>560.82349999999997</v>
      </c>
    </row>
    <row r="15" spans="1:4">
      <c r="A15" s="280"/>
      <c r="B15" s="278" t="s">
        <v>253</v>
      </c>
      <c r="C15" s="283">
        <v>15.736000000000001</v>
      </c>
      <c r="D15" s="283">
        <v>11.802</v>
      </c>
    </row>
    <row r="16" spans="1:4">
      <c r="A16" s="281" t="s">
        <v>2802</v>
      </c>
      <c r="B16" s="281"/>
      <c r="C16" s="284">
        <v>626.73900000000015</v>
      </c>
      <c r="D16" s="284">
        <v>572.62549999999999</v>
      </c>
    </row>
    <row r="17" spans="1:4">
      <c r="A17" s="280" t="s">
        <v>2800</v>
      </c>
      <c r="B17" s="278" t="s">
        <v>250</v>
      </c>
      <c r="C17" s="283">
        <v>398.03700000000003</v>
      </c>
      <c r="D17" s="283">
        <v>365.39800000000014</v>
      </c>
    </row>
    <row r="18" spans="1:4">
      <c r="A18" s="280"/>
      <c r="B18" s="278" t="s">
        <v>253</v>
      </c>
      <c r="C18" s="283">
        <v>122.026</v>
      </c>
      <c r="D18" s="283">
        <v>91.519600000000011</v>
      </c>
    </row>
    <row r="19" spans="1:4">
      <c r="A19" s="281" t="s">
        <v>2803</v>
      </c>
      <c r="B19" s="281"/>
      <c r="C19" s="284">
        <v>520.06299999999999</v>
      </c>
      <c r="D19" s="284">
        <v>456.91760000000016</v>
      </c>
    </row>
    <row r="20" spans="1:4">
      <c r="A20" s="280" t="s">
        <v>2811</v>
      </c>
      <c r="B20" s="278" t="s">
        <v>250</v>
      </c>
      <c r="C20" s="283">
        <v>4.59</v>
      </c>
      <c r="D20" s="283">
        <v>4.2135999999999996</v>
      </c>
    </row>
    <row r="21" spans="1:4">
      <c r="A21" s="280"/>
      <c r="B21" s="278" t="s">
        <v>253</v>
      </c>
      <c r="C21" s="283">
        <v>9.7569999999999997</v>
      </c>
      <c r="D21" s="283">
        <v>7.3178000000000001</v>
      </c>
    </row>
    <row r="22" spans="1:4">
      <c r="A22" s="281" t="s">
        <v>2812</v>
      </c>
      <c r="B22" s="281"/>
      <c r="C22" s="284">
        <v>14.347</v>
      </c>
      <c r="D22" s="284">
        <v>11.5314</v>
      </c>
    </row>
    <row r="23" spans="1:4">
      <c r="A23" s="280" t="s">
        <v>2816</v>
      </c>
      <c r="B23" s="278" t="s">
        <v>253</v>
      </c>
      <c r="C23" s="283">
        <v>380.51</v>
      </c>
      <c r="D23" s="283">
        <v>285.38249999999999</v>
      </c>
    </row>
    <row r="24" spans="1:4">
      <c r="A24" s="281" t="s">
        <v>2820</v>
      </c>
      <c r="B24" s="281"/>
      <c r="C24" s="284">
        <v>380.51</v>
      </c>
      <c r="D24" s="284">
        <v>285.38249999999999</v>
      </c>
    </row>
    <row r="25" spans="1:4">
      <c r="A25" s="280" t="s">
        <v>2817</v>
      </c>
      <c r="B25" s="278" t="s">
        <v>250</v>
      </c>
      <c r="C25" s="283">
        <v>1090.83</v>
      </c>
      <c r="D25" s="283">
        <v>1001.3819000000001</v>
      </c>
    </row>
    <row r="26" spans="1:4">
      <c r="A26" s="280"/>
      <c r="B26" s="278" t="s">
        <v>253</v>
      </c>
      <c r="C26" s="283">
        <v>16.097000000000001</v>
      </c>
      <c r="D26" s="283">
        <v>12.072800000000001</v>
      </c>
    </row>
    <row r="27" spans="1:4">
      <c r="A27" s="281" t="s">
        <v>2821</v>
      </c>
      <c r="B27" s="281"/>
      <c r="C27" s="284">
        <v>1106.9269999999999</v>
      </c>
      <c r="D27" s="284">
        <v>1013.4547000000001</v>
      </c>
    </row>
    <row r="28" spans="1:4">
      <c r="A28" s="280" t="s">
        <v>2827</v>
      </c>
      <c r="B28" s="278" t="s">
        <v>250</v>
      </c>
      <c r="C28" s="283">
        <v>372.02100000000007</v>
      </c>
      <c r="D28" s="283">
        <v>341.46150000000006</v>
      </c>
    </row>
    <row r="29" spans="1:4">
      <c r="A29" s="280"/>
      <c r="B29" s="278" t="s">
        <v>253</v>
      </c>
      <c r="C29" s="283">
        <v>30.2</v>
      </c>
      <c r="D29" s="283">
        <v>22.65</v>
      </c>
    </row>
    <row r="30" spans="1:4">
      <c r="A30" s="281" t="s">
        <v>2828</v>
      </c>
      <c r="B30" s="281"/>
      <c r="C30" s="284">
        <v>402.22100000000006</v>
      </c>
      <c r="D30" s="284">
        <v>364.11150000000004</v>
      </c>
    </row>
    <row r="31" spans="1:4">
      <c r="A31" s="280" t="s">
        <v>2829</v>
      </c>
      <c r="B31" s="278" t="s">
        <v>250</v>
      </c>
      <c r="C31" s="283">
        <v>480.90300000000002</v>
      </c>
      <c r="D31" s="283">
        <v>440.50720000000001</v>
      </c>
    </row>
    <row r="32" spans="1:4">
      <c r="A32" s="281" t="s">
        <v>2831</v>
      </c>
      <c r="B32" s="281"/>
      <c r="C32" s="284">
        <v>480.90300000000002</v>
      </c>
      <c r="D32" s="284">
        <v>440.50720000000001</v>
      </c>
    </row>
    <row r="33" spans="1:4">
      <c r="A33" s="280" t="s">
        <v>2836</v>
      </c>
      <c r="B33" s="278" t="s">
        <v>253</v>
      </c>
      <c r="C33" s="283">
        <v>636.1400000000001</v>
      </c>
      <c r="D33" s="283">
        <v>477.10499999999996</v>
      </c>
    </row>
    <row r="34" spans="1:4">
      <c r="A34" s="281" t="s">
        <v>2838</v>
      </c>
      <c r="B34" s="281"/>
      <c r="C34" s="284">
        <v>636.1400000000001</v>
      </c>
      <c r="D34" s="284">
        <v>477.10499999999996</v>
      </c>
    </row>
    <row r="35" spans="1:4">
      <c r="A35" s="280" t="s">
        <v>2837</v>
      </c>
      <c r="B35" s="278" t="s">
        <v>250</v>
      </c>
      <c r="C35" s="283">
        <v>351.34199999999993</v>
      </c>
      <c r="D35" s="283">
        <v>322.53190000000001</v>
      </c>
    </row>
    <row r="36" spans="1:4">
      <c r="A36" s="280"/>
      <c r="B36" s="278" t="s">
        <v>253</v>
      </c>
      <c r="C36" s="283">
        <v>261.42599999999999</v>
      </c>
      <c r="D36" s="283">
        <v>196.06980000000001</v>
      </c>
    </row>
    <row r="37" spans="1:4">
      <c r="A37" s="281" t="s">
        <v>2839</v>
      </c>
      <c r="B37" s="281"/>
      <c r="C37" s="284">
        <v>612.76799999999992</v>
      </c>
      <c r="D37" s="284">
        <v>518.60170000000005</v>
      </c>
    </row>
    <row r="38" spans="1:4">
      <c r="A38" s="280" t="s">
        <v>2842</v>
      </c>
      <c r="B38" s="278" t="s">
        <v>250</v>
      </c>
      <c r="C38" s="283">
        <v>29.311</v>
      </c>
      <c r="D38" s="283">
        <v>26.907399999999999</v>
      </c>
    </row>
    <row r="39" spans="1:4">
      <c r="A39" s="281" t="s">
        <v>2851</v>
      </c>
      <c r="B39" s="281"/>
      <c r="C39" s="284">
        <v>29.311</v>
      </c>
      <c r="D39" s="284">
        <v>26.907399999999999</v>
      </c>
    </row>
    <row r="40" spans="1:4">
      <c r="A40" s="280" t="s">
        <v>2844</v>
      </c>
      <c r="B40" s="278" t="s">
        <v>250</v>
      </c>
      <c r="C40" s="283">
        <v>407.47</v>
      </c>
      <c r="D40" s="283">
        <v>374.0575</v>
      </c>
    </row>
    <row r="41" spans="1:4">
      <c r="A41" s="281" t="s">
        <v>2852</v>
      </c>
      <c r="B41" s="281"/>
      <c r="C41" s="284">
        <v>407.47</v>
      </c>
      <c r="D41" s="284">
        <v>374.0575</v>
      </c>
    </row>
    <row r="42" spans="1:4">
      <c r="A42" s="280" t="s">
        <v>2846</v>
      </c>
      <c r="B42" s="278" t="s">
        <v>250</v>
      </c>
      <c r="C42" s="283">
        <v>15.698999999999998</v>
      </c>
      <c r="D42" s="283">
        <v>14.4117</v>
      </c>
    </row>
    <row r="43" spans="1:4">
      <c r="A43" s="280"/>
      <c r="B43" s="278" t="s">
        <v>253</v>
      </c>
      <c r="C43" s="283">
        <v>8.5500000000000007</v>
      </c>
      <c r="D43" s="283">
        <v>6.4124999999999996</v>
      </c>
    </row>
    <row r="44" spans="1:4">
      <c r="A44" s="281" t="s">
        <v>2853</v>
      </c>
      <c r="B44" s="281"/>
      <c r="C44" s="284">
        <v>24.248999999999999</v>
      </c>
      <c r="D44" s="284">
        <v>20.824199999999998</v>
      </c>
    </row>
    <row r="45" spans="1:4">
      <c r="A45" s="280" t="s">
        <v>2848</v>
      </c>
      <c r="B45" s="278" t="s">
        <v>250</v>
      </c>
      <c r="C45" s="283">
        <v>55.013999999999996</v>
      </c>
      <c r="D45" s="283">
        <v>50.502999999999993</v>
      </c>
    </row>
    <row r="46" spans="1:4">
      <c r="A46" s="281" t="s">
        <v>2854</v>
      </c>
      <c r="B46" s="281"/>
      <c r="C46" s="284">
        <v>55.013999999999996</v>
      </c>
      <c r="D46" s="284">
        <v>50.502999999999993</v>
      </c>
    </row>
    <row r="47" spans="1:4">
      <c r="A47" s="280" t="s">
        <v>2850</v>
      </c>
      <c r="B47" s="278" t="s">
        <v>250</v>
      </c>
      <c r="C47" s="283">
        <v>50.731999999999999</v>
      </c>
      <c r="D47" s="283">
        <v>46.572000000000003</v>
      </c>
    </row>
    <row r="48" spans="1:4">
      <c r="A48" s="280"/>
      <c r="B48" s="278" t="s">
        <v>253</v>
      </c>
      <c r="C48" s="283">
        <v>126.21799999999999</v>
      </c>
      <c r="D48" s="283">
        <v>94.663600000000002</v>
      </c>
    </row>
    <row r="49" spans="1:4">
      <c r="A49" s="281" t="s">
        <v>2855</v>
      </c>
      <c r="B49" s="281"/>
      <c r="C49" s="284">
        <v>176.95</v>
      </c>
      <c r="D49" s="284">
        <v>141.23560000000001</v>
      </c>
    </row>
    <row r="50" spans="1:4">
      <c r="A50" s="280" t="s">
        <v>2905</v>
      </c>
      <c r="B50" s="278" t="s">
        <v>250</v>
      </c>
      <c r="C50" s="283">
        <v>72.617999999999995</v>
      </c>
      <c r="D50" s="283">
        <v>66.663300000000007</v>
      </c>
    </row>
    <row r="51" spans="1:4">
      <c r="A51" s="280"/>
      <c r="B51" s="278" t="s">
        <v>253</v>
      </c>
      <c r="C51" s="283">
        <v>162.13</v>
      </c>
      <c r="D51" s="283">
        <v>121.5975</v>
      </c>
    </row>
    <row r="52" spans="1:4">
      <c r="A52" s="281" t="s">
        <v>2909</v>
      </c>
      <c r="B52" s="281"/>
      <c r="C52" s="284">
        <v>234.74799999999999</v>
      </c>
      <c r="D52" s="284">
        <v>188.26080000000002</v>
      </c>
    </row>
    <row r="53" spans="1:4">
      <c r="A53" s="280" t="s">
        <v>2944</v>
      </c>
      <c r="B53" s="278" t="s">
        <v>250</v>
      </c>
      <c r="C53" s="283">
        <v>3378.3900000000003</v>
      </c>
      <c r="D53" s="283">
        <v>3101.3620000000001</v>
      </c>
    </row>
    <row r="54" spans="1:4">
      <c r="A54" s="281" t="s">
        <v>2963</v>
      </c>
      <c r="B54" s="281"/>
      <c r="C54" s="284">
        <v>3378.3900000000003</v>
      </c>
      <c r="D54" s="284">
        <v>3101.3620000000001</v>
      </c>
    </row>
    <row r="55" spans="1:4">
      <c r="A55" s="280" t="s">
        <v>2947</v>
      </c>
      <c r="B55" s="278" t="s">
        <v>250</v>
      </c>
      <c r="C55" s="283">
        <v>226.99599999999998</v>
      </c>
      <c r="D55" s="283">
        <v>208.29150000000001</v>
      </c>
    </row>
    <row r="56" spans="1:4">
      <c r="A56" s="281" t="s">
        <v>2964</v>
      </c>
      <c r="B56" s="281"/>
      <c r="C56" s="284">
        <v>226.99599999999998</v>
      </c>
      <c r="D56" s="284">
        <v>208.29150000000001</v>
      </c>
    </row>
    <row r="57" spans="1:4">
      <c r="A57" s="280" t="s">
        <v>2952</v>
      </c>
      <c r="B57" s="278" t="s">
        <v>253</v>
      </c>
      <c r="C57" s="283">
        <v>679.76800000000003</v>
      </c>
      <c r="D57" s="283">
        <v>509.82600000000002</v>
      </c>
    </row>
    <row r="58" spans="1:4">
      <c r="A58" s="281" t="s">
        <v>2965</v>
      </c>
      <c r="B58" s="281"/>
      <c r="C58" s="284">
        <v>679.76800000000003</v>
      </c>
      <c r="D58" s="284">
        <v>509.82600000000002</v>
      </c>
    </row>
    <row r="59" spans="1:4">
      <c r="A59" s="280" t="s">
        <v>2957</v>
      </c>
      <c r="B59" s="278" t="s">
        <v>250</v>
      </c>
      <c r="C59" s="283">
        <v>4.4740000000000002</v>
      </c>
      <c r="D59" s="283">
        <v>4.0980999999999996</v>
      </c>
    </row>
    <row r="60" spans="1:4">
      <c r="A60" s="281" t="s">
        <v>2966</v>
      </c>
      <c r="B60" s="281"/>
      <c r="C60" s="284">
        <v>4.4740000000000002</v>
      </c>
      <c r="D60" s="284">
        <v>4.0980999999999996</v>
      </c>
    </row>
    <row r="61" spans="1:4">
      <c r="A61" s="280" t="s">
        <v>2960</v>
      </c>
      <c r="B61" s="278" t="s">
        <v>253</v>
      </c>
      <c r="C61" s="283">
        <v>308.39</v>
      </c>
      <c r="D61" s="283">
        <v>231.29249999999999</v>
      </c>
    </row>
    <row r="62" spans="1:4">
      <c r="A62" s="281" t="s">
        <v>2967</v>
      </c>
      <c r="B62" s="281"/>
      <c r="C62" s="284">
        <v>308.39</v>
      </c>
      <c r="D62" s="284">
        <v>231.29249999999999</v>
      </c>
    </row>
    <row r="63" spans="1:4">
      <c r="A63" s="280" t="s">
        <v>2962</v>
      </c>
      <c r="B63" s="278" t="s">
        <v>250</v>
      </c>
      <c r="C63" s="283">
        <v>34.207999999999998</v>
      </c>
      <c r="D63" s="283">
        <v>31.403100000000002</v>
      </c>
    </row>
    <row r="64" spans="1:4">
      <c r="A64" s="281" t="s">
        <v>2968</v>
      </c>
      <c r="B64" s="281"/>
      <c r="C64" s="284">
        <v>34.207999999999998</v>
      </c>
      <c r="D64" s="284">
        <v>31.403100000000002</v>
      </c>
    </row>
    <row r="65" spans="1:4">
      <c r="A65" s="280" t="s">
        <v>3276</v>
      </c>
      <c r="B65" s="278" t="s">
        <v>253</v>
      </c>
      <c r="C65" s="283">
        <v>247.95</v>
      </c>
      <c r="D65" s="283">
        <v>185.96250000000001</v>
      </c>
    </row>
    <row r="66" spans="1:4">
      <c r="A66" s="281" t="s">
        <v>3304</v>
      </c>
      <c r="B66" s="281"/>
      <c r="C66" s="284">
        <v>247.95</v>
      </c>
      <c r="D66" s="284">
        <v>185.96250000000001</v>
      </c>
    </row>
    <row r="67" spans="1:4">
      <c r="A67" s="280" t="s">
        <v>3305</v>
      </c>
      <c r="B67" s="278" t="s">
        <v>259</v>
      </c>
      <c r="C67" s="283">
        <v>510.9</v>
      </c>
      <c r="D67" s="283">
        <v>508.34550000000002</v>
      </c>
    </row>
    <row r="68" spans="1:4">
      <c r="A68" s="281" t="s">
        <v>3306</v>
      </c>
      <c r="B68" s="281"/>
      <c r="C68" s="284">
        <v>510.9</v>
      </c>
      <c r="D68" s="284">
        <v>508.34550000000002</v>
      </c>
    </row>
    <row r="69" spans="1:4">
      <c r="A69" s="280" t="s">
        <v>3279</v>
      </c>
      <c r="B69" s="278" t="s">
        <v>253</v>
      </c>
      <c r="C69" s="283">
        <v>7.97</v>
      </c>
      <c r="D69" s="283">
        <v>5.9775999999999998</v>
      </c>
    </row>
    <row r="70" spans="1:4">
      <c r="A70" s="281" t="s">
        <v>3307</v>
      </c>
      <c r="B70" s="281"/>
      <c r="C70" s="284">
        <v>7.97</v>
      </c>
      <c r="D70" s="284">
        <v>5.9775999999999998</v>
      </c>
    </row>
    <row r="71" spans="1:4">
      <c r="A71" s="280" t="s">
        <v>3283</v>
      </c>
      <c r="B71" s="278" t="s">
        <v>250</v>
      </c>
      <c r="C71" s="283">
        <v>17.616</v>
      </c>
      <c r="D71" s="283">
        <v>16.136299999999999</v>
      </c>
    </row>
    <row r="72" spans="1:4">
      <c r="A72" s="280"/>
      <c r="B72" s="278" t="s">
        <v>253</v>
      </c>
      <c r="C72" s="283">
        <v>72.430000000000021</v>
      </c>
      <c r="D72" s="283">
        <v>54.322899999999997</v>
      </c>
    </row>
    <row r="73" spans="1:4">
      <c r="A73" s="281" t="s">
        <v>3308</v>
      </c>
      <c r="B73" s="281"/>
      <c r="C73" s="284">
        <v>90.046000000000021</v>
      </c>
      <c r="D73" s="284">
        <v>70.459199999999996</v>
      </c>
    </row>
    <row r="74" spans="1:4">
      <c r="A74" s="280" t="s">
        <v>3284</v>
      </c>
      <c r="B74" s="278" t="s">
        <v>253</v>
      </c>
      <c r="C74" s="283">
        <v>34.045000000000002</v>
      </c>
      <c r="D74" s="283">
        <v>25.533899999999999</v>
      </c>
    </row>
    <row r="75" spans="1:4">
      <c r="A75" s="281" t="s">
        <v>3309</v>
      </c>
      <c r="B75" s="281"/>
      <c r="C75" s="284">
        <v>34.045000000000002</v>
      </c>
      <c r="D75" s="284">
        <v>25.533899999999999</v>
      </c>
    </row>
    <row r="76" spans="1:4">
      <c r="A76" s="280" t="s">
        <v>3290</v>
      </c>
      <c r="B76" s="278" t="s">
        <v>253</v>
      </c>
      <c r="C76" s="283">
        <v>153.11000000000001</v>
      </c>
      <c r="D76" s="283">
        <v>114.8325</v>
      </c>
    </row>
    <row r="77" spans="1:4">
      <c r="A77" s="281" t="s">
        <v>3310</v>
      </c>
      <c r="B77" s="281"/>
      <c r="C77" s="284">
        <v>153.11000000000001</v>
      </c>
      <c r="D77" s="284">
        <v>114.8325</v>
      </c>
    </row>
    <row r="78" spans="1:4">
      <c r="A78" s="282" t="s">
        <v>102</v>
      </c>
      <c r="B78" s="282"/>
      <c r="C78" s="285">
        <v>14692.560999999998</v>
      </c>
      <c r="D78" s="285">
        <v>12831.961799999997</v>
      </c>
    </row>
  </sheetData>
  <mergeCells count="2">
    <mergeCell ref="A2:D2"/>
    <mergeCell ref="A1:D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Header>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3F40-055E-43B5-B469-CFDF104BAE1D}">
  <sheetPr codeName="Sheet18"/>
  <dimension ref="A3:D79"/>
  <sheetViews>
    <sheetView workbookViewId="0">
      <selection activeCell="D79" sqref="A4:D79"/>
    </sheetView>
  </sheetViews>
  <sheetFormatPr defaultRowHeight="15"/>
  <cols>
    <col min="1" max="1" width="60.42578125" bestFit="1" customWidth="1"/>
    <col min="2" max="2" width="7.7109375" bestFit="1" customWidth="1"/>
    <col min="3" max="3" width="14.140625" bestFit="1" customWidth="1"/>
    <col min="4" max="4" width="12.85546875" bestFit="1" customWidth="1"/>
  </cols>
  <sheetData>
    <row r="3" spans="1:4">
      <c r="C3" s="72" t="s">
        <v>262</v>
      </c>
    </row>
    <row r="4" spans="1:4">
      <c r="A4" s="72" t="s">
        <v>2703</v>
      </c>
      <c r="B4" s="72" t="s">
        <v>2769</v>
      </c>
      <c r="C4" t="s">
        <v>263</v>
      </c>
      <c r="D4" t="s">
        <v>264</v>
      </c>
    </row>
    <row r="5" spans="1:4">
      <c r="A5" t="s">
        <v>2766</v>
      </c>
      <c r="B5" t="s">
        <v>250</v>
      </c>
      <c r="C5" s="279">
        <v>1241.9380000000001</v>
      </c>
      <c r="D5" s="279">
        <v>1140.0994000000001</v>
      </c>
    </row>
    <row r="6" spans="1:4">
      <c r="B6" t="s">
        <v>253</v>
      </c>
      <c r="C6" s="279">
        <v>38.875</v>
      </c>
      <c r="D6" s="279">
        <v>29.156300000000002</v>
      </c>
    </row>
    <row r="7" spans="1:4">
      <c r="A7" t="s">
        <v>2767</v>
      </c>
      <c r="C7" s="279">
        <v>1280.8130000000001</v>
      </c>
      <c r="D7" s="279">
        <v>1169.2557000000002</v>
      </c>
    </row>
    <row r="8" spans="1:4">
      <c r="A8" t="s">
        <v>2716</v>
      </c>
      <c r="B8" t="s">
        <v>250</v>
      </c>
      <c r="C8" s="279">
        <v>1031.8510000000003</v>
      </c>
      <c r="D8" s="279">
        <v>945.89649999999983</v>
      </c>
    </row>
    <row r="9" spans="1:4">
      <c r="A9" t="s">
        <v>2717</v>
      </c>
      <c r="C9" s="279">
        <v>1031.8510000000003</v>
      </c>
      <c r="D9" s="279">
        <v>945.89649999999983</v>
      </c>
    </row>
    <row r="10" spans="1:4">
      <c r="A10" t="s">
        <v>2771</v>
      </c>
      <c r="B10" t="s">
        <v>253</v>
      </c>
      <c r="C10" s="279">
        <v>707.07999999999993</v>
      </c>
      <c r="D10" s="279">
        <v>530.30999999999995</v>
      </c>
    </row>
    <row r="11" spans="1:4">
      <c r="A11" t="s">
        <v>2772</v>
      </c>
      <c r="C11" s="279">
        <v>707.07999999999993</v>
      </c>
      <c r="D11" s="279">
        <v>530.30999999999995</v>
      </c>
    </row>
    <row r="12" spans="1:4">
      <c r="A12" t="s">
        <v>2773</v>
      </c>
      <c r="B12" t="s">
        <v>250</v>
      </c>
      <c r="C12" s="279">
        <v>184.12</v>
      </c>
      <c r="D12" s="279">
        <v>169.02209999999999</v>
      </c>
    </row>
    <row r="13" spans="1:4">
      <c r="B13" t="s">
        <v>253</v>
      </c>
      <c r="C13" s="279">
        <v>104.09</v>
      </c>
      <c r="D13" s="279">
        <v>78.067499999999995</v>
      </c>
    </row>
    <row r="14" spans="1:4">
      <c r="A14" t="s">
        <v>2774</v>
      </c>
      <c r="C14" s="279">
        <v>288.21000000000004</v>
      </c>
      <c r="D14" s="279">
        <v>247.08959999999999</v>
      </c>
    </row>
    <row r="15" spans="1:4">
      <c r="A15" t="s">
        <v>2798</v>
      </c>
      <c r="B15" t="s">
        <v>250</v>
      </c>
      <c r="C15" s="279">
        <v>611.00300000000016</v>
      </c>
      <c r="D15" s="279">
        <v>560.82349999999997</v>
      </c>
    </row>
    <row r="16" spans="1:4">
      <c r="B16" t="s">
        <v>253</v>
      </c>
      <c r="C16" s="279">
        <v>15.736000000000001</v>
      </c>
      <c r="D16" s="279">
        <v>11.802</v>
      </c>
    </row>
    <row r="17" spans="1:4">
      <c r="A17" t="s">
        <v>2802</v>
      </c>
      <c r="C17" s="279">
        <v>626.73900000000015</v>
      </c>
      <c r="D17" s="279">
        <v>572.62549999999999</v>
      </c>
    </row>
    <row r="18" spans="1:4">
      <c r="A18" t="s">
        <v>2800</v>
      </c>
      <c r="B18" t="s">
        <v>250</v>
      </c>
      <c r="C18" s="279">
        <v>398.03700000000003</v>
      </c>
      <c r="D18" s="279">
        <v>365.39800000000014</v>
      </c>
    </row>
    <row r="19" spans="1:4">
      <c r="B19" t="s">
        <v>253</v>
      </c>
      <c r="C19" s="279">
        <v>122.026</v>
      </c>
      <c r="D19" s="279">
        <v>91.519600000000011</v>
      </c>
    </row>
    <row r="20" spans="1:4">
      <c r="A20" t="s">
        <v>2803</v>
      </c>
      <c r="C20" s="279">
        <v>520.06299999999999</v>
      </c>
      <c r="D20" s="279">
        <v>456.91760000000016</v>
      </c>
    </row>
    <row r="21" spans="1:4">
      <c r="A21" t="s">
        <v>2811</v>
      </c>
      <c r="B21" t="s">
        <v>250</v>
      </c>
      <c r="C21" s="279">
        <v>4.59</v>
      </c>
      <c r="D21" s="279">
        <v>4.2135999999999996</v>
      </c>
    </row>
    <row r="22" spans="1:4">
      <c r="B22" t="s">
        <v>253</v>
      </c>
      <c r="C22" s="279">
        <v>9.7569999999999997</v>
      </c>
      <c r="D22" s="279">
        <v>7.3178000000000001</v>
      </c>
    </row>
    <row r="23" spans="1:4">
      <c r="A23" t="s">
        <v>2812</v>
      </c>
      <c r="C23" s="279">
        <v>14.347</v>
      </c>
      <c r="D23" s="279">
        <v>11.5314</v>
      </c>
    </row>
    <row r="24" spans="1:4">
      <c r="A24" t="s">
        <v>2816</v>
      </c>
      <c r="B24" t="s">
        <v>253</v>
      </c>
      <c r="C24" s="279">
        <v>380.51</v>
      </c>
      <c r="D24" s="279">
        <v>285.38249999999999</v>
      </c>
    </row>
    <row r="25" spans="1:4">
      <c r="A25" t="s">
        <v>2820</v>
      </c>
      <c r="C25" s="279">
        <v>380.51</v>
      </c>
      <c r="D25" s="279">
        <v>285.38249999999999</v>
      </c>
    </row>
    <row r="26" spans="1:4">
      <c r="A26" t="s">
        <v>2817</v>
      </c>
      <c r="B26" t="s">
        <v>250</v>
      </c>
      <c r="C26" s="279">
        <v>1090.83</v>
      </c>
      <c r="D26" s="279">
        <v>1001.3819000000001</v>
      </c>
    </row>
    <row r="27" spans="1:4">
      <c r="B27" t="s">
        <v>253</v>
      </c>
      <c r="C27" s="279">
        <v>16.097000000000001</v>
      </c>
      <c r="D27" s="279">
        <v>12.072800000000001</v>
      </c>
    </row>
    <row r="28" spans="1:4">
      <c r="A28" t="s">
        <v>2821</v>
      </c>
      <c r="C28" s="279">
        <v>1106.9269999999999</v>
      </c>
      <c r="D28" s="279">
        <v>1013.4547000000001</v>
      </c>
    </row>
    <row r="29" spans="1:4">
      <c r="A29" t="s">
        <v>2827</v>
      </c>
      <c r="B29" t="s">
        <v>250</v>
      </c>
      <c r="C29" s="279">
        <v>372.02100000000007</v>
      </c>
      <c r="D29" s="279">
        <v>341.46150000000006</v>
      </c>
    </row>
    <row r="30" spans="1:4">
      <c r="B30" t="s">
        <v>253</v>
      </c>
      <c r="C30" s="279">
        <v>30.2</v>
      </c>
      <c r="D30" s="279">
        <v>22.65</v>
      </c>
    </row>
    <row r="31" spans="1:4">
      <c r="A31" t="s">
        <v>2828</v>
      </c>
      <c r="C31" s="279">
        <v>402.22100000000006</v>
      </c>
      <c r="D31" s="279">
        <v>364.11150000000004</v>
      </c>
    </row>
    <row r="32" spans="1:4">
      <c r="A32" t="s">
        <v>2829</v>
      </c>
      <c r="B32" t="s">
        <v>250</v>
      </c>
      <c r="C32" s="279">
        <v>480.90300000000002</v>
      </c>
      <c r="D32" s="279">
        <v>440.50720000000001</v>
      </c>
    </row>
    <row r="33" spans="1:4">
      <c r="A33" t="s">
        <v>2831</v>
      </c>
      <c r="C33" s="279">
        <v>480.90300000000002</v>
      </c>
      <c r="D33" s="279">
        <v>440.50720000000001</v>
      </c>
    </row>
    <row r="34" spans="1:4">
      <c r="A34" t="s">
        <v>2836</v>
      </c>
      <c r="B34" t="s">
        <v>253</v>
      </c>
      <c r="C34" s="279">
        <v>636.1400000000001</v>
      </c>
      <c r="D34" s="279">
        <v>477.10499999999996</v>
      </c>
    </row>
    <row r="35" spans="1:4">
      <c r="A35" t="s">
        <v>2838</v>
      </c>
      <c r="C35" s="279">
        <v>636.1400000000001</v>
      </c>
      <c r="D35" s="279">
        <v>477.10499999999996</v>
      </c>
    </row>
    <row r="36" spans="1:4">
      <c r="A36" t="s">
        <v>2837</v>
      </c>
      <c r="B36" t="s">
        <v>250</v>
      </c>
      <c r="C36" s="279">
        <v>351.34199999999993</v>
      </c>
      <c r="D36" s="279">
        <v>322.53190000000001</v>
      </c>
    </row>
    <row r="37" spans="1:4">
      <c r="B37" t="s">
        <v>253</v>
      </c>
      <c r="C37" s="279">
        <v>261.42599999999999</v>
      </c>
      <c r="D37" s="279">
        <v>196.06980000000001</v>
      </c>
    </row>
    <row r="38" spans="1:4">
      <c r="A38" t="s">
        <v>2839</v>
      </c>
      <c r="C38" s="279">
        <v>612.76799999999992</v>
      </c>
      <c r="D38" s="279">
        <v>518.60170000000005</v>
      </c>
    </row>
    <row r="39" spans="1:4">
      <c r="A39" t="s">
        <v>2842</v>
      </c>
      <c r="B39" t="s">
        <v>250</v>
      </c>
      <c r="C39" s="279">
        <v>29.311</v>
      </c>
      <c r="D39" s="279">
        <v>26.907399999999999</v>
      </c>
    </row>
    <row r="40" spans="1:4">
      <c r="A40" t="s">
        <v>2851</v>
      </c>
      <c r="C40" s="279">
        <v>29.311</v>
      </c>
      <c r="D40" s="279">
        <v>26.907399999999999</v>
      </c>
    </row>
    <row r="41" spans="1:4">
      <c r="A41" t="s">
        <v>2844</v>
      </c>
      <c r="B41" t="s">
        <v>250</v>
      </c>
      <c r="C41" s="279">
        <v>407.47</v>
      </c>
      <c r="D41" s="279">
        <v>374.0575</v>
      </c>
    </row>
    <row r="42" spans="1:4">
      <c r="A42" t="s">
        <v>2852</v>
      </c>
      <c r="C42" s="279">
        <v>407.47</v>
      </c>
      <c r="D42" s="279">
        <v>374.0575</v>
      </c>
    </row>
    <row r="43" spans="1:4">
      <c r="A43" t="s">
        <v>2846</v>
      </c>
      <c r="B43" t="s">
        <v>250</v>
      </c>
      <c r="C43" s="279">
        <v>15.698999999999998</v>
      </c>
      <c r="D43" s="279">
        <v>14.4117</v>
      </c>
    </row>
    <row r="44" spans="1:4">
      <c r="B44" t="s">
        <v>253</v>
      </c>
      <c r="C44" s="279">
        <v>8.5500000000000007</v>
      </c>
      <c r="D44" s="279">
        <v>6.4124999999999996</v>
      </c>
    </row>
    <row r="45" spans="1:4">
      <c r="A45" t="s">
        <v>2853</v>
      </c>
      <c r="C45" s="279">
        <v>24.248999999999999</v>
      </c>
      <c r="D45" s="279">
        <v>20.824199999999998</v>
      </c>
    </row>
    <row r="46" spans="1:4">
      <c r="A46" t="s">
        <v>2848</v>
      </c>
      <c r="B46" t="s">
        <v>250</v>
      </c>
      <c r="C46" s="279">
        <v>55.013999999999996</v>
      </c>
      <c r="D46" s="279">
        <v>50.502999999999993</v>
      </c>
    </row>
    <row r="47" spans="1:4">
      <c r="A47" t="s">
        <v>2854</v>
      </c>
      <c r="C47" s="279">
        <v>55.013999999999996</v>
      </c>
      <c r="D47" s="279">
        <v>50.502999999999993</v>
      </c>
    </row>
    <row r="48" spans="1:4">
      <c r="A48" t="s">
        <v>2850</v>
      </c>
      <c r="B48" t="s">
        <v>250</v>
      </c>
      <c r="C48" s="279">
        <v>50.731999999999999</v>
      </c>
      <c r="D48" s="279">
        <v>46.572000000000003</v>
      </c>
    </row>
    <row r="49" spans="1:4">
      <c r="B49" t="s">
        <v>253</v>
      </c>
      <c r="C49" s="279">
        <v>126.21799999999999</v>
      </c>
      <c r="D49" s="279">
        <v>94.663600000000002</v>
      </c>
    </row>
    <row r="50" spans="1:4">
      <c r="A50" t="s">
        <v>2855</v>
      </c>
      <c r="C50" s="279">
        <v>176.95</v>
      </c>
      <c r="D50" s="279">
        <v>141.23560000000001</v>
      </c>
    </row>
    <row r="51" spans="1:4">
      <c r="A51" t="s">
        <v>2905</v>
      </c>
      <c r="B51" t="s">
        <v>250</v>
      </c>
      <c r="C51" s="279">
        <v>72.617999999999995</v>
      </c>
      <c r="D51" s="279">
        <v>66.663300000000007</v>
      </c>
    </row>
    <row r="52" spans="1:4">
      <c r="B52" t="s">
        <v>253</v>
      </c>
      <c r="C52" s="279">
        <v>162.13</v>
      </c>
      <c r="D52" s="279">
        <v>121.5975</v>
      </c>
    </row>
    <row r="53" spans="1:4">
      <c r="A53" t="s">
        <v>2909</v>
      </c>
      <c r="C53" s="279">
        <v>234.74799999999999</v>
      </c>
      <c r="D53" s="279">
        <v>188.26080000000002</v>
      </c>
    </row>
    <row r="54" spans="1:4">
      <c r="A54" t="s">
        <v>2944</v>
      </c>
      <c r="B54" t="s">
        <v>250</v>
      </c>
      <c r="C54" s="279">
        <v>3378.3900000000003</v>
      </c>
      <c r="D54" s="279">
        <v>3101.3620000000001</v>
      </c>
    </row>
    <row r="55" spans="1:4">
      <c r="A55" t="s">
        <v>2963</v>
      </c>
      <c r="C55" s="279">
        <v>3378.3900000000003</v>
      </c>
      <c r="D55" s="279">
        <v>3101.3620000000001</v>
      </c>
    </row>
    <row r="56" spans="1:4">
      <c r="A56" t="s">
        <v>2947</v>
      </c>
      <c r="B56" t="s">
        <v>250</v>
      </c>
      <c r="C56" s="279">
        <v>226.99599999999998</v>
      </c>
      <c r="D56" s="279">
        <v>208.29150000000001</v>
      </c>
    </row>
    <row r="57" spans="1:4">
      <c r="A57" t="s">
        <v>2964</v>
      </c>
      <c r="C57" s="279">
        <v>226.99599999999998</v>
      </c>
      <c r="D57" s="279">
        <v>208.29150000000001</v>
      </c>
    </row>
    <row r="58" spans="1:4">
      <c r="A58" t="s">
        <v>2952</v>
      </c>
      <c r="B58" t="s">
        <v>253</v>
      </c>
      <c r="C58" s="279">
        <v>679.76800000000003</v>
      </c>
      <c r="D58" s="279">
        <v>509.82600000000002</v>
      </c>
    </row>
    <row r="59" spans="1:4">
      <c r="A59" t="s">
        <v>2965</v>
      </c>
      <c r="C59" s="279">
        <v>679.76800000000003</v>
      </c>
      <c r="D59" s="279">
        <v>509.82600000000002</v>
      </c>
    </row>
    <row r="60" spans="1:4">
      <c r="A60" t="s">
        <v>2957</v>
      </c>
      <c r="B60" t="s">
        <v>250</v>
      </c>
      <c r="C60" s="279">
        <v>4.4740000000000002</v>
      </c>
      <c r="D60" s="279">
        <v>4.0980999999999996</v>
      </c>
    </row>
    <row r="61" spans="1:4">
      <c r="A61" t="s">
        <v>2966</v>
      </c>
      <c r="C61" s="279">
        <v>4.4740000000000002</v>
      </c>
      <c r="D61" s="279">
        <v>4.0980999999999996</v>
      </c>
    </row>
    <row r="62" spans="1:4">
      <c r="A62" t="s">
        <v>2960</v>
      </c>
      <c r="B62" t="s">
        <v>253</v>
      </c>
      <c r="C62" s="279">
        <v>308.39</v>
      </c>
      <c r="D62" s="279">
        <v>231.29249999999999</v>
      </c>
    </row>
    <row r="63" spans="1:4">
      <c r="A63" t="s">
        <v>2967</v>
      </c>
      <c r="C63" s="279">
        <v>308.39</v>
      </c>
      <c r="D63" s="279">
        <v>231.29249999999999</v>
      </c>
    </row>
    <row r="64" spans="1:4">
      <c r="A64" t="s">
        <v>2962</v>
      </c>
      <c r="B64" t="s">
        <v>250</v>
      </c>
      <c r="C64" s="279">
        <v>34.207999999999998</v>
      </c>
      <c r="D64" s="279">
        <v>31.403100000000002</v>
      </c>
    </row>
    <row r="65" spans="1:4">
      <c r="A65" t="s">
        <v>2968</v>
      </c>
      <c r="C65" s="279">
        <v>34.207999999999998</v>
      </c>
      <c r="D65" s="279">
        <v>31.403100000000002</v>
      </c>
    </row>
    <row r="66" spans="1:4">
      <c r="A66" t="s">
        <v>3276</v>
      </c>
      <c r="B66" t="s">
        <v>253</v>
      </c>
      <c r="C66" s="279">
        <v>247.95</v>
      </c>
      <c r="D66" s="279">
        <v>185.96250000000001</v>
      </c>
    </row>
    <row r="67" spans="1:4">
      <c r="A67" t="s">
        <v>3304</v>
      </c>
      <c r="C67" s="279">
        <v>247.95</v>
      </c>
      <c r="D67" s="279">
        <v>185.96250000000001</v>
      </c>
    </row>
    <row r="68" spans="1:4">
      <c r="A68" t="s">
        <v>3305</v>
      </c>
      <c r="B68" t="s">
        <v>259</v>
      </c>
      <c r="C68" s="279">
        <v>510.9</v>
      </c>
      <c r="D68" s="279">
        <v>508.34550000000002</v>
      </c>
    </row>
    <row r="69" spans="1:4">
      <c r="A69" t="s">
        <v>3306</v>
      </c>
      <c r="C69" s="279">
        <v>510.9</v>
      </c>
      <c r="D69" s="279">
        <v>508.34550000000002</v>
      </c>
    </row>
    <row r="70" spans="1:4">
      <c r="A70" t="s">
        <v>3279</v>
      </c>
      <c r="B70" t="s">
        <v>253</v>
      </c>
      <c r="C70" s="279">
        <v>7.97</v>
      </c>
      <c r="D70" s="279">
        <v>5.9775999999999998</v>
      </c>
    </row>
    <row r="71" spans="1:4">
      <c r="A71" t="s">
        <v>3307</v>
      </c>
      <c r="C71" s="279">
        <v>7.97</v>
      </c>
      <c r="D71" s="279">
        <v>5.9775999999999998</v>
      </c>
    </row>
    <row r="72" spans="1:4">
      <c r="A72" t="s">
        <v>3283</v>
      </c>
      <c r="B72" t="s">
        <v>250</v>
      </c>
      <c r="C72" s="279">
        <v>17.616</v>
      </c>
      <c r="D72" s="279">
        <v>16.136299999999999</v>
      </c>
    </row>
    <row r="73" spans="1:4">
      <c r="B73" t="s">
        <v>253</v>
      </c>
      <c r="C73" s="279">
        <v>72.430000000000021</v>
      </c>
      <c r="D73" s="279">
        <v>54.322899999999997</v>
      </c>
    </row>
    <row r="74" spans="1:4">
      <c r="A74" t="s">
        <v>3308</v>
      </c>
      <c r="C74" s="279">
        <v>90.046000000000021</v>
      </c>
      <c r="D74" s="279">
        <v>70.459199999999996</v>
      </c>
    </row>
    <row r="75" spans="1:4">
      <c r="A75" t="s">
        <v>3284</v>
      </c>
      <c r="B75" t="s">
        <v>253</v>
      </c>
      <c r="C75" s="279">
        <v>34.045000000000002</v>
      </c>
      <c r="D75" s="279">
        <v>25.533899999999999</v>
      </c>
    </row>
    <row r="76" spans="1:4">
      <c r="A76" t="s">
        <v>3309</v>
      </c>
      <c r="C76" s="279">
        <v>34.045000000000002</v>
      </c>
      <c r="D76" s="279">
        <v>25.533899999999999</v>
      </c>
    </row>
    <row r="77" spans="1:4">
      <c r="A77" t="s">
        <v>3290</v>
      </c>
      <c r="B77" t="s">
        <v>253</v>
      </c>
      <c r="C77" s="279">
        <v>153.11000000000001</v>
      </c>
      <c r="D77" s="279">
        <v>114.8325</v>
      </c>
    </row>
    <row r="78" spans="1:4">
      <c r="A78" t="s">
        <v>3310</v>
      </c>
      <c r="C78" s="279">
        <v>153.11000000000001</v>
      </c>
      <c r="D78" s="279">
        <v>114.8325</v>
      </c>
    </row>
    <row r="79" spans="1:4">
      <c r="A79" t="s">
        <v>102</v>
      </c>
      <c r="C79" s="279">
        <v>14692.560999999998</v>
      </c>
      <c r="D79" s="279">
        <v>12831.961799999997</v>
      </c>
    </row>
  </sheetData>
  <sortState xmlns:xlrd2="http://schemas.microsoft.com/office/spreadsheetml/2017/richdata2" columnSort="1" ref="A3:D111">
    <sortCondition descending="1" ref="D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DBC6-D487-47BA-A516-63388D9E6982}">
  <sheetPr codeName="Sheet19"/>
  <dimension ref="A1:V311"/>
  <sheetViews>
    <sheetView topLeftCell="J293" workbookViewId="0">
      <selection activeCell="K1" sqref="K1"/>
    </sheetView>
  </sheetViews>
  <sheetFormatPr defaultRowHeight="15"/>
  <cols>
    <col min="1" max="1" width="9.42578125" bestFit="1" customWidth="1"/>
    <col min="2" max="2" width="18.140625" bestFit="1" customWidth="1"/>
    <col min="3" max="3" width="9.85546875" bestFit="1" customWidth="1"/>
    <col min="4" max="4" width="11.7109375" bestFit="1" customWidth="1"/>
    <col min="5" max="5" width="27.42578125" bestFit="1" customWidth="1"/>
    <col min="6" max="6" width="5.42578125" bestFit="1" customWidth="1"/>
    <col min="7" max="7" width="7.42578125" bestFit="1" customWidth="1"/>
    <col min="8" max="8" width="11.7109375" bestFit="1" customWidth="1"/>
    <col min="9" max="9" width="11.7109375" customWidth="1"/>
    <col min="10" max="10" width="26.7109375" bestFit="1" customWidth="1"/>
    <col min="11" max="11" width="9.5703125" style="63" bestFit="1" customWidth="1"/>
    <col min="12" max="12" width="14.7109375" bestFit="1" customWidth="1"/>
    <col min="13" max="13" width="9.5703125" bestFit="1" customWidth="1"/>
    <col min="14" max="14" width="38.85546875" bestFit="1" customWidth="1"/>
    <col min="15" max="15" width="29.140625" bestFit="1" customWidth="1"/>
    <col min="16" max="16" width="4.5703125" bestFit="1" customWidth="1"/>
  </cols>
  <sheetData>
    <row r="1" spans="1:22" ht="45">
      <c r="A1" s="71" t="s">
        <v>93</v>
      </c>
      <c r="B1" s="71" t="s">
        <v>266</v>
      </c>
      <c r="C1" s="71" t="s">
        <v>2707</v>
      </c>
      <c r="D1" s="71" t="s">
        <v>2708</v>
      </c>
      <c r="E1" s="71" t="s">
        <v>245</v>
      </c>
      <c r="F1" s="71" t="s">
        <v>2709</v>
      </c>
      <c r="G1" s="71" t="s">
        <v>2710</v>
      </c>
      <c r="H1" s="71" t="s">
        <v>2711</v>
      </c>
      <c r="I1" s="71" t="s">
        <v>2712</v>
      </c>
      <c r="J1" s="71" t="s">
        <v>267</v>
      </c>
      <c r="K1" s="168" t="s">
        <v>2769</v>
      </c>
      <c r="L1" s="71" t="s">
        <v>268</v>
      </c>
      <c r="M1" s="71" t="s">
        <v>247</v>
      </c>
      <c r="N1" s="71" t="s">
        <v>248</v>
      </c>
      <c r="O1" s="71" t="s">
        <v>269</v>
      </c>
      <c r="P1" s="71" t="s">
        <v>270</v>
      </c>
      <c r="Q1" s="71" t="s">
        <v>94</v>
      </c>
      <c r="R1" s="71" t="s">
        <v>271</v>
      </c>
      <c r="S1" s="71" t="s">
        <v>2713</v>
      </c>
      <c r="T1" s="71" t="s">
        <v>2714</v>
      </c>
      <c r="U1" s="71" t="s">
        <v>2703</v>
      </c>
      <c r="V1" s="71" t="s">
        <v>2715</v>
      </c>
    </row>
    <row r="2" spans="1:22">
      <c r="A2" s="175">
        <v>46193</v>
      </c>
      <c r="B2" s="176" t="s">
        <v>2969</v>
      </c>
      <c r="C2" s="176" t="s">
        <v>2734</v>
      </c>
      <c r="D2" s="176"/>
      <c r="E2" s="176" t="s">
        <v>660</v>
      </c>
      <c r="F2" s="177"/>
      <c r="G2" s="177" t="s">
        <v>2735</v>
      </c>
      <c r="H2" s="176" t="s">
        <v>2735</v>
      </c>
      <c r="I2" s="178">
        <v>0.91800000000000004</v>
      </c>
      <c r="J2" s="176" t="s">
        <v>274</v>
      </c>
      <c r="K2" s="176" t="s">
        <v>250</v>
      </c>
      <c r="L2" s="176" t="s">
        <v>2804</v>
      </c>
      <c r="M2" s="179">
        <v>97.41</v>
      </c>
      <c r="N2" s="179">
        <v>89.422399999999996</v>
      </c>
      <c r="O2" s="179">
        <v>1.8</v>
      </c>
      <c r="P2" s="179">
        <v>91.175799999999995</v>
      </c>
      <c r="Q2" s="176"/>
      <c r="R2" s="176" t="s">
        <v>2970</v>
      </c>
      <c r="S2" s="176" t="s">
        <v>2872</v>
      </c>
      <c r="T2" s="180">
        <v>46193.816782407404</v>
      </c>
      <c r="U2" s="176" t="s">
        <v>2844</v>
      </c>
      <c r="V2" s="176" t="s">
        <v>2796</v>
      </c>
    </row>
    <row r="3" spans="1:22">
      <c r="A3" s="175">
        <v>46193</v>
      </c>
      <c r="B3" s="176" t="s">
        <v>2969</v>
      </c>
      <c r="C3" s="176" t="s">
        <v>2734</v>
      </c>
      <c r="D3" s="176"/>
      <c r="E3" s="176" t="s">
        <v>660</v>
      </c>
      <c r="F3" s="177"/>
      <c r="G3" s="177" t="s">
        <v>2735</v>
      </c>
      <c r="H3" s="176" t="s">
        <v>2735</v>
      </c>
      <c r="I3" s="178">
        <v>0.91800000000000004</v>
      </c>
      <c r="J3" s="176" t="s">
        <v>2911</v>
      </c>
      <c r="K3" s="176" t="s">
        <v>250</v>
      </c>
      <c r="L3" s="176" t="s">
        <v>2804</v>
      </c>
      <c r="M3" s="179">
        <v>4.59</v>
      </c>
      <c r="N3" s="179">
        <v>4.2135999999999996</v>
      </c>
      <c r="O3" s="179">
        <v>2.5</v>
      </c>
      <c r="P3" s="179">
        <v>4.3284000000000002</v>
      </c>
      <c r="Q3" s="176" t="s">
        <v>2912</v>
      </c>
      <c r="R3" s="176" t="s">
        <v>2912</v>
      </c>
      <c r="S3" s="176" t="s">
        <v>2872</v>
      </c>
      <c r="T3" s="180">
        <v>46193.816782407404</v>
      </c>
      <c r="U3" s="176" t="s">
        <v>2811</v>
      </c>
      <c r="V3" s="176" t="s">
        <v>2946</v>
      </c>
    </row>
    <row r="4" spans="1:22">
      <c r="A4" s="175">
        <v>46193</v>
      </c>
      <c r="B4" s="176" t="s">
        <v>2969</v>
      </c>
      <c r="C4" s="176" t="s">
        <v>2734</v>
      </c>
      <c r="D4" s="176"/>
      <c r="E4" s="176" t="s">
        <v>660</v>
      </c>
      <c r="F4" s="177"/>
      <c r="G4" s="177" t="s">
        <v>2735</v>
      </c>
      <c r="H4" s="176" t="s">
        <v>2735</v>
      </c>
      <c r="I4" s="178">
        <v>0.91800000000000004</v>
      </c>
      <c r="J4" s="176" t="s">
        <v>2971</v>
      </c>
      <c r="K4" s="176" t="s">
        <v>250</v>
      </c>
      <c r="L4" s="176" t="s">
        <v>2804</v>
      </c>
      <c r="M4" s="179">
        <v>81.5</v>
      </c>
      <c r="N4" s="179">
        <v>74.816999999999993</v>
      </c>
      <c r="O4" s="179">
        <v>1.8</v>
      </c>
      <c r="P4" s="179">
        <v>76.284000000000006</v>
      </c>
      <c r="Q4" s="176" t="s">
        <v>2949</v>
      </c>
      <c r="R4" s="176" t="s">
        <v>2972</v>
      </c>
      <c r="S4" s="176" t="s">
        <v>2872</v>
      </c>
      <c r="T4" s="180">
        <v>46193.816782407404</v>
      </c>
      <c r="U4" s="176" t="s">
        <v>2844</v>
      </c>
      <c r="V4" s="176" t="s">
        <v>2845</v>
      </c>
    </row>
    <row r="5" spans="1:22">
      <c r="A5" s="175">
        <v>46193</v>
      </c>
      <c r="B5" s="176" t="s">
        <v>2969</v>
      </c>
      <c r="C5" s="176" t="s">
        <v>2734</v>
      </c>
      <c r="D5" s="176"/>
      <c r="E5" s="176" t="s">
        <v>660</v>
      </c>
      <c r="F5" s="177"/>
      <c r="G5" s="177" t="s">
        <v>2735</v>
      </c>
      <c r="H5" s="176" t="s">
        <v>2735</v>
      </c>
      <c r="I5" s="178">
        <v>0.91800000000000004</v>
      </c>
      <c r="J5" s="176" t="s">
        <v>274</v>
      </c>
      <c r="K5" s="176" t="s">
        <v>250</v>
      </c>
      <c r="L5" s="176" t="s">
        <v>2804</v>
      </c>
      <c r="M5" s="179">
        <v>102.02</v>
      </c>
      <c r="N5" s="179">
        <v>93.654399999999995</v>
      </c>
      <c r="O5" s="179">
        <v>1.8</v>
      </c>
      <c r="P5" s="179">
        <v>95.490700000000004</v>
      </c>
      <c r="Q5" s="176"/>
      <c r="R5" s="176" t="s">
        <v>2973</v>
      </c>
      <c r="S5" s="176" t="s">
        <v>2872</v>
      </c>
      <c r="T5" s="180">
        <v>46193.816782407404</v>
      </c>
      <c r="U5" s="176" t="s">
        <v>2844</v>
      </c>
      <c r="V5" s="176" t="s">
        <v>2796</v>
      </c>
    </row>
    <row r="6" spans="1:22">
      <c r="A6" s="175">
        <v>46193</v>
      </c>
      <c r="B6" s="176" t="s">
        <v>2969</v>
      </c>
      <c r="C6" s="176" t="s">
        <v>2734</v>
      </c>
      <c r="D6" s="176"/>
      <c r="E6" s="176" t="s">
        <v>660</v>
      </c>
      <c r="F6" s="177"/>
      <c r="G6" s="177" t="s">
        <v>2735</v>
      </c>
      <c r="H6" s="176" t="s">
        <v>2735</v>
      </c>
      <c r="I6" s="178">
        <v>0.91800000000000004</v>
      </c>
      <c r="J6" s="176" t="s">
        <v>274</v>
      </c>
      <c r="K6" s="176" t="s">
        <v>250</v>
      </c>
      <c r="L6" s="176" t="s">
        <v>2804</v>
      </c>
      <c r="M6" s="179">
        <v>80.3</v>
      </c>
      <c r="N6" s="179">
        <v>73.715400000000002</v>
      </c>
      <c r="O6" s="179">
        <v>1.8</v>
      </c>
      <c r="P6" s="179">
        <v>75.160799999999995</v>
      </c>
      <c r="Q6" s="176"/>
      <c r="R6" s="176" t="s">
        <v>2974</v>
      </c>
      <c r="S6" s="176" t="s">
        <v>2872</v>
      </c>
      <c r="T6" s="180">
        <v>46193.816782407404</v>
      </c>
      <c r="U6" s="176" t="s">
        <v>2844</v>
      </c>
      <c r="V6" s="176" t="s">
        <v>2796</v>
      </c>
    </row>
    <row r="7" spans="1:22">
      <c r="A7" s="175">
        <v>46193</v>
      </c>
      <c r="B7" s="176" t="s">
        <v>2969</v>
      </c>
      <c r="C7" s="176" t="s">
        <v>2734</v>
      </c>
      <c r="D7" s="176"/>
      <c r="E7" s="176" t="s">
        <v>660</v>
      </c>
      <c r="F7" s="177"/>
      <c r="G7" s="177" t="s">
        <v>2735</v>
      </c>
      <c r="H7" s="176" t="s">
        <v>2735</v>
      </c>
      <c r="I7" s="178">
        <v>0.91800000000000004</v>
      </c>
      <c r="J7" s="176" t="s">
        <v>2896</v>
      </c>
      <c r="K7" s="176" t="s">
        <v>250</v>
      </c>
      <c r="L7" s="176" t="s">
        <v>2804</v>
      </c>
      <c r="M7" s="179">
        <v>87.64</v>
      </c>
      <c r="N7" s="179">
        <v>80.453500000000005</v>
      </c>
      <c r="O7" s="179">
        <v>1.5</v>
      </c>
      <c r="P7" s="179">
        <v>81.768100000000004</v>
      </c>
      <c r="Q7" s="176"/>
      <c r="R7" s="176" t="s">
        <v>2975</v>
      </c>
      <c r="S7" s="176" t="s">
        <v>2872</v>
      </c>
      <c r="T7" s="180">
        <v>46193.816782407404</v>
      </c>
      <c r="U7" s="176" t="s">
        <v>2817</v>
      </c>
      <c r="V7" s="176" t="s">
        <v>2818</v>
      </c>
    </row>
    <row r="8" spans="1:22">
      <c r="A8" s="175">
        <v>46193</v>
      </c>
      <c r="B8" s="176" t="s">
        <v>2976</v>
      </c>
      <c r="C8" s="176" t="s">
        <v>2734</v>
      </c>
      <c r="D8" s="176"/>
      <c r="E8" s="176" t="s">
        <v>258</v>
      </c>
      <c r="F8" s="177"/>
      <c r="G8" s="177" t="s">
        <v>2735</v>
      </c>
      <c r="H8" s="176" t="s">
        <v>2735</v>
      </c>
      <c r="I8" s="178">
        <v>0.91800000000000004</v>
      </c>
      <c r="J8" s="176" t="s">
        <v>2977</v>
      </c>
      <c r="K8" s="176" t="s">
        <v>250</v>
      </c>
      <c r="L8" s="176" t="s">
        <v>2804</v>
      </c>
      <c r="M8" s="179">
        <v>5.2370000000000001</v>
      </c>
      <c r="N8" s="179">
        <v>4.8075999999999999</v>
      </c>
      <c r="O8" s="179">
        <v>0</v>
      </c>
      <c r="P8" s="179">
        <v>4.8075999999999999</v>
      </c>
      <c r="Q8" s="176" t="s">
        <v>2865</v>
      </c>
      <c r="R8" s="176" t="s">
        <v>2865</v>
      </c>
      <c r="S8" s="176" t="s">
        <v>3274</v>
      </c>
      <c r="T8" s="180">
        <v>46193.808506944442</v>
      </c>
      <c r="U8" s="176" t="s">
        <v>2848</v>
      </c>
      <c r="V8" s="176" t="s">
        <v>2849</v>
      </c>
    </row>
    <row r="9" spans="1:22">
      <c r="A9" s="175">
        <v>46193</v>
      </c>
      <c r="B9" s="176" t="s">
        <v>2976</v>
      </c>
      <c r="C9" s="176" t="s">
        <v>2734</v>
      </c>
      <c r="D9" s="176"/>
      <c r="E9" s="176" t="s">
        <v>258</v>
      </c>
      <c r="F9" s="177"/>
      <c r="G9" s="177" t="s">
        <v>2735</v>
      </c>
      <c r="H9" s="176" t="s">
        <v>2735</v>
      </c>
      <c r="I9" s="178">
        <v>0.91800000000000004</v>
      </c>
      <c r="J9" s="176" t="s">
        <v>2977</v>
      </c>
      <c r="K9" s="176" t="s">
        <v>250</v>
      </c>
      <c r="L9" s="176" t="s">
        <v>2804</v>
      </c>
      <c r="M9" s="179">
        <v>5.5090000000000003</v>
      </c>
      <c r="N9" s="179">
        <v>5.0572999999999997</v>
      </c>
      <c r="O9" s="179">
        <v>0</v>
      </c>
      <c r="P9" s="179">
        <v>5.0572999999999997</v>
      </c>
      <c r="Q9" s="176" t="s">
        <v>2865</v>
      </c>
      <c r="R9" s="176" t="s">
        <v>2865</v>
      </c>
      <c r="S9" s="176" t="s">
        <v>3274</v>
      </c>
      <c r="T9" s="180">
        <v>46193.808506944442</v>
      </c>
      <c r="U9" s="176" t="s">
        <v>2848</v>
      </c>
      <c r="V9" s="176" t="s">
        <v>2849</v>
      </c>
    </row>
    <row r="10" spans="1:22">
      <c r="A10" s="175">
        <v>46193</v>
      </c>
      <c r="B10" s="176" t="s">
        <v>2976</v>
      </c>
      <c r="C10" s="176" t="s">
        <v>2734</v>
      </c>
      <c r="D10" s="176"/>
      <c r="E10" s="176" t="s">
        <v>258</v>
      </c>
      <c r="F10" s="177"/>
      <c r="G10" s="177" t="s">
        <v>2735</v>
      </c>
      <c r="H10" s="176" t="s">
        <v>2735</v>
      </c>
      <c r="I10" s="178">
        <v>0.91800000000000004</v>
      </c>
      <c r="J10" s="176" t="s">
        <v>2977</v>
      </c>
      <c r="K10" s="176" t="s">
        <v>250</v>
      </c>
      <c r="L10" s="176" t="s">
        <v>2804</v>
      </c>
      <c r="M10" s="179">
        <v>5.5069999999999997</v>
      </c>
      <c r="N10" s="179">
        <v>5.0553999999999997</v>
      </c>
      <c r="O10" s="179">
        <v>0</v>
      </c>
      <c r="P10" s="179">
        <v>5.0553999999999997</v>
      </c>
      <c r="Q10" s="176" t="s">
        <v>2865</v>
      </c>
      <c r="R10" s="176" t="s">
        <v>2865</v>
      </c>
      <c r="S10" s="176" t="s">
        <v>3274</v>
      </c>
      <c r="T10" s="180">
        <v>46193.808506944442</v>
      </c>
      <c r="U10" s="176" t="s">
        <v>2848</v>
      </c>
      <c r="V10" s="176" t="s">
        <v>2849</v>
      </c>
    </row>
    <row r="11" spans="1:22">
      <c r="A11" s="175">
        <v>46193</v>
      </c>
      <c r="B11" s="176" t="s">
        <v>2976</v>
      </c>
      <c r="C11" s="176" t="s">
        <v>2734</v>
      </c>
      <c r="D11" s="176"/>
      <c r="E11" s="176" t="s">
        <v>258</v>
      </c>
      <c r="F11" s="177"/>
      <c r="G11" s="177" t="s">
        <v>2735</v>
      </c>
      <c r="H11" s="176" t="s">
        <v>2735</v>
      </c>
      <c r="I11" s="178">
        <v>0.91800000000000004</v>
      </c>
      <c r="J11" s="176" t="s">
        <v>2977</v>
      </c>
      <c r="K11" s="176" t="s">
        <v>250</v>
      </c>
      <c r="L11" s="176" t="s">
        <v>2804</v>
      </c>
      <c r="M11" s="179">
        <v>5.8540000000000001</v>
      </c>
      <c r="N11" s="179">
        <v>5.3739999999999997</v>
      </c>
      <c r="O11" s="179">
        <v>0</v>
      </c>
      <c r="P11" s="179">
        <v>5.3739999999999997</v>
      </c>
      <c r="Q11" s="176" t="s">
        <v>2865</v>
      </c>
      <c r="R11" s="176" t="s">
        <v>2865</v>
      </c>
      <c r="S11" s="176" t="s">
        <v>3274</v>
      </c>
      <c r="T11" s="180">
        <v>46193.808506944442</v>
      </c>
      <c r="U11" s="176" t="s">
        <v>2848</v>
      </c>
      <c r="V11" s="176" t="s">
        <v>2849</v>
      </c>
    </row>
    <row r="12" spans="1:22">
      <c r="A12" s="175">
        <v>46193</v>
      </c>
      <c r="B12" s="176" t="s">
        <v>2976</v>
      </c>
      <c r="C12" s="176" t="s">
        <v>2734</v>
      </c>
      <c r="D12" s="176"/>
      <c r="E12" s="176" t="s">
        <v>258</v>
      </c>
      <c r="F12" s="177"/>
      <c r="G12" s="177" t="s">
        <v>2735</v>
      </c>
      <c r="H12" s="176" t="s">
        <v>2735</v>
      </c>
      <c r="I12" s="178">
        <v>0.91800000000000004</v>
      </c>
      <c r="J12" s="176" t="s">
        <v>2977</v>
      </c>
      <c r="K12" s="176" t="s">
        <v>250</v>
      </c>
      <c r="L12" s="176" t="s">
        <v>2804</v>
      </c>
      <c r="M12" s="179">
        <v>5.2160000000000002</v>
      </c>
      <c r="N12" s="179">
        <v>4.7882999999999996</v>
      </c>
      <c r="O12" s="179">
        <v>0</v>
      </c>
      <c r="P12" s="179">
        <v>4.7882999999999996</v>
      </c>
      <c r="Q12" s="176" t="s">
        <v>2865</v>
      </c>
      <c r="R12" s="176" t="s">
        <v>2865</v>
      </c>
      <c r="S12" s="176" t="s">
        <v>3274</v>
      </c>
      <c r="T12" s="180">
        <v>46193.808506944442</v>
      </c>
      <c r="U12" s="176" t="s">
        <v>2848</v>
      </c>
      <c r="V12" s="176" t="s">
        <v>2849</v>
      </c>
    </row>
    <row r="13" spans="1:22">
      <c r="A13" s="175">
        <v>46193</v>
      </c>
      <c r="B13" s="176" t="s">
        <v>2976</v>
      </c>
      <c r="C13" s="176" t="s">
        <v>2734</v>
      </c>
      <c r="D13" s="176"/>
      <c r="E13" s="176" t="s">
        <v>258</v>
      </c>
      <c r="F13" s="177"/>
      <c r="G13" s="177" t="s">
        <v>2735</v>
      </c>
      <c r="H13" s="176" t="s">
        <v>2735</v>
      </c>
      <c r="I13" s="178">
        <v>0.91800000000000004</v>
      </c>
      <c r="J13" s="176" t="s">
        <v>2977</v>
      </c>
      <c r="K13" s="176" t="s">
        <v>250</v>
      </c>
      <c r="L13" s="176" t="s">
        <v>2804</v>
      </c>
      <c r="M13" s="179">
        <v>5.9119999999999999</v>
      </c>
      <c r="N13" s="179">
        <v>5.4272</v>
      </c>
      <c r="O13" s="179">
        <v>0</v>
      </c>
      <c r="P13" s="179">
        <v>5.4272</v>
      </c>
      <c r="Q13" s="176" t="s">
        <v>2865</v>
      </c>
      <c r="R13" s="176" t="s">
        <v>2865</v>
      </c>
      <c r="S13" s="176" t="s">
        <v>3274</v>
      </c>
      <c r="T13" s="180">
        <v>46193.808506944442</v>
      </c>
      <c r="U13" s="176" t="s">
        <v>2848</v>
      </c>
      <c r="V13" s="176" t="s">
        <v>2849</v>
      </c>
    </row>
    <row r="14" spans="1:22">
      <c r="A14" s="175">
        <v>46193</v>
      </c>
      <c r="B14" s="176" t="s">
        <v>2976</v>
      </c>
      <c r="C14" s="176" t="s">
        <v>2734</v>
      </c>
      <c r="D14" s="176"/>
      <c r="E14" s="176" t="s">
        <v>258</v>
      </c>
      <c r="F14" s="177"/>
      <c r="G14" s="177" t="s">
        <v>2735</v>
      </c>
      <c r="H14" s="176" t="s">
        <v>2735</v>
      </c>
      <c r="I14" s="178">
        <v>0.91800000000000004</v>
      </c>
      <c r="J14" s="176" t="s">
        <v>2977</v>
      </c>
      <c r="K14" s="176" t="s">
        <v>250</v>
      </c>
      <c r="L14" s="176" t="s">
        <v>2804</v>
      </c>
      <c r="M14" s="179">
        <v>5.3979999999999997</v>
      </c>
      <c r="N14" s="179">
        <v>4.9554</v>
      </c>
      <c r="O14" s="179">
        <v>0</v>
      </c>
      <c r="P14" s="179">
        <v>4.9554</v>
      </c>
      <c r="Q14" s="176" t="s">
        <v>2865</v>
      </c>
      <c r="R14" s="176" t="s">
        <v>2865</v>
      </c>
      <c r="S14" s="176" t="s">
        <v>3274</v>
      </c>
      <c r="T14" s="180">
        <v>46193.808506944442</v>
      </c>
      <c r="U14" s="176" t="s">
        <v>2848</v>
      </c>
      <c r="V14" s="176" t="s">
        <v>2849</v>
      </c>
    </row>
    <row r="15" spans="1:22">
      <c r="A15" s="175">
        <v>46193</v>
      </c>
      <c r="B15" s="176" t="s">
        <v>2976</v>
      </c>
      <c r="C15" s="176" t="s">
        <v>2734</v>
      </c>
      <c r="D15" s="176"/>
      <c r="E15" s="176" t="s">
        <v>258</v>
      </c>
      <c r="F15" s="177"/>
      <c r="G15" s="177" t="s">
        <v>2735</v>
      </c>
      <c r="H15" s="176" t="s">
        <v>2735</v>
      </c>
      <c r="I15" s="178">
        <v>0.91800000000000004</v>
      </c>
      <c r="J15" s="176" t="s">
        <v>2977</v>
      </c>
      <c r="K15" s="176" t="s">
        <v>250</v>
      </c>
      <c r="L15" s="176" t="s">
        <v>2804</v>
      </c>
      <c r="M15" s="179">
        <v>5.3479999999999999</v>
      </c>
      <c r="N15" s="179">
        <v>4.9095000000000004</v>
      </c>
      <c r="O15" s="179">
        <v>0</v>
      </c>
      <c r="P15" s="179">
        <v>4.9095000000000004</v>
      </c>
      <c r="Q15" s="176" t="s">
        <v>2865</v>
      </c>
      <c r="R15" s="176" t="s">
        <v>2865</v>
      </c>
      <c r="S15" s="176" t="s">
        <v>3274</v>
      </c>
      <c r="T15" s="180">
        <v>46193.808506944442</v>
      </c>
      <c r="U15" s="176" t="s">
        <v>2848</v>
      </c>
      <c r="V15" s="176" t="s">
        <v>2849</v>
      </c>
    </row>
    <row r="16" spans="1:22">
      <c r="A16" s="175">
        <v>46193</v>
      </c>
      <c r="B16" s="176" t="s">
        <v>2976</v>
      </c>
      <c r="C16" s="176" t="s">
        <v>2734</v>
      </c>
      <c r="D16" s="176"/>
      <c r="E16" s="176" t="s">
        <v>258</v>
      </c>
      <c r="F16" s="177"/>
      <c r="G16" s="177" t="s">
        <v>2735</v>
      </c>
      <c r="H16" s="176" t="s">
        <v>2735</v>
      </c>
      <c r="I16" s="178">
        <v>0.91800000000000004</v>
      </c>
      <c r="J16" s="176" t="s">
        <v>2977</v>
      </c>
      <c r="K16" s="176" t="s">
        <v>250</v>
      </c>
      <c r="L16" s="176" t="s">
        <v>2804</v>
      </c>
      <c r="M16" s="179">
        <v>5.5369999999999999</v>
      </c>
      <c r="N16" s="179">
        <v>5.0830000000000002</v>
      </c>
      <c r="O16" s="179">
        <v>0</v>
      </c>
      <c r="P16" s="179">
        <v>5.0830000000000002</v>
      </c>
      <c r="Q16" s="176" t="s">
        <v>2865</v>
      </c>
      <c r="R16" s="176" t="s">
        <v>2865</v>
      </c>
      <c r="S16" s="176" t="s">
        <v>3274</v>
      </c>
      <c r="T16" s="180">
        <v>46193.808506944442</v>
      </c>
      <c r="U16" s="176" t="s">
        <v>2848</v>
      </c>
      <c r="V16" s="176" t="s">
        <v>2849</v>
      </c>
    </row>
    <row r="17" spans="1:22">
      <c r="A17" s="175">
        <v>46193</v>
      </c>
      <c r="B17" s="176" t="s">
        <v>2976</v>
      </c>
      <c r="C17" s="176" t="s">
        <v>2734</v>
      </c>
      <c r="D17" s="176"/>
      <c r="E17" s="176" t="s">
        <v>258</v>
      </c>
      <c r="F17" s="177"/>
      <c r="G17" s="177" t="s">
        <v>2735</v>
      </c>
      <c r="H17" s="176" t="s">
        <v>2735</v>
      </c>
      <c r="I17" s="178">
        <v>0.91800000000000004</v>
      </c>
      <c r="J17" s="176" t="s">
        <v>2977</v>
      </c>
      <c r="K17" s="176" t="s">
        <v>250</v>
      </c>
      <c r="L17" s="176" t="s">
        <v>2804</v>
      </c>
      <c r="M17" s="179">
        <v>5.4960000000000004</v>
      </c>
      <c r="N17" s="179">
        <v>5.0453000000000001</v>
      </c>
      <c r="O17" s="179">
        <v>0</v>
      </c>
      <c r="P17" s="179">
        <v>5.0453000000000001</v>
      </c>
      <c r="Q17" s="176" t="s">
        <v>2865</v>
      </c>
      <c r="R17" s="176" t="s">
        <v>2865</v>
      </c>
      <c r="S17" s="176" t="s">
        <v>3274</v>
      </c>
      <c r="T17" s="180">
        <v>46193.808506944442</v>
      </c>
      <c r="U17" s="176" t="s">
        <v>2848</v>
      </c>
      <c r="V17" s="176" t="s">
        <v>2849</v>
      </c>
    </row>
    <row r="18" spans="1:22">
      <c r="A18" s="175">
        <v>46193</v>
      </c>
      <c r="B18" s="176" t="s">
        <v>2978</v>
      </c>
      <c r="C18" s="176" t="s">
        <v>2734</v>
      </c>
      <c r="D18" s="176"/>
      <c r="E18" s="176" t="s">
        <v>258</v>
      </c>
      <c r="F18" s="177"/>
      <c r="G18" s="177" t="s">
        <v>2735</v>
      </c>
      <c r="H18" s="176" t="s">
        <v>2735</v>
      </c>
      <c r="I18" s="178">
        <v>0.91800000000000004</v>
      </c>
      <c r="J18" s="176" t="s">
        <v>2979</v>
      </c>
      <c r="K18" s="176" t="s">
        <v>250</v>
      </c>
      <c r="L18" s="176" t="s">
        <v>2804</v>
      </c>
      <c r="M18" s="179">
        <v>14.3</v>
      </c>
      <c r="N18" s="179">
        <v>13.1274</v>
      </c>
      <c r="O18" s="179">
        <v>0</v>
      </c>
      <c r="P18" s="179">
        <v>13.1274</v>
      </c>
      <c r="Q18" s="176" t="s">
        <v>2894</v>
      </c>
      <c r="R18" s="176" t="s">
        <v>2894</v>
      </c>
      <c r="S18" s="176" t="s">
        <v>3274</v>
      </c>
      <c r="T18" s="180">
        <v>46193.806435185186</v>
      </c>
      <c r="U18" s="176" t="s">
        <v>2766</v>
      </c>
      <c r="V18" s="176" t="s">
        <v>2801</v>
      </c>
    </row>
    <row r="19" spans="1:22">
      <c r="A19" s="175">
        <v>46193</v>
      </c>
      <c r="B19" s="176" t="s">
        <v>2978</v>
      </c>
      <c r="C19" s="176" t="s">
        <v>2734</v>
      </c>
      <c r="D19" s="176"/>
      <c r="E19" s="176" t="s">
        <v>258</v>
      </c>
      <c r="F19" s="177"/>
      <c r="G19" s="177" t="s">
        <v>2735</v>
      </c>
      <c r="H19" s="176" t="s">
        <v>2735</v>
      </c>
      <c r="I19" s="178">
        <v>0.91800000000000004</v>
      </c>
      <c r="J19" s="176" t="s">
        <v>2980</v>
      </c>
      <c r="K19" s="176" t="s">
        <v>250</v>
      </c>
      <c r="L19" s="176" t="s">
        <v>2804</v>
      </c>
      <c r="M19" s="179">
        <v>19.015000000000001</v>
      </c>
      <c r="N19" s="179">
        <v>17.4558</v>
      </c>
      <c r="O19" s="179">
        <v>0</v>
      </c>
      <c r="P19" s="179">
        <v>17.4558</v>
      </c>
      <c r="Q19" s="176" t="s">
        <v>2894</v>
      </c>
      <c r="R19" s="176" t="s">
        <v>2894</v>
      </c>
      <c r="S19" s="176" t="s">
        <v>3274</v>
      </c>
      <c r="T19" s="180">
        <v>46193.806435185186</v>
      </c>
      <c r="U19" s="176" t="s">
        <v>2766</v>
      </c>
      <c r="V19" s="176" t="s">
        <v>2797</v>
      </c>
    </row>
    <row r="20" spans="1:22">
      <c r="A20" s="175">
        <v>46193</v>
      </c>
      <c r="B20" s="176" t="s">
        <v>2978</v>
      </c>
      <c r="C20" s="176" t="s">
        <v>2734</v>
      </c>
      <c r="D20" s="176"/>
      <c r="E20" s="176" t="s">
        <v>258</v>
      </c>
      <c r="F20" s="177"/>
      <c r="G20" s="177" t="s">
        <v>2735</v>
      </c>
      <c r="H20" s="176" t="s">
        <v>2735</v>
      </c>
      <c r="I20" s="178">
        <v>0.91800000000000004</v>
      </c>
      <c r="J20" s="176" t="s">
        <v>2893</v>
      </c>
      <c r="K20" s="176" t="s">
        <v>250</v>
      </c>
      <c r="L20" s="176" t="s">
        <v>2804</v>
      </c>
      <c r="M20" s="179">
        <v>31.145</v>
      </c>
      <c r="N20" s="179">
        <v>28.591100000000001</v>
      </c>
      <c r="O20" s="179">
        <v>0</v>
      </c>
      <c r="P20" s="179">
        <v>28.591100000000001</v>
      </c>
      <c r="Q20" s="176" t="s">
        <v>2894</v>
      </c>
      <c r="R20" s="176" t="s">
        <v>2894</v>
      </c>
      <c r="S20" s="176" t="s">
        <v>3274</v>
      </c>
      <c r="T20" s="180">
        <v>46193.806435185186</v>
      </c>
      <c r="U20" s="176" t="s">
        <v>2766</v>
      </c>
      <c r="V20" s="176" t="s">
        <v>2797</v>
      </c>
    </row>
    <row r="21" spans="1:22">
      <c r="A21" s="175">
        <v>46193</v>
      </c>
      <c r="B21" s="176" t="s">
        <v>2978</v>
      </c>
      <c r="C21" s="176" t="s">
        <v>2734</v>
      </c>
      <c r="D21" s="176"/>
      <c r="E21" s="176" t="s">
        <v>258</v>
      </c>
      <c r="F21" s="177"/>
      <c r="G21" s="177" t="s">
        <v>2735</v>
      </c>
      <c r="H21" s="176" t="s">
        <v>2735</v>
      </c>
      <c r="I21" s="178">
        <v>0.91800000000000004</v>
      </c>
      <c r="J21" s="176" t="s">
        <v>2981</v>
      </c>
      <c r="K21" s="176" t="s">
        <v>250</v>
      </c>
      <c r="L21" s="176" t="s">
        <v>2804</v>
      </c>
      <c r="M21" s="179">
        <v>31.289000000000001</v>
      </c>
      <c r="N21" s="179">
        <v>28.723299999999998</v>
      </c>
      <c r="O21" s="179">
        <v>0</v>
      </c>
      <c r="P21" s="179">
        <v>28.723299999999998</v>
      </c>
      <c r="Q21" s="176" t="s">
        <v>2894</v>
      </c>
      <c r="R21" s="176" t="s">
        <v>2894</v>
      </c>
      <c r="S21" s="176" t="s">
        <v>3274</v>
      </c>
      <c r="T21" s="180">
        <v>46193.806435185186</v>
      </c>
      <c r="U21" s="176" t="s">
        <v>2766</v>
      </c>
      <c r="V21" s="176" t="s">
        <v>2797</v>
      </c>
    </row>
    <row r="22" spans="1:22">
      <c r="A22" s="175">
        <v>46193</v>
      </c>
      <c r="B22" s="176" t="s">
        <v>2978</v>
      </c>
      <c r="C22" s="176" t="s">
        <v>2734</v>
      </c>
      <c r="D22" s="176"/>
      <c r="E22" s="176" t="s">
        <v>258</v>
      </c>
      <c r="F22" s="177"/>
      <c r="G22" s="177" t="s">
        <v>2735</v>
      </c>
      <c r="H22" s="176" t="s">
        <v>2735</v>
      </c>
      <c r="I22" s="178">
        <v>0.91800000000000004</v>
      </c>
      <c r="J22" s="176" t="s">
        <v>2893</v>
      </c>
      <c r="K22" s="176" t="s">
        <v>250</v>
      </c>
      <c r="L22" s="176" t="s">
        <v>2804</v>
      </c>
      <c r="M22" s="179">
        <v>29.591999999999999</v>
      </c>
      <c r="N22" s="179">
        <v>27.165500000000002</v>
      </c>
      <c r="O22" s="179">
        <v>0</v>
      </c>
      <c r="P22" s="179">
        <v>27.165500000000002</v>
      </c>
      <c r="Q22" s="176" t="s">
        <v>2894</v>
      </c>
      <c r="R22" s="176" t="s">
        <v>2894</v>
      </c>
      <c r="S22" s="176" t="s">
        <v>3274</v>
      </c>
      <c r="T22" s="180">
        <v>46193.806435185186</v>
      </c>
      <c r="U22" s="176" t="s">
        <v>2766</v>
      </c>
      <c r="V22" s="176" t="s">
        <v>2797</v>
      </c>
    </row>
    <row r="23" spans="1:22">
      <c r="A23" s="175">
        <v>46193</v>
      </c>
      <c r="B23" s="176" t="s">
        <v>2978</v>
      </c>
      <c r="C23" s="176" t="s">
        <v>2734</v>
      </c>
      <c r="D23" s="176"/>
      <c r="E23" s="176" t="s">
        <v>258</v>
      </c>
      <c r="F23" s="177"/>
      <c r="G23" s="177" t="s">
        <v>2735</v>
      </c>
      <c r="H23" s="176" t="s">
        <v>2735</v>
      </c>
      <c r="I23" s="178">
        <v>0.91800000000000004</v>
      </c>
      <c r="J23" s="176" t="s">
        <v>2981</v>
      </c>
      <c r="K23" s="176" t="s">
        <v>250</v>
      </c>
      <c r="L23" s="176" t="s">
        <v>2804</v>
      </c>
      <c r="M23" s="179">
        <v>30.812000000000001</v>
      </c>
      <c r="N23" s="179">
        <v>28.285399999999999</v>
      </c>
      <c r="O23" s="179">
        <v>0</v>
      </c>
      <c r="P23" s="179">
        <v>28.285399999999999</v>
      </c>
      <c r="Q23" s="176" t="s">
        <v>2894</v>
      </c>
      <c r="R23" s="176" t="s">
        <v>2894</v>
      </c>
      <c r="S23" s="176" t="s">
        <v>3274</v>
      </c>
      <c r="T23" s="180">
        <v>46193.806435185186</v>
      </c>
      <c r="U23" s="176" t="s">
        <v>2766</v>
      </c>
      <c r="V23" s="176" t="s">
        <v>2797</v>
      </c>
    </row>
    <row r="24" spans="1:22">
      <c r="A24" s="175">
        <v>46193</v>
      </c>
      <c r="B24" s="176" t="s">
        <v>2978</v>
      </c>
      <c r="C24" s="176" t="s">
        <v>2734</v>
      </c>
      <c r="D24" s="176"/>
      <c r="E24" s="176" t="s">
        <v>258</v>
      </c>
      <c r="F24" s="177"/>
      <c r="G24" s="177" t="s">
        <v>2735</v>
      </c>
      <c r="H24" s="176" t="s">
        <v>2735</v>
      </c>
      <c r="I24" s="178">
        <v>0.91800000000000004</v>
      </c>
      <c r="J24" s="176" t="s">
        <v>2979</v>
      </c>
      <c r="K24" s="176" t="s">
        <v>250</v>
      </c>
      <c r="L24" s="176" t="s">
        <v>2804</v>
      </c>
      <c r="M24" s="179">
        <v>14.667999999999999</v>
      </c>
      <c r="N24" s="179">
        <v>13.465199999999999</v>
      </c>
      <c r="O24" s="179">
        <v>0</v>
      </c>
      <c r="P24" s="179">
        <v>13.465199999999999</v>
      </c>
      <c r="Q24" s="176" t="s">
        <v>2894</v>
      </c>
      <c r="R24" s="176" t="s">
        <v>2894</v>
      </c>
      <c r="S24" s="176" t="s">
        <v>3274</v>
      </c>
      <c r="T24" s="180">
        <v>46193.806435185186</v>
      </c>
      <c r="U24" s="176" t="s">
        <v>2766</v>
      </c>
      <c r="V24" s="176" t="s">
        <v>2801</v>
      </c>
    </row>
    <row r="25" spans="1:22">
      <c r="A25" s="175">
        <v>46193</v>
      </c>
      <c r="B25" s="176" t="s">
        <v>2978</v>
      </c>
      <c r="C25" s="176" t="s">
        <v>2734</v>
      </c>
      <c r="D25" s="176"/>
      <c r="E25" s="176" t="s">
        <v>258</v>
      </c>
      <c r="F25" s="177"/>
      <c r="G25" s="177" t="s">
        <v>2735</v>
      </c>
      <c r="H25" s="176" t="s">
        <v>2735</v>
      </c>
      <c r="I25" s="178">
        <v>0.91800000000000004</v>
      </c>
      <c r="J25" s="176" t="s">
        <v>2980</v>
      </c>
      <c r="K25" s="176" t="s">
        <v>250</v>
      </c>
      <c r="L25" s="176" t="s">
        <v>2804</v>
      </c>
      <c r="M25" s="179">
        <v>18.866</v>
      </c>
      <c r="N25" s="179">
        <v>17.318999999999999</v>
      </c>
      <c r="O25" s="179">
        <v>0</v>
      </c>
      <c r="P25" s="179">
        <v>17.318999999999999</v>
      </c>
      <c r="Q25" s="176" t="s">
        <v>2894</v>
      </c>
      <c r="R25" s="176" t="s">
        <v>2894</v>
      </c>
      <c r="S25" s="176" t="s">
        <v>3274</v>
      </c>
      <c r="T25" s="180">
        <v>46193.806435185186</v>
      </c>
      <c r="U25" s="176" t="s">
        <v>2766</v>
      </c>
      <c r="V25" s="176" t="s">
        <v>2797</v>
      </c>
    </row>
    <row r="26" spans="1:22">
      <c r="A26" s="175">
        <v>46193</v>
      </c>
      <c r="B26" s="176" t="s">
        <v>2978</v>
      </c>
      <c r="C26" s="176" t="s">
        <v>2734</v>
      </c>
      <c r="D26" s="176"/>
      <c r="E26" s="176" t="s">
        <v>258</v>
      </c>
      <c r="F26" s="177"/>
      <c r="G26" s="177" t="s">
        <v>2735</v>
      </c>
      <c r="H26" s="176" t="s">
        <v>2735</v>
      </c>
      <c r="I26" s="178">
        <v>0.91800000000000004</v>
      </c>
      <c r="J26" s="176" t="s">
        <v>2929</v>
      </c>
      <c r="K26" s="176" t="s">
        <v>250</v>
      </c>
      <c r="L26" s="176" t="s">
        <v>2804</v>
      </c>
      <c r="M26" s="179">
        <v>30.57</v>
      </c>
      <c r="N26" s="179">
        <v>28.063300000000002</v>
      </c>
      <c r="O26" s="179">
        <v>0</v>
      </c>
      <c r="P26" s="179">
        <v>28.063300000000002</v>
      </c>
      <c r="Q26" s="176" t="s">
        <v>2894</v>
      </c>
      <c r="R26" s="176" t="s">
        <v>2894</v>
      </c>
      <c r="S26" s="176" t="s">
        <v>3274</v>
      </c>
      <c r="T26" s="180">
        <v>46193.806435185186</v>
      </c>
      <c r="U26" s="176" t="s">
        <v>2766</v>
      </c>
      <c r="V26" s="176" t="s">
        <v>2797</v>
      </c>
    </row>
    <row r="27" spans="1:22">
      <c r="A27" s="175">
        <v>46193</v>
      </c>
      <c r="B27" s="176" t="s">
        <v>2978</v>
      </c>
      <c r="C27" s="176" t="s">
        <v>2734</v>
      </c>
      <c r="D27" s="176"/>
      <c r="E27" s="176" t="s">
        <v>258</v>
      </c>
      <c r="F27" s="177"/>
      <c r="G27" s="177" t="s">
        <v>2735</v>
      </c>
      <c r="H27" s="176" t="s">
        <v>2735</v>
      </c>
      <c r="I27" s="178">
        <v>0.91800000000000004</v>
      </c>
      <c r="J27" s="176" t="s">
        <v>2981</v>
      </c>
      <c r="K27" s="176" t="s">
        <v>250</v>
      </c>
      <c r="L27" s="176" t="s">
        <v>2804</v>
      </c>
      <c r="M27" s="179">
        <v>31.709</v>
      </c>
      <c r="N27" s="179">
        <v>29.108899999999998</v>
      </c>
      <c r="O27" s="179">
        <v>0</v>
      </c>
      <c r="P27" s="179">
        <v>29.108899999999998</v>
      </c>
      <c r="Q27" s="176" t="s">
        <v>2894</v>
      </c>
      <c r="R27" s="176" t="s">
        <v>2894</v>
      </c>
      <c r="S27" s="176" t="s">
        <v>3274</v>
      </c>
      <c r="T27" s="180">
        <v>46193.806435185186</v>
      </c>
      <c r="U27" s="176" t="s">
        <v>2766</v>
      </c>
      <c r="V27" s="176" t="s">
        <v>2797</v>
      </c>
    </row>
    <row r="28" spans="1:22">
      <c r="A28" s="175">
        <v>46193</v>
      </c>
      <c r="B28" s="176" t="s">
        <v>2978</v>
      </c>
      <c r="C28" s="176" t="s">
        <v>2734</v>
      </c>
      <c r="D28" s="176"/>
      <c r="E28" s="176" t="s">
        <v>258</v>
      </c>
      <c r="F28" s="177"/>
      <c r="G28" s="177" t="s">
        <v>2735</v>
      </c>
      <c r="H28" s="176" t="s">
        <v>2735</v>
      </c>
      <c r="I28" s="178">
        <v>0.91800000000000004</v>
      </c>
      <c r="J28" s="176" t="s">
        <v>2979</v>
      </c>
      <c r="K28" s="176" t="s">
        <v>250</v>
      </c>
      <c r="L28" s="176" t="s">
        <v>2804</v>
      </c>
      <c r="M28" s="179">
        <v>13.698</v>
      </c>
      <c r="N28" s="179">
        <v>12.5748</v>
      </c>
      <c r="O28" s="179">
        <v>0</v>
      </c>
      <c r="P28" s="179">
        <v>12.5748</v>
      </c>
      <c r="Q28" s="176" t="s">
        <v>2894</v>
      </c>
      <c r="R28" s="176" t="s">
        <v>2894</v>
      </c>
      <c r="S28" s="176" t="s">
        <v>3274</v>
      </c>
      <c r="T28" s="180">
        <v>46193.806435185186</v>
      </c>
      <c r="U28" s="176" t="s">
        <v>2766</v>
      </c>
      <c r="V28" s="176" t="s">
        <v>2801</v>
      </c>
    </row>
    <row r="29" spans="1:22">
      <c r="A29" s="175">
        <v>46193</v>
      </c>
      <c r="B29" s="176" t="s">
        <v>2978</v>
      </c>
      <c r="C29" s="176" t="s">
        <v>2734</v>
      </c>
      <c r="D29" s="176"/>
      <c r="E29" s="176" t="s">
        <v>258</v>
      </c>
      <c r="F29" s="177"/>
      <c r="G29" s="177" t="s">
        <v>2735</v>
      </c>
      <c r="H29" s="176" t="s">
        <v>2735</v>
      </c>
      <c r="I29" s="178">
        <v>0.91800000000000004</v>
      </c>
      <c r="J29" s="176" t="s">
        <v>2979</v>
      </c>
      <c r="K29" s="176" t="s">
        <v>250</v>
      </c>
      <c r="L29" s="176" t="s">
        <v>2804</v>
      </c>
      <c r="M29" s="179">
        <v>14.218999999999999</v>
      </c>
      <c r="N29" s="179">
        <v>13.053000000000001</v>
      </c>
      <c r="O29" s="179">
        <v>0</v>
      </c>
      <c r="P29" s="179">
        <v>13.053000000000001</v>
      </c>
      <c r="Q29" s="176" t="s">
        <v>2894</v>
      </c>
      <c r="R29" s="176" t="s">
        <v>2894</v>
      </c>
      <c r="S29" s="176" t="s">
        <v>3274</v>
      </c>
      <c r="T29" s="180">
        <v>46193.806435185186</v>
      </c>
      <c r="U29" s="176" t="s">
        <v>2766</v>
      </c>
      <c r="V29" s="176" t="s">
        <v>2801</v>
      </c>
    </row>
    <row r="30" spans="1:22">
      <c r="A30" s="175">
        <v>46193</v>
      </c>
      <c r="B30" s="176" t="s">
        <v>2978</v>
      </c>
      <c r="C30" s="176" t="s">
        <v>2734</v>
      </c>
      <c r="D30" s="176"/>
      <c r="E30" s="176" t="s">
        <v>258</v>
      </c>
      <c r="F30" s="177"/>
      <c r="G30" s="177" t="s">
        <v>2735</v>
      </c>
      <c r="H30" s="176" t="s">
        <v>2735</v>
      </c>
      <c r="I30" s="178">
        <v>0.91800000000000004</v>
      </c>
      <c r="J30" s="176" t="s">
        <v>2979</v>
      </c>
      <c r="K30" s="176" t="s">
        <v>250</v>
      </c>
      <c r="L30" s="176" t="s">
        <v>2804</v>
      </c>
      <c r="M30" s="179">
        <v>14.813000000000001</v>
      </c>
      <c r="N30" s="179">
        <v>13.5983</v>
      </c>
      <c r="O30" s="179">
        <v>0</v>
      </c>
      <c r="P30" s="179">
        <v>13.5983</v>
      </c>
      <c r="Q30" s="176" t="s">
        <v>2894</v>
      </c>
      <c r="R30" s="176" t="s">
        <v>2894</v>
      </c>
      <c r="S30" s="176" t="s">
        <v>3274</v>
      </c>
      <c r="T30" s="180">
        <v>46193.806435185186</v>
      </c>
      <c r="U30" s="176" t="s">
        <v>2766</v>
      </c>
      <c r="V30" s="176" t="s">
        <v>2801</v>
      </c>
    </row>
    <row r="31" spans="1:22">
      <c r="A31" s="175">
        <v>46193</v>
      </c>
      <c r="B31" s="176" t="s">
        <v>2978</v>
      </c>
      <c r="C31" s="176" t="s">
        <v>2734</v>
      </c>
      <c r="D31" s="176"/>
      <c r="E31" s="176" t="s">
        <v>258</v>
      </c>
      <c r="F31" s="177"/>
      <c r="G31" s="177" t="s">
        <v>2735</v>
      </c>
      <c r="H31" s="176" t="s">
        <v>2735</v>
      </c>
      <c r="I31" s="178">
        <v>0.91800000000000004</v>
      </c>
      <c r="J31" s="176" t="s">
        <v>2929</v>
      </c>
      <c r="K31" s="176" t="s">
        <v>250</v>
      </c>
      <c r="L31" s="176" t="s">
        <v>2804</v>
      </c>
      <c r="M31" s="179">
        <v>28.794</v>
      </c>
      <c r="N31" s="179">
        <v>26.4329</v>
      </c>
      <c r="O31" s="179">
        <v>0</v>
      </c>
      <c r="P31" s="179">
        <v>26.4329</v>
      </c>
      <c r="Q31" s="176" t="s">
        <v>2894</v>
      </c>
      <c r="R31" s="176" t="s">
        <v>2894</v>
      </c>
      <c r="S31" s="176" t="s">
        <v>3274</v>
      </c>
      <c r="T31" s="180">
        <v>46193.806435185186</v>
      </c>
      <c r="U31" s="176" t="s">
        <v>2766</v>
      </c>
      <c r="V31" s="176" t="s">
        <v>2797</v>
      </c>
    </row>
    <row r="32" spans="1:22">
      <c r="A32" s="175">
        <v>46193</v>
      </c>
      <c r="B32" s="176" t="s">
        <v>2978</v>
      </c>
      <c r="C32" s="176" t="s">
        <v>2734</v>
      </c>
      <c r="D32" s="176"/>
      <c r="E32" s="176" t="s">
        <v>258</v>
      </c>
      <c r="F32" s="177"/>
      <c r="G32" s="177" t="s">
        <v>2735</v>
      </c>
      <c r="H32" s="176" t="s">
        <v>2735</v>
      </c>
      <c r="I32" s="178">
        <v>0.91800000000000004</v>
      </c>
      <c r="J32" s="176" t="s">
        <v>2893</v>
      </c>
      <c r="K32" s="176" t="s">
        <v>250</v>
      </c>
      <c r="L32" s="176" t="s">
        <v>2804</v>
      </c>
      <c r="M32" s="179">
        <v>30.614999999999998</v>
      </c>
      <c r="N32" s="179">
        <v>28.104600000000001</v>
      </c>
      <c r="O32" s="179">
        <v>0</v>
      </c>
      <c r="P32" s="179">
        <v>28.104600000000001</v>
      </c>
      <c r="Q32" s="176" t="s">
        <v>2894</v>
      </c>
      <c r="R32" s="176" t="s">
        <v>2894</v>
      </c>
      <c r="S32" s="176" t="s">
        <v>3274</v>
      </c>
      <c r="T32" s="180">
        <v>46193.806435185186</v>
      </c>
      <c r="U32" s="176" t="s">
        <v>2766</v>
      </c>
      <c r="V32" s="176" t="s">
        <v>2797</v>
      </c>
    </row>
    <row r="33" spans="1:22">
      <c r="A33" s="175">
        <v>46193</v>
      </c>
      <c r="B33" s="176" t="s">
        <v>2978</v>
      </c>
      <c r="C33" s="176" t="s">
        <v>2734</v>
      </c>
      <c r="D33" s="176"/>
      <c r="E33" s="176" t="s">
        <v>258</v>
      </c>
      <c r="F33" s="177"/>
      <c r="G33" s="177" t="s">
        <v>2735</v>
      </c>
      <c r="H33" s="176" t="s">
        <v>2735</v>
      </c>
      <c r="I33" s="178">
        <v>0.91800000000000004</v>
      </c>
      <c r="J33" s="176" t="s">
        <v>2980</v>
      </c>
      <c r="K33" s="176" t="s">
        <v>250</v>
      </c>
      <c r="L33" s="176" t="s">
        <v>2804</v>
      </c>
      <c r="M33" s="179">
        <v>19.170000000000002</v>
      </c>
      <c r="N33" s="179">
        <v>17.598099999999999</v>
      </c>
      <c r="O33" s="179">
        <v>0</v>
      </c>
      <c r="P33" s="179">
        <v>17.598099999999999</v>
      </c>
      <c r="Q33" s="176" t="s">
        <v>2894</v>
      </c>
      <c r="R33" s="176" t="s">
        <v>2894</v>
      </c>
      <c r="S33" s="176" t="s">
        <v>3274</v>
      </c>
      <c r="T33" s="180">
        <v>46193.806435185186</v>
      </c>
      <c r="U33" s="176" t="s">
        <v>2766</v>
      </c>
      <c r="V33" s="176" t="s">
        <v>2797</v>
      </c>
    </row>
    <row r="34" spans="1:22">
      <c r="A34" s="175">
        <v>46193</v>
      </c>
      <c r="B34" s="176" t="s">
        <v>2978</v>
      </c>
      <c r="C34" s="176" t="s">
        <v>2734</v>
      </c>
      <c r="D34" s="176"/>
      <c r="E34" s="176" t="s">
        <v>258</v>
      </c>
      <c r="F34" s="177"/>
      <c r="G34" s="177" t="s">
        <v>2735</v>
      </c>
      <c r="H34" s="176" t="s">
        <v>2735</v>
      </c>
      <c r="I34" s="178">
        <v>0.91800000000000004</v>
      </c>
      <c r="J34" s="176" t="s">
        <v>2929</v>
      </c>
      <c r="K34" s="176" t="s">
        <v>250</v>
      </c>
      <c r="L34" s="176" t="s">
        <v>2804</v>
      </c>
      <c r="M34" s="179">
        <v>28.986999999999998</v>
      </c>
      <c r="N34" s="179">
        <v>26.610099999999999</v>
      </c>
      <c r="O34" s="179">
        <v>0</v>
      </c>
      <c r="P34" s="179">
        <v>26.610099999999999</v>
      </c>
      <c r="Q34" s="176" t="s">
        <v>2894</v>
      </c>
      <c r="R34" s="176" t="s">
        <v>2894</v>
      </c>
      <c r="S34" s="176" t="s">
        <v>3274</v>
      </c>
      <c r="T34" s="180">
        <v>46193.806435185186</v>
      </c>
      <c r="U34" s="176" t="s">
        <v>2766</v>
      </c>
      <c r="V34" s="176" t="s">
        <v>2797</v>
      </c>
    </row>
    <row r="35" spans="1:22">
      <c r="A35" s="175">
        <v>46193</v>
      </c>
      <c r="B35" s="176" t="s">
        <v>2982</v>
      </c>
      <c r="C35" s="176" t="s">
        <v>2734</v>
      </c>
      <c r="D35" s="176"/>
      <c r="E35" s="176" t="s">
        <v>277</v>
      </c>
      <c r="F35" s="177"/>
      <c r="G35" s="177" t="s">
        <v>2735</v>
      </c>
      <c r="H35" s="176" t="s">
        <v>2735</v>
      </c>
      <c r="I35" s="178">
        <v>0.75</v>
      </c>
      <c r="J35" s="176" t="s">
        <v>2983</v>
      </c>
      <c r="K35" s="176" t="s">
        <v>253</v>
      </c>
      <c r="L35" s="176" t="s">
        <v>272</v>
      </c>
      <c r="M35" s="179">
        <v>36.159999999999997</v>
      </c>
      <c r="N35" s="179">
        <v>27.12</v>
      </c>
      <c r="O35" s="179">
        <v>2.35</v>
      </c>
      <c r="P35" s="179">
        <v>27.969799999999999</v>
      </c>
      <c r="Q35" s="176" t="s">
        <v>3275</v>
      </c>
      <c r="R35" s="176" t="s">
        <v>2984</v>
      </c>
      <c r="S35" s="176" t="s">
        <v>2872</v>
      </c>
      <c r="T35" s="180">
        <v>46193.804351851853</v>
      </c>
      <c r="U35" s="176" t="s">
        <v>2836</v>
      </c>
      <c r="V35" s="176" t="s">
        <v>2836</v>
      </c>
    </row>
    <row r="36" spans="1:22">
      <c r="A36" s="175">
        <v>46193</v>
      </c>
      <c r="B36" s="176" t="s">
        <v>2982</v>
      </c>
      <c r="C36" s="176" t="s">
        <v>2734</v>
      </c>
      <c r="D36" s="176"/>
      <c r="E36" s="176" t="s">
        <v>277</v>
      </c>
      <c r="F36" s="177"/>
      <c r="G36" s="177" t="s">
        <v>2735</v>
      </c>
      <c r="H36" s="176" t="s">
        <v>2735</v>
      </c>
      <c r="I36" s="178">
        <v>0.75</v>
      </c>
      <c r="J36" s="176" t="s">
        <v>2985</v>
      </c>
      <c r="K36" s="176" t="s">
        <v>253</v>
      </c>
      <c r="L36" s="176" t="s">
        <v>272</v>
      </c>
      <c r="M36" s="179">
        <v>247.95</v>
      </c>
      <c r="N36" s="179">
        <v>185.96250000000001</v>
      </c>
      <c r="O36" s="179">
        <v>3</v>
      </c>
      <c r="P36" s="179">
        <v>193.40100000000001</v>
      </c>
      <c r="Q36" s="176" t="s">
        <v>2986</v>
      </c>
      <c r="R36" s="176" t="s">
        <v>2986</v>
      </c>
      <c r="S36" s="176" t="s">
        <v>2872</v>
      </c>
      <c r="T36" s="180">
        <v>46193.804351851853</v>
      </c>
      <c r="U36" s="176" t="s">
        <v>3276</v>
      </c>
      <c r="V36" s="176" t="s">
        <v>2754</v>
      </c>
    </row>
    <row r="37" spans="1:22">
      <c r="A37" s="175">
        <v>46193</v>
      </c>
      <c r="B37" s="176" t="s">
        <v>2987</v>
      </c>
      <c r="C37" s="176" t="s">
        <v>2734</v>
      </c>
      <c r="D37" s="176"/>
      <c r="E37" s="176" t="s">
        <v>258</v>
      </c>
      <c r="F37" s="177"/>
      <c r="G37" s="177" t="s">
        <v>2735</v>
      </c>
      <c r="H37" s="176" t="s">
        <v>2735</v>
      </c>
      <c r="I37" s="178">
        <v>0.75</v>
      </c>
      <c r="J37" s="176" t="s">
        <v>2890</v>
      </c>
      <c r="K37" s="176" t="s">
        <v>253</v>
      </c>
      <c r="L37" s="176" t="s">
        <v>282</v>
      </c>
      <c r="M37" s="179">
        <v>14.456</v>
      </c>
      <c r="N37" s="179">
        <v>10.842000000000001</v>
      </c>
      <c r="O37" s="179">
        <v>0</v>
      </c>
      <c r="P37" s="179">
        <v>10.842000000000001</v>
      </c>
      <c r="Q37" s="176" t="s">
        <v>2988</v>
      </c>
      <c r="R37" s="176" t="s">
        <v>2988</v>
      </c>
      <c r="S37" s="176" t="s">
        <v>3274</v>
      </c>
      <c r="T37" s="180">
        <v>46193.803194444445</v>
      </c>
      <c r="U37" s="176" t="s">
        <v>2837</v>
      </c>
      <c r="V37" s="176" t="s">
        <v>2797</v>
      </c>
    </row>
    <row r="38" spans="1:22">
      <c r="A38" s="175">
        <v>46193</v>
      </c>
      <c r="B38" s="176" t="s">
        <v>2987</v>
      </c>
      <c r="C38" s="176" t="s">
        <v>2734</v>
      </c>
      <c r="D38" s="176"/>
      <c r="E38" s="176" t="s">
        <v>258</v>
      </c>
      <c r="F38" s="177"/>
      <c r="G38" s="177" t="s">
        <v>2735</v>
      </c>
      <c r="H38" s="176" t="s">
        <v>2735</v>
      </c>
      <c r="I38" s="178">
        <v>0.75</v>
      </c>
      <c r="J38" s="176" t="s">
        <v>2890</v>
      </c>
      <c r="K38" s="176" t="s">
        <v>253</v>
      </c>
      <c r="L38" s="176" t="s">
        <v>282</v>
      </c>
      <c r="M38" s="179">
        <v>14.454000000000001</v>
      </c>
      <c r="N38" s="179">
        <v>10.8405</v>
      </c>
      <c r="O38" s="179">
        <v>0</v>
      </c>
      <c r="P38" s="179">
        <v>10.8405</v>
      </c>
      <c r="Q38" s="176" t="s">
        <v>2988</v>
      </c>
      <c r="R38" s="176" t="s">
        <v>2988</v>
      </c>
      <c r="S38" s="176" t="s">
        <v>3274</v>
      </c>
      <c r="T38" s="180">
        <v>46193.803194444445</v>
      </c>
      <c r="U38" s="176" t="s">
        <v>2837</v>
      </c>
      <c r="V38" s="176" t="s">
        <v>2797</v>
      </c>
    </row>
    <row r="39" spans="1:22">
      <c r="A39" s="175">
        <v>46193</v>
      </c>
      <c r="B39" s="176" t="s">
        <v>2987</v>
      </c>
      <c r="C39" s="176" t="s">
        <v>2734</v>
      </c>
      <c r="D39" s="176"/>
      <c r="E39" s="176" t="s">
        <v>258</v>
      </c>
      <c r="F39" s="177"/>
      <c r="G39" s="177" t="s">
        <v>2735</v>
      </c>
      <c r="H39" s="176" t="s">
        <v>2735</v>
      </c>
      <c r="I39" s="178">
        <v>0.75</v>
      </c>
      <c r="J39" s="176" t="s">
        <v>2890</v>
      </c>
      <c r="K39" s="176" t="s">
        <v>253</v>
      </c>
      <c r="L39" s="176" t="s">
        <v>282</v>
      </c>
      <c r="M39" s="179">
        <v>14.054</v>
      </c>
      <c r="N39" s="179">
        <v>10.5405</v>
      </c>
      <c r="O39" s="179">
        <v>0</v>
      </c>
      <c r="P39" s="179">
        <v>10.5405</v>
      </c>
      <c r="Q39" s="176" t="s">
        <v>2988</v>
      </c>
      <c r="R39" s="176" t="s">
        <v>2988</v>
      </c>
      <c r="S39" s="176" t="s">
        <v>3274</v>
      </c>
      <c r="T39" s="180">
        <v>46193.803194444445</v>
      </c>
      <c r="U39" s="176" t="s">
        <v>2837</v>
      </c>
      <c r="V39" s="176" t="s">
        <v>2797</v>
      </c>
    </row>
    <row r="40" spans="1:22">
      <c r="A40" s="175">
        <v>46193</v>
      </c>
      <c r="B40" s="176" t="s">
        <v>2987</v>
      </c>
      <c r="C40" s="176" t="s">
        <v>2734</v>
      </c>
      <c r="D40" s="176"/>
      <c r="E40" s="176" t="s">
        <v>258</v>
      </c>
      <c r="F40" s="177"/>
      <c r="G40" s="177" t="s">
        <v>2735</v>
      </c>
      <c r="H40" s="176" t="s">
        <v>2735</v>
      </c>
      <c r="I40" s="178">
        <v>0.75</v>
      </c>
      <c r="J40" s="176" t="s">
        <v>2890</v>
      </c>
      <c r="K40" s="176" t="s">
        <v>253</v>
      </c>
      <c r="L40" s="176" t="s">
        <v>282</v>
      </c>
      <c r="M40" s="179">
        <v>14.401999999999999</v>
      </c>
      <c r="N40" s="179">
        <v>10.801500000000001</v>
      </c>
      <c r="O40" s="179">
        <v>0</v>
      </c>
      <c r="P40" s="179">
        <v>10.801500000000001</v>
      </c>
      <c r="Q40" s="176" t="s">
        <v>2988</v>
      </c>
      <c r="R40" s="176" t="s">
        <v>2988</v>
      </c>
      <c r="S40" s="176" t="s">
        <v>3274</v>
      </c>
      <c r="T40" s="180">
        <v>46193.803194444445</v>
      </c>
      <c r="U40" s="176" t="s">
        <v>2837</v>
      </c>
      <c r="V40" s="176" t="s">
        <v>2797</v>
      </c>
    </row>
    <row r="41" spans="1:22">
      <c r="A41" s="175">
        <v>46193</v>
      </c>
      <c r="B41" s="176" t="s">
        <v>2987</v>
      </c>
      <c r="C41" s="176" t="s">
        <v>2734</v>
      </c>
      <c r="D41" s="176"/>
      <c r="E41" s="176" t="s">
        <v>258</v>
      </c>
      <c r="F41" s="177"/>
      <c r="G41" s="177" t="s">
        <v>2735</v>
      </c>
      <c r="H41" s="176" t="s">
        <v>2735</v>
      </c>
      <c r="I41" s="178">
        <v>0.75</v>
      </c>
      <c r="J41" s="176" t="s">
        <v>2890</v>
      </c>
      <c r="K41" s="176" t="s">
        <v>253</v>
      </c>
      <c r="L41" s="176" t="s">
        <v>282</v>
      </c>
      <c r="M41" s="179">
        <v>14.342000000000001</v>
      </c>
      <c r="N41" s="179">
        <v>10.756500000000001</v>
      </c>
      <c r="O41" s="179">
        <v>0</v>
      </c>
      <c r="P41" s="179">
        <v>10.756500000000001</v>
      </c>
      <c r="Q41" s="176" t="s">
        <v>2988</v>
      </c>
      <c r="R41" s="176" t="s">
        <v>2988</v>
      </c>
      <c r="S41" s="176" t="s">
        <v>3274</v>
      </c>
      <c r="T41" s="180">
        <v>46193.803194444445</v>
      </c>
      <c r="U41" s="176" t="s">
        <v>2837</v>
      </c>
      <c r="V41" s="176" t="s">
        <v>2797</v>
      </c>
    </row>
    <row r="42" spans="1:22">
      <c r="A42" s="175">
        <v>46193</v>
      </c>
      <c r="B42" s="176" t="s">
        <v>2987</v>
      </c>
      <c r="C42" s="176" t="s">
        <v>2734</v>
      </c>
      <c r="D42" s="176"/>
      <c r="E42" s="176" t="s">
        <v>258</v>
      </c>
      <c r="F42" s="177"/>
      <c r="G42" s="177" t="s">
        <v>2735</v>
      </c>
      <c r="H42" s="176" t="s">
        <v>2735</v>
      </c>
      <c r="I42" s="178">
        <v>0.75</v>
      </c>
      <c r="J42" s="176" t="s">
        <v>2890</v>
      </c>
      <c r="K42" s="176" t="s">
        <v>253</v>
      </c>
      <c r="L42" s="176" t="s">
        <v>282</v>
      </c>
      <c r="M42" s="179">
        <v>14.909000000000001</v>
      </c>
      <c r="N42" s="179">
        <v>11.181800000000001</v>
      </c>
      <c r="O42" s="179">
        <v>0</v>
      </c>
      <c r="P42" s="179">
        <v>11.181800000000001</v>
      </c>
      <c r="Q42" s="176" t="s">
        <v>2988</v>
      </c>
      <c r="R42" s="176" t="s">
        <v>2988</v>
      </c>
      <c r="S42" s="176" t="s">
        <v>3274</v>
      </c>
      <c r="T42" s="180">
        <v>46193.803194444445</v>
      </c>
      <c r="U42" s="176" t="s">
        <v>2837</v>
      </c>
      <c r="V42" s="176" t="s">
        <v>2797</v>
      </c>
    </row>
    <row r="43" spans="1:22">
      <c r="A43" s="175">
        <v>46193</v>
      </c>
      <c r="B43" s="176" t="s">
        <v>2987</v>
      </c>
      <c r="C43" s="176" t="s">
        <v>2734</v>
      </c>
      <c r="D43" s="176"/>
      <c r="E43" s="176" t="s">
        <v>258</v>
      </c>
      <c r="F43" s="177"/>
      <c r="G43" s="177" t="s">
        <v>2735</v>
      </c>
      <c r="H43" s="176" t="s">
        <v>2735</v>
      </c>
      <c r="I43" s="178">
        <v>0.75</v>
      </c>
      <c r="J43" s="176" t="s">
        <v>2890</v>
      </c>
      <c r="K43" s="176" t="s">
        <v>253</v>
      </c>
      <c r="L43" s="176" t="s">
        <v>282</v>
      </c>
      <c r="M43" s="179">
        <v>14.304</v>
      </c>
      <c r="N43" s="179">
        <v>10.728</v>
      </c>
      <c r="O43" s="179">
        <v>0</v>
      </c>
      <c r="P43" s="179">
        <v>10.728</v>
      </c>
      <c r="Q43" s="176" t="s">
        <v>2988</v>
      </c>
      <c r="R43" s="176" t="s">
        <v>2988</v>
      </c>
      <c r="S43" s="176" t="s">
        <v>3274</v>
      </c>
      <c r="T43" s="180">
        <v>46193.803194444445</v>
      </c>
      <c r="U43" s="176" t="s">
        <v>2837</v>
      </c>
      <c r="V43" s="176" t="s">
        <v>2797</v>
      </c>
    </row>
    <row r="44" spans="1:22">
      <c r="A44" s="175">
        <v>46193</v>
      </c>
      <c r="B44" s="176" t="s">
        <v>2987</v>
      </c>
      <c r="C44" s="176" t="s">
        <v>2734</v>
      </c>
      <c r="D44" s="176"/>
      <c r="E44" s="176" t="s">
        <v>258</v>
      </c>
      <c r="F44" s="177"/>
      <c r="G44" s="177" t="s">
        <v>2735</v>
      </c>
      <c r="H44" s="176" t="s">
        <v>2735</v>
      </c>
      <c r="I44" s="178">
        <v>0.75</v>
      </c>
      <c r="J44" s="176" t="s">
        <v>2890</v>
      </c>
      <c r="K44" s="176" t="s">
        <v>253</v>
      </c>
      <c r="L44" s="176" t="s">
        <v>282</v>
      </c>
      <c r="M44" s="179">
        <v>14.226000000000001</v>
      </c>
      <c r="N44" s="179">
        <v>10.669499999999999</v>
      </c>
      <c r="O44" s="179">
        <v>0</v>
      </c>
      <c r="P44" s="179">
        <v>10.669499999999999</v>
      </c>
      <c r="Q44" s="176" t="s">
        <v>2988</v>
      </c>
      <c r="R44" s="176" t="s">
        <v>2988</v>
      </c>
      <c r="S44" s="176" t="s">
        <v>3274</v>
      </c>
      <c r="T44" s="180">
        <v>46193.803194444445</v>
      </c>
      <c r="U44" s="176" t="s">
        <v>2837</v>
      </c>
      <c r="V44" s="176" t="s">
        <v>2797</v>
      </c>
    </row>
    <row r="45" spans="1:22">
      <c r="A45" s="175">
        <v>46193</v>
      </c>
      <c r="B45" s="176" t="s">
        <v>2987</v>
      </c>
      <c r="C45" s="176" t="s">
        <v>2734</v>
      </c>
      <c r="D45" s="176"/>
      <c r="E45" s="176" t="s">
        <v>258</v>
      </c>
      <c r="F45" s="177"/>
      <c r="G45" s="177" t="s">
        <v>2735</v>
      </c>
      <c r="H45" s="176" t="s">
        <v>2735</v>
      </c>
      <c r="I45" s="178">
        <v>0.75</v>
      </c>
      <c r="J45" s="176" t="s">
        <v>2890</v>
      </c>
      <c r="K45" s="176" t="s">
        <v>253</v>
      </c>
      <c r="L45" s="176" t="s">
        <v>282</v>
      </c>
      <c r="M45" s="179">
        <v>14.276</v>
      </c>
      <c r="N45" s="179">
        <v>10.707000000000001</v>
      </c>
      <c r="O45" s="179">
        <v>0</v>
      </c>
      <c r="P45" s="179">
        <v>10.707000000000001</v>
      </c>
      <c r="Q45" s="176" t="s">
        <v>2988</v>
      </c>
      <c r="R45" s="176" t="s">
        <v>2988</v>
      </c>
      <c r="S45" s="176" t="s">
        <v>3274</v>
      </c>
      <c r="T45" s="180">
        <v>46193.803194444445</v>
      </c>
      <c r="U45" s="176" t="s">
        <v>2837</v>
      </c>
      <c r="V45" s="176" t="s">
        <v>2797</v>
      </c>
    </row>
    <row r="46" spans="1:22">
      <c r="A46" s="175">
        <v>46193</v>
      </c>
      <c r="B46" s="176" t="s">
        <v>2987</v>
      </c>
      <c r="C46" s="176" t="s">
        <v>2734</v>
      </c>
      <c r="D46" s="176"/>
      <c r="E46" s="176" t="s">
        <v>258</v>
      </c>
      <c r="F46" s="177"/>
      <c r="G46" s="177" t="s">
        <v>2735</v>
      </c>
      <c r="H46" s="176" t="s">
        <v>2735</v>
      </c>
      <c r="I46" s="178">
        <v>0.75</v>
      </c>
      <c r="J46" s="176" t="s">
        <v>2890</v>
      </c>
      <c r="K46" s="176" t="s">
        <v>253</v>
      </c>
      <c r="L46" s="176" t="s">
        <v>282</v>
      </c>
      <c r="M46" s="179">
        <v>13.879</v>
      </c>
      <c r="N46" s="179">
        <v>10.4093</v>
      </c>
      <c r="O46" s="179">
        <v>0</v>
      </c>
      <c r="P46" s="179">
        <v>10.4093</v>
      </c>
      <c r="Q46" s="176" t="s">
        <v>2988</v>
      </c>
      <c r="R46" s="176" t="s">
        <v>2988</v>
      </c>
      <c r="S46" s="176" t="s">
        <v>3274</v>
      </c>
      <c r="T46" s="180">
        <v>46193.803194444445</v>
      </c>
      <c r="U46" s="176" t="s">
        <v>2837</v>
      </c>
      <c r="V46" s="176" t="s">
        <v>2797</v>
      </c>
    </row>
    <row r="47" spans="1:22">
      <c r="A47" s="175">
        <v>46193</v>
      </c>
      <c r="B47" s="176" t="s">
        <v>2987</v>
      </c>
      <c r="C47" s="176" t="s">
        <v>2734</v>
      </c>
      <c r="D47" s="176"/>
      <c r="E47" s="176" t="s">
        <v>258</v>
      </c>
      <c r="F47" s="177"/>
      <c r="G47" s="177" t="s">
        <v>2735</v>
      </c>
      <c r="H47" s="176" t="s">
        <v>2735</v>
      </c>
      <c r="I47" s="178">
        <v>0.75</v>
      </c>
      <c r="J47" s="176" t="s">
        <v>2890</v>
      </c>
      <c r="K47" s="176" t="s">
        <v>253</v>
      </c>
      <c r="L47" s="176" t="s">
        <v>282</v>
      </c>
      <c r="M47" s="179">
        <v>14.513</v>
      </c>
      <c r="N47" s="179">
        <v>10.8848</v>
      </c>
      <c r="O47" s="179">
        <v>0</v>
      </c>
      <c r="P47" s="179">
        <v>10.8848</v>
      </c>
      <c r="Q47" s="176" t="s">
        <v>2988</v>
      </c>
      <c r="R47" s="176" t="s">
        <v>2988</v>
      </c>
      <c r="S47" s="176" t="s">
        <v>3274</v>
      </c>
      <c r="T47" s="180">
        <v>46193.803194444445</v>
      </c>
      <c r="U47" s="176" t="s">
        <v>2837</v>
      </c>
      <c r="V47" s="176" t="s">
        <v>2797</v>
      </c>
    </row>
    <row r="48" spans="1:22">
      <c r="A48" s="175">
        <v>46193</v>
      </c>
      <c r="B48" s="176" t="s">
        <v>2987</v>
      </c>
      <c r="C48" s="176" t="s">
        <v>2734</v>
      </c>
      <c r="D48" s="176"/>
      <c r="E48" s="176" t="s">
        <v>258</v>
      </c>
      <c r="F48" s="177"/>
      <c r="G48" s="177" t="s">
        <v>2735</v>
      </c>
      <c r="H48" s="176" t="s">
        <v>2735</v>
      </c>
      <c r="I48" s="178">
        <v>0.75</v>
      </c>
      <c r="J48" s="176" t="s">
        <v>2890</v>
      </c>
      <c r="K48" s="176" t="s">
        <v>253</v>
      </c>
      <c r="L48" s="176" t="s">
        <v>282</v>
      </c>
      <c r="M48" s="179">
        <v>14.824</v>
      </c>
      <c r="N48" s="179">
        <v>11.118</v>
      </c>
      <c r="O48" s="179">
        <v>0</v>
      </c>
      <c r="P48" s="179">
        <v>11.118</v>
      </c>
      <c r="Q48" s="176" t="s">
        <v>2988</v>
      </c>
      <c r="R48" s="176" t="s">
        <v>2988</v>
      </c>
      <c r="S48" s="176" t="s">
        <v>3274</v>
      </c>
      <c r="T48" s="180">
        <v>46193.803194444445</v>
      </c>
      <c r="U48" s="176" t="s">
        <v>2837</v>
      </c>
      <c r="V48" s="176" t="s">
        <v>2797</v>
      </c>
    </row>
    <row r="49" spans="1:22">
      <c r="A49" s="175">
        <v>46193</v>
      </c>
      <c r="B49" s="176" t="s">
        <v>2987</v>
      </c>
      <c r="C49" s="176" t="s">
        <v>2734</v>
      </c>
      <c r="D49" s="176"/>
      <c r="E49" s="176" t="s">
        <v>258</v>
      </c>
      <c r="F49" s="177"/>
      <c r="G49" s="177" t="s">
        <v>2735</v>
      </c>
      <c r="H49" s="176" t="s">
        <v>2735</v>
      </c>
      <c r="I49" s="178">
        <v>0.75</v>
      </c>
      <c r="J49" s="176" t="s">
        <v>2890</v>
      </c>
      <c r="K49" s="176" t="s">
        <v>253</v>
      </c>
      <c r="L49" s="176" t="s">
        <v>282</v>
      </c>
      <c r="M49" s="179">
        <v>15.077999999999999</v>
      </c>
      <c r="N49" s="179">
        <v>11.3085</v>
      </c>
      <c r="O49" s="179">
        <v>0</v>
      </c>
      <c r="P49" s="179">
        <v>11.3085</v>
      </c>
      <c r="Q49" s="176" t="s">
        <v>2988</v>
      </c>
      <c r="R49" s="176" t="s">
        <v>2988</v>
      </c>
      <c r="S49" s="176" t="s">
        <v>3274</v>
      </c>
      <c r="T49" s="180">
        <v>46193.803194444445</v>
      </c>
      <c r="U49" s="176" t="s">
        <v>2837</v>
      </c>
      <c r="V49" s="176" t="s">
        <v>2797</v>
      </c>
    </row>
    <row r="50" spans="1:22">
      <c r="A50" s="175">
        <v>46193</v>
      </c>
      <c r="B50" s="176" t="s">
        <v>2989</v>
      </c>
      <c r="C50" s="176" t="s">
        <v>2734</v>
      </c>
      <c r="D50" s="176"/>
      <c r="E50" s="176" t="s">
        <v>2718</v>
      </c>
      <c r="F50" s="177"/>
      <c r="G50" s="177" t="s">
        <v>3277</v>
      </c>
      <c r="H50" s="176" t="s">
        <v>3278</v>
      </c>
      <c r="I50" s="178">
        <v>0.995</v>
      </c>
      <c r="J50" s="176"/>
      <c r="K50" s="176" t="s">
        <v>259</v>
      </c>
      <c r="L50" s="176" t="s">
        <v>2805</v>
      </c>
      <c r="M50" s="179">
        <v>114.399</v>
      </c>
      <c r="N50" s="179">
        <v>113.827</v>
      </c>
      <c r="O50" s="179">
        <v>0</v>
      </c>
      <c r="P50" s="179">
        <v>113.827</v>
      </c>
      <c r="Q50" s="176"/>
      <c r="R50" s="176" t="s">
        <v>2990</v>
      </c>
      <c r="S50" s="176" t="s">
        <v>2884</v>
      </c>
      <c r="T50" s="180">
        <v>46193.801886574074</v>
      </c>
      <c r="U50" s="176"/>
      <c r="V50" s="176"/>
    </row>
    <row r="51" spans="1:22">
      <c r="A51" s="175">
        <v>46193</v>
      </c>
      <c r="B51" s="176" t="s">
        <v>2989</v>
      </c>
      <c r="C51" s="176" t="s">
        <v>2734</v>
      </c>
      <c r="D51" s="176"/>
      <c r="E51" s="176" t="s">
        <v>2718</v>
      </c>
      <c r="F51" s="177"/>
      <c r="G51" s="177" t="s">
        <v>3277</v>
      </c>
      <c r="H51" s="176" t="s">
        <v>3278</v>
      </c>
      <c r="I51" s="178">
        <v>0.995</v>
      </c>
      <c r="J51" s="176"/>
      <c r="K51" s="176" t="s">
        <v>259</v>
      </c>
      <c r="L51" s="176" t="s">
        <v>2805</v>
      </c>
      <c r="M51" s="179">
        <v>396.50099999999998</v>
      </c>
      <c r="N51" s="179">
        <v>394.51850000000002</v>
      </c>
      <c r="O51" s="179">
        <v>0</v>
      </c>
      <c r="P51" s="179">
        <v>394.51850000000002</v>
      </c>
      <c r="Q51" s="176"/>
      <c r="R51" s="176" t="s">
        <v>2991</v>
      </c>
      <c r="S51" s="176" t="s">
        <v>2884</v>
      </c>
      <c r="T51" s="180">
        <v>46193.801886574074</v>
      </c>
      <c r="U51" s="176"/>
      <c r="V51" s="176"/>
    </row>
    <row r="52" spans="1:22">
      <c r="A52" s="175">
        <v>46193</v>
      </c>
      <c r="B52" s="176" t="s">
        <v>2992</v>
      </c>
      <c r="C52" s="176" t="s">
        <v>2734</v>
      </c>
      <c r="D52" s="176"/>
      <c r="E52" s="176" t="s">
        <v>252</v>
      </c>
      <c r="F52" s="177"/>
      <c r="G52" s="177" t="s">
        <v>2735</v>
      </c>
      <c r="H52" s="176" t="s">
        <v>2735</v>
      </c>
      <c r="I52" s="178">
        <v>0.75</v>
      </c>
      <c r="J52" s="176" t="s">
        <v>2863</v>
      </c>
      <c r="K52" s="176" t="s">
        <v>253</v>
      </c>
      <c r="L52" s="176" t="s">
        <v>272</v>
      </c>
      <c r="M52" s="179">
        <v>30.2</v>
      </c>
      <c r="N52" s="179">
        <v>22.65</v>
      </c>
      <c r="O52" s="179">
        <v>0</v>
      </c>
      <c r="P52" s="179">
        <v>22.65</v>
      </c>
      <c r="Q52" s="176"/>
      <c r="R52" s="176" t="s">
        <v>2993</v>
      </c>
      <c r="S52" s="176" t="s">
        <v>2872</v>
      </c>
      <c r="T52" s="180">
        <v>46193.800266203703</v>
      </c>
      <c r="U52" s="176" t="s">
        <v>2827</v>
      </c>
      <c r="V52" s="176" t="s">
        <v>2754</v>
      </c>
    </row>
    <row r="53" spans="1:22">
      <c r="A53" s="175">
        <v>46193</v>
      </c>
      <c r="B53" s="176" t="s">
        <v>2994</v>
      </c>
      <c r="C53" s="176" t="s">
        <v>2734</v>
      </c>
      <c r="D53" s="176"/>
      <c r="E53" s="176" t="s">
        <v>277</v>
      </c>
      <c r="F53" s="177"/>
      <c r="G53" s="177" t="s">
        <v>2735</v>
      </c>
      <c r="H53" s="176" t="s">
        <v>2735</v>
      </c>
      <c r="I53" s="178">
        <v>0.75</v>
      </c>
      <c r="J53" s="176" t="s">
        <v>2995</v>
      </c>
      <c r="K53" s="176" t="s">
        <v>253</v>
      </c>
      <c r="L53" s="176" t="s">
        <v>282</v>
      </c>
      <c r="M53" s="179">
        <v>3.9729999999999999</v>
      </c>
      <c r="N53" s="179">
        <v>2.9798</v>
      </c>
      <c r="O53" s="179">
        <v>4</v>
      </c>
      <c r="P53" s="179">
        <v>3.1387</v>
      </c>
      <c r="Q53" s="176" t="s">
        <v>2996</v>
      </c>
      <c r="R53" s="176" t="s">
        <v>2996</v>
      </c>
      <c r="S53" s="176" t="s">
        <v>3274</v>
      </c>
      <c r="T53" s="180">
        <v>46193.79965277778</v>
      </c>
      <c r="U53" s="176" t="s">
        <v>3279</v>
      </c>
      <c r="V53" s="176" t="s">
        <v>3280</v>
      </c>
    </row>
    <row r="54" spans="1:22">
      <c r="A54" s="175">
        <v>46193</v>
      </c>
      <c r="B54" s="176" t="s">
        <v>2994</v>
      </c>
      <c r="C54" s="176" t="s">
        <v>2734</v>
      </c>
      <c r="D54" s="176"/>
      <c r="E54" s="176" t="s">
        <v>277</v>
      </c>
      <c r="F54" s="177"/>
      <c r="G54" s="177" t="s">
        <v>2735</v>
      </c>
      <c r="H54" s="176" t="s">
        <v>2735</v>
      </c>
      <c r="I54" s="178">
        <v>0.75</v>
      </c>
      <c r="J54" s="176" t="s">
        <v>2995</v>
      </c>
      <c r="K54" s="176" t="s">
        <v>253</v>
      </c>
      <c r="L54" s="176" t="s">
        <v>282</v>
      </c>
      <c r="M54" s="179">
        <v>3.9969999999999999</v>
      </c>
      <c r="N54" s="179">
        <v>2.9977999999999998</v>
      </c>
      <c r="O54" s="179">
        <v>4</v>
      </c>
      <c r="P54" s="179">
        <v>3.1576</v>
      </c>
      <c r="Q54" s="176" t="s">
        <v>2996</v>
      </c>
      <c r="R54" s="176" t="s">
        <v>2996</v>
      </c>
      <c r="S54" s="176" t="s">
        <v>3274</v>
      </c>
      <c r="T54" s="180">
        <v>46193.79965277778</v>
      </c>
      <c r="U54" s="176" t="s">
        <v>3279</v>
      </c>
      <c r="V54" s="176" t="s">
        <v>3280</v>
      </c>
    </row>
    <row r="55" spans="1:22">
      <c r="A55" s="175">
        <v>46193</v>
      </c>
      <c r="B55" s="176" t="s">
        <v>2997</v>
      </c>
      <c r="C55" s="176" t="s">
        <v>2734</v>
      </c>
      <c r="D55" s="176"/>
      <c r="E55" s="176" t="s">
        <v>258</v>
      </c>
      <c r="F55" s="177"/>
      <c r="G55" s="177" t="s">
        <v>2735</v>
      </c>
      <c r="H55" s="176" t="s">
        <v>2735</v>
      </c>
      <c r="I55" s="178">
        <v>0.75</v>
      </c>
      <c r="J55" s="176" t="s">
        <v>2940</v>
      </c>
      <c r="K55" s="176" t="s">
        <v>253</v>
      </c>
      <c r="L55" s="176" t="s">
        <v>272</v>
      </c>
      <c r="M55" s="179">
        <v>97.57</v>
      </c>
      <c r="N55" s="179">
        <v>73.177499999999995</v>
      </c>
      <c r="O55" s="179">
        <v>0</v>
      </c>
      <c r="P55" s="179">
        <v>73.177499999999995</v>
      </c>
      <c r="Q55" s="176"/>
      <c r="R55" s="176" t="s">
        <v>2998</v>
      </c>
      <c r="S55" s="176" t="s">
        <v>2885</v>
      </c>
      <c r="T55" s="180">
        <v>46193.798043981478</v>
      </c>
      <c r="U55" s="176" t="s">
        <v>2905</v>
      </c>
      <c r="V55" s="176" t="s">
        <v>2906</v>
      </c>
    </row>
    <row r="56" spans="1:22">
      <c r="A56" s="175">
        <v>46193</v>
      </c>
      <c r="B56" s="176" t="s">
        <v>2997</v>
      </c>
      <c r="C56" s="176" t="s">
        <v>2734</v>
      </c>
      <c r="D56" s="176"/>
      <c r="E56" s="176" t="s">
        <v>258</v>
      </c>
      <c r="F56" s="177"/>
      <c r="G56" s="177" t="s">
        <v>2735</v>
      </c>
      <c r="H56" s="176" t="s">
        <v>2735</v>
      </c>
      <c r="I56" s="178">
        <v>0.75</v>
      </c>
      <c r="J56" s="176" t="s">
        <v>2999</v>
      </c>
      <c r="K56" s="176" t="s">
        <v>253</v>
      </c>
      <c r="L56" s="176" t="s">
        <v>272</v>
      </c>
      <c r="M56" s="179">
        <v>111.72</v>
      </c>
      <c r="N56" s="179">
        <v>83.79</v>
      </c>
      <c r="O56" s="179">
        <v>0</v>
      </c>
      <c r="P56" s="179">
        <v>83.79</v>
      </c>
      <c r="Q56" s="176" t="s">
        <v>3281</v>
      </c>
      <c r="R56" s="176" t="s">
        <v>3000</v>
      </c>
      <c r="S56" s="176" t="s">
        <v>2885</v>
      </c>
      <c r="T56" s="180">
        <v>46193.798043981478</v>
      </c>
      <c r="U56" s="176" t="s">
        <v>2952</v>
      </c>
      <c r="V56" s="176" t="s">
        <v>2754</v>
      </c>
    </row>
    <row r="57" spans="1:22">
      <c r="A57" s="175">
        <v>46193</v>
      </c>
      <c r="B57" s="176" t="s">
        <v>2997</v>
      </c>
      <c r="C57" s="176" t="s">
        <v>2734</v>
      </c>
      <c r="D57" s="176"/>
      <c r="E57" s="176" t="s">
        <v>258</v>
      </c>
      <c r="F57" s="177"/>
      <c r="G57" s="177" t="s">
        <v>2735</v>
      </c>
      <c r="H57" s="176" t="s">
        <v>2735</v>
      </c>
      <c r="I57" s="178">
        <v>0.75</v>
      </c>
      <c r="J57" s="176" t="s">
        <v>3001</v>
      </c>
      <c r="K57" s="176" t="s">
        <v>253</v>
      </c>
      <c r="L57" s="176" t="s">
        <v>282</v>
      </c>
      <c r="M57" s="179">
        <v>253.75</v>
      </c>
      <c r="N57" s="179">
        <v>190.3125</v>
      </c>
      <c r="O57" s="179">
        <v>0</v>
      </c>
      <c r="P57" s="179">
        <v>190.3125</v>
      </c>
      <c r="Q57" s="176" t="s">
        <v>2961</v>
      </c>
      <c r="R57" s="176" t="s">
        <v>3002</v>
      </c>
      <c r="S57" s="176" t="s">
        <v>2885</v>
      </c>
      <c r="T57" s="180">
        <v>46193.798043981478</v>
      </c>
      <c r="U57" s="176" t="s">
        <v>2952</v>
      </c>
      <c r="V57" s="176" t="s">
        <v>2771</v>
      </c>
    </row>
    <row r="58" spans="1:22">
      <c r="A58" s="175">
        <v>46193</v>
      </c>
      <c r="B58" s="176" t="s">
        <v>3003</v>
      </c>
      <c r="C58" s="176" t="s">
        <v>2734</v>
      </c>
      <c r="D58" s="176"/>
      <c r="E58" s="176" t="s">
        <v>252</v>
      </c>
      <c r="F58" s="177"/>
      <c r="G58" s="177" t="s">
        <v>2735</v>
      </c>
      <c r="H58" s="176" t="s">
        <v>2735</v>
      </c>
      <c r="I58" s="178">
        <v>0.75</v>
      </c>
      <c r="J58" s="176" t="s">
        <v>3004</v>
      </c>
      <c r="K58" s="176" t="s">
        <v>253</v>
      </c>
      <c r="L58" s="176" t="s">
        <v>282</v>
      </c>
      <c r="M58" s="179">
        <v>15.648</v>
      </c>
      <c r="N58" s="179">
        <v>11.736000000000001</v>
      </c>
      <c r="O58" s="179">
        <v>3</v>
      </c>
      <c r="P58" s="179">
        <v>12.205399999999999</v>
      </c>
      <c r="Q58" s="176" t="s">
        <v>3005</v>
      </c>
      <c r="R58" s="176" t="s">
        <v>3005</v>
      </c>
      <c r="S58" s="176" t="s">
        <v>3274</v>
      </c>
      <c r="T58" s="180">
        <v>46193.796909722223</v>
      </c>
      <c r="U58" s="176" t="s">
        <v>2766</v>
      </c>
      <c r="V58" s="176" t="s">
        <v>2797</v>
      </c>
    </row>
    <row r="59" spans="1:22">
      <c r="A59" s="175">
        <v>46193</v>
      </c>
      <c r="B59" s="176" t="s">
        <v>3006</v>
      </c>
      <c r="C59" s="176" t="s">
        <v>2734</v>
      </c>
      <c r="D59" s="176"/>
      <c r="E59" s="176" t="s">
        <v>252</v>
      </c>
      <c r="F59" s="177"/>
      <c r="G59" s="177" t="s">
        <v>2735</v>
      </c>
      <c r="H59" s="176" t="s">
        <v>2735</v>
      </c>
      <c r="I59" s="178">
        <v>0.75</v>
      </c>
      <c r="J59" s="176" t="s">
        <v>2899</v>
      </c>
      <c r="K59" s="176" t="s">
        <v>253</v>
      </c>
      <c r="L59" s="176" t="s">
        <v>282</v>
      </c>
      <c r="M59" s="179">
        <v>8.5500000000000007</v>
      </c>
      <c r="N59" s="179">
        <v>6.4124999999999996</v>
      </c>
      <c r="O59" s="179">
        <v>3</v>
      </c>
      <c r="P59" s="179">
        <v>6.6689999999999996</v>
      </c>
      <c r="Q59" s="176"/>
      <c r="R59" s="176" t="s">
        <v>3007</v>
      </c>
      <c r="S59" s="176" t="s">
        <v>3274</v>
      </c>
      <c r="T59" s="180">
        <v>46193.792245370372</v>
      </c>
      <c r="U59" s="176" t="s">
        <v>2846</v>
      </c>
      <c r="V59" s="176" t="s">
        <v>2958</v>
      </c>
    </row>
    <row r="60" spans="1:22">
      <c r="A60" s="175">
        <v>46193</v>
      </c>
      <c r="B60" s="176" t="s">
        <v>3006</v>
      </c>
      <c r="C60" s="176" t="s">
        <v>2734</v>
      </c>
      <c r="D60" s="176"/>
      <c r="E60" s="176" t="s">
        <v>252</v>
      </c>
      <c r="F60" s="177"/>
      <c r="G60" s="177" t="s">
        <v>2735</v>
      </c>
      <c r="H60" s="176" t="s">
        <v>2735</v>
      </c>
      <c r="I60" s="178">
        <v>0.75</v>
      </c>
      <c r="J60" s="176" t="s">
        <v>2941</v>
      </c>
      <c r="K60" s="176" t="s">
        <v>253</v>
      </c>
      <c r="L60" s="176" t="s">
        <v>272</v>
      </c>
      <c r="M60" s="179">
        <v>15.736000000000001</v>
      </c>
      <c r="N60" s="179">
        <v>11.802</v>
      </c>
      <c r="O60" s="179">
        <v>3</v>
      </c>
      <c r="P60" s="179">
        <v>12.274100000000001</v>
      </c>
      <c r="Q60" s="176" t="s">
        <v>3282</v>
      </c>
      <c r="R60" s="176" t="s">
        <v>3008</v>
      </c>
      <c r="S60" s="176" t="s">
        <v>3274</v>
      </c>
      <c r="T60" s="180">
        <v>46193.792245370372</v>
      </c>
      <c r="U60" s="176" t="s">
        <v>2798</v>
      </c>
      <c r="V60" s="176" t="s">
        <v>2859</v>
      </c>
    </row>
    <row r="61" spans="1:22">
      <c r="A61" s="175">
        <v>46193</v>
      </c>
      <c r="B61" s="176" t="s">
        <v>3009</v>
      </c>
      <c r="C61" s="176" t="s">
        <v>2734</v>
      </c>
      <c r="D61" s="176"/>
      <c r="E61" s="176" t="s">
        <v>2881</v>
      </c>
      <c r="F61" s="177"/>
      <c r="G61" s="177" t="s">
        <v>2735</v>
      </c>
      <c r="H61" s="176" t="s">
        <v>2735</v>
      </c>
      <c r="I61" s="178">
        <v>0.91800000000000004</v>
      </c>
      <c r="J61" s="176" t="s">
        <v>2822</v>
      </c>
      <c r="K61" s="176" t="s">
        <v>250</v>
      </c>
      <c r="L61" s="176" t="s">
        <v>2804</v>
      </c>
      <c r="M61" s="179">
        <v>191.36</v>
      </c>
      <c r="N61" s="179">
        <v>175.66849999999999</v>
      </c>
      <c r="O61" s="179">
        <v>1.7</v>
      </c>
      <c r="P61" s="179">
        <v>178.92160000000001</v>
      </c>
      <c r="Q61" s="176"/>
      <c r="R61" s="176" t="s">
        <v>3010</v>
      </c>
      <c r="S61" s="176" t="s">
        <v>2872</v>
      </c>
      <c r="T61" s="180">
        <v>46193.780706018515</v>
      </c>
      <c r="U61" s="176" t="s">
        <v>2827</v>
      </c>
      <c r="V61" s="176" t="s">
        <v>2754</v>
      </c>
    </row>
    <row r="62" spans="1:22">
      <c r="A62" s="175">
        <v>46193</v>
      </c>
      <c r="B62" s="176" t="s">
        <v>3009</v>
      </c>
      <c r="C62" s="176" t="s">
        <v>2734</v>
      </c>
      <c r="D62" s="176"/>
      <c r="E62" s="176" t="s">
        <v>2881</v>
      </c>
      <c r="F62" s="177"/>
      <c r="G62" s="177" t="s">
        <v>2735</v>
      </c>
      <c r="H62" s="176" t="s">
        <v>2735</v>
      </c>
      <c r="I62" s="178">
        <v>0.91800000000000004</v>
      </c>
      <c r="J62" s="176" t="s">
        <v>2822</v>
      </c>
      <c r="K62" s="176" t="s">
        <v>250</v>
      </c>
      <c r="L62" s="176" t="s">
        <v>2804</v>
      </c>
      <c r="M62" s="179">
        <v>84.11</v>
      </c>
      <c r="N62" s="179">
        <v>77.212999999999994</v>
      </c>
      <c r="O62" s="179">
        <v>2.2000000000000002</v>
      </c>
      <c r="P62" s="179">
        <v>79.063400000000001</v>
      </c>
      <c r="Q62" s="176"/>
      <c r="R62" s="176" t="s">
        <v>3010</v>
      </c>
      <c r="S62" s="176" t="s">
        <v>2872</v>
      </c>
      <c r="T62" s="180">
        <v>46193.780706018515</v>
      </c>
      <c r="U62" s="176" t="s">
        <v>2827</v>
      </c>
      <c r="V62" s="176" t="s">
        <v>2754</v>
      </c>
    </row>
    <row r="63" spans="1:22">
      <c r="A63" s="175">
        <v>46193</v>
      </c>
      <c r="B63" s="176" t="s">
        <v>3011</v>
      </c>
      <c r="C63" s="176" t="s">
        <v>2734</v>
      </c>
      <c r="D63" s="176"/>
      <c r="E63" s="176" t="s">
        <v>258</v>
      </c>
      <c r="F63" s="177"/>
      <c r="G63" s="177" t="s">
        <v>2735</v>
      </c>
      <c r="H63" s="176" t="s">
        <v>2735</v>
      </c>
      <c r="I63" s="178">
        <v>0.75</v>
      </c>
      <c r="J63" s="176" t="s">
        <v>3012</v>
      </c>
      <c r="K63" s="176" t="s">
        <v>253</v>
      </c>
      <c r="L63" s="176" t="s">
        <v>282</v>
      </c>
      <c r="M63" s="179">
        <v>7.6980000000000004</v>
      </c>
      <c r="N63" s="179">
        <v>5.7735000000000003</v>
      </c>
      <c r="O63" s="179">
        <v>0</v>
      </c>
      <c r="P63" s="179">
        <v>5.7735000000000003</v>
      </c>
      <c r="Q63" s="176"/>
      <c r="R63" s="176" t="s">
        <v>3013</v>
      </c>
      <c r="S63" s="176" t="s">
        <v>2872</v>
      </c>
      <c r="T63" s="180">
        <v>46193.762789351851</v>
      </c>
      <c r="U63" s="176" t="s">
        <v>3283</v>
      </c>
      <c r="V63" s="176" t="s">
        <v>2843</v>
      </c>
    </row>
    <row r="64" spans="1:22">
      <c r="A64" s="175">
        <v>46193</v>
      </c>
      <c r="B64" s="176" t="s">
        <v>3011</v>
      </c>
      <c r="C64" s="176" t="s">
        <v>2734</v>
      </c>
      <c r="D64" s="176"/>
      <c r="E64" s="176" t="s">
        <v>258</v>
      </c>
      <c r="F64" s="177"/>
      <c r="G64" s="177" t="s">
        <v>2735</v>
      </c>
      <c r="H64" s="176" t="s">
        <v>2735</v>
      </c>
      <c r="I64" s="178">
        <v>0.75</v>
      </c>
      <c r="J64" s="176" t="s">
        <v>3014</v>
      </c>
      <c r="K64" s="176" t="s">
        <v>253</v>
      </c>
      <c r="L64" s="176" t="s">
        <v>282</v>
      </c>
      <c r="M64" s="179">
        <v>4.891</v>
      </c>
      <c r="N64" s="179">
        <v>3.6682999999999999</v>
      </c>
      <c r="O64" s="179">
        <v>0</v>
      </c>
      <c r="P64" s="179">
        <v>3.6682999999999999</v>
      </c>
      <c r="Q64" s="176"/>
      <c r="R64" s="176" t="s">
        <v>3013</v>
      </c>
      <c r="S64" s="176" t="s">
        <v>2872</v>
      </c>
      <c r="T64" s="180">
        <v>46193.762789351851</v>
      </c>
      <c r="U64" s="176" t="s">
        <v>3284</v>
      </c>
      <c r="V64" s="176" t="s">
        <v>2799</v>
      </c>
    </row>
    <row r="65" spans="1:22">
      <c r="A65" s="175">
        <v>46193</v>
      </c>
      <c r="B65" s="176" t="s">
        <v>3011</v>
      </c>
      <c r="C65" s="176" t="s">
        <v>2734</v>
      </c>
      <c r="D65" s="176"/>
      <c r="E65" s="176" t="s">
        <v>258</v>
      </c>
      <c r="F65" s="177"/>
      <c r="G65" s="177" t="s">
        <v>2735</v>
      </c>
      <c r="H65" s="176" t="s">
        <v>2735</v>
      </c>
      <c r="I65" s="178">
        <v>0.75</v>
      </c>
      <c r="J65" s="176" t="s">
        <v>3015</v>
      </c>
      <c r="K65" s="176" t="s">
        <v>253</v>
      </c>
      <c r="L65" s="176" t="s">
        <v>282</v>
      </c>
      <c r="M65" s="179">
        <v>7.7110000000000003</v>
      </c>
      <c r="N65" s="179">
        <v>5.7832999999999997</v>
      </c>
      <c r="O65" s="179">
        <v>0</v>
      </c>
      <c r="P65" s="179">
        <v>5.7832999999999997</v>
      </c>
      <c r="Q65" s="176"/>
      <c r="R65" s="176" t="s">
        <v>3013</v>
      </c>
      <c r="S65" s="176" t="s">
        <v>2872</v>
      </c>
      <c r="T65" s="180">
        <v>46193.762789351851</v>
      </c>
      <c r="U65" s="176" t="s">
        <v>3283</v>
      </c>
      <c r="V65" s="176" t="s">
        <v>2843</v>
      </c>
    </row>
    <row r="66" spans="1:22">
      <c r="A66" s="175">
        <v>46193</v>
      </c>
      <c r="B66" s="176" t="s">
        <v>3011</v>
      </c>
      <c r="C66" s="176" t="s">
        <v>2734</v>
      </c>
      <c r="D66" s="176"/>
      <c r="E66" s="176" t="s">
        <v>258</v>
      </c>
      <c r="F66" s="177"/>
      <c r="G66" s="177" t="s">
        <v>2735</v>
      </c>
      <c r="H66" s="176" t="s">
        <v>2735</v>
      </c>
      <c r="I66" s="178">
        <v>0.75</v>
      </c>
      <c r="J66" s="176" t="s">
        <v>3014</v>
      </c>
      <c r="K66" s="176" t="s">
        <v>253</v>
      </c>
      <c r="L66" s="176" t="s">
        <v>282</v>
      </c>
      <c r="M66" s="179">
        <v>4.6520000000000001</v>
      </c>
      <c r="N66" s="179">
        <v>3.4889999999999999</v>
      </c>
      <c r="O66" s="179">
        <v>0</v>
      </c>
      <c r="P66" s="179">
        <v>3.4889999999999999</v>
      </c>
      <c r="Q66" s="176"/>
      <c r="R66" s="176" t="s">
        <v>3013</v>
      </c>
      <c r="S66" s="176" t="s">
        <v>2872</v>
      </c>
      <c r="T66" s="180">
        <v>46193.762789351851</v>
      </c>
      <c r="U66" s="176" t="s">
        <v>3284</v>
      </c>
      <c r="V66" s="176" t="s">
        <v>2799</v>
      </c>
    </row>
    <row r="67" spans="1:22">
      <c r="A67" s="175">
        <v>46193</v>
      </c>
      <c r="B67" s="176" t="s">
        <v>3011</v>
      </c>
      <c r="C67" s="176" t="s">
        <v>2734</v>
      </c>
      <c r="D67" s="176"/>
      <c r="E67" s="176" t="s">
        <v>258</v>
      </c>
      <c r="F67" s="177"/>
      <c r="G67" s="177" t="s">
        <v>2735</v>
      </c>
      <c r="H67" s="176" t="s">
        <v>2735</v>
      </c>
      <c r="I67" s="178">
        <v>0.75</v>
      </c>
      <c r="J67" s="176" t="s">
        <v>3014</v>
      </c>
      <c r="K67" s="176" t="s">
        <v>253</v>
      </c>
      <c r="L67" s="176" t="s">
        <v>282</v>
      </c>
      <c r="M67" s="179">
        <v>5.0199999999999996</v>
      </c>
      <c r="N67" s="179">
        <v>3.7650000000000001</v>
      </c>
      <c r="O67" s="179">
        <v>0</v>
      </c>
      <c r="P67" s="179">
        <v>3.7650000000000001</v>
      </c>
      <c r="Q67" s="176"/>
      <c r="R67" s="176" t="s">
        <v>3013</v>
      </c>
      <c r="S67" s="176" t="s">
        <v>2872</v>
      </c>
      <c r="T67" s="180">
        <v>46193.762789351851</v>
      </c>
      <c r="U67" s="176" t="s">
        <v>3284</v>
      </c>
      <c r="V67" s="176" t="s">
        <v>2799</v>
      </c>
    </row>
    <row r="68" spans="1:22">
      <c r="A68" s="175">
        <v>46193</v>
      </c>
      <c r="B68" s="176" t="s">
        <v>3011</v>
      </c>
      <c r="C68" s="176" t="s">
        <v>2734</v>
      </c>
      <c r="D68" s="176"/>
      <c r="E68" s="176" t="s">
        <v>258</v>
      </c>
      <c r="F68" s="177"/>
      <c r="G68" s="177" t="s">
        <v>2735</v>
      </c>
      <c r="H68" s="176" t="s">
        <v>2735</v>
      </c>
      <c r="I68" s="178">
        <v>0.75</v>
      </c>
      <c r="J68" s="176" t="s">
        <v>3014</v>
      </c>
      <c r="K68" s="176" t="s">
        <v>253</v>
      </c>
      <c r="L68" s="176" t="s">
        <v>282</v>
      </c>
      <c r="M68" s="179">
        <v>5.0069999999999997</v>
      </c>
      <c r="N68" s="179">
        <v>3.7553000000000001</v>
      </c>
      <c r="O68" s="179">
        <v>0</v>
      </c>
      <c r="P68" s="179">
        <v>3.7553000000000001</v>
      </c>
      <c r="Q68" s="176"/>
      <c r="R68" s="176" t="s">
        <v>3013</v>
      </c>
      <c r="S68" s="176" t="s">
        <v>2872</v>
      </c>
      <c r="T68" s="180">
        <v>46193.762789351851</v>
      </c>
      <c r="U68" s="176" t="s">
        <v>3284</v>
      </c>
      <c r="V68" s="176" t="s">
        <v>2799</v>
      </c>
    </row>
    <row r="69" spans="1:22">
      <c r="A69" s="175">
        <v>46193</v>
      </c>
      <c r="B69" s="176" t="s">
        <v>3011</v>
      </c>
      <c r="C69" s="176" t="s">
        <v>2734</v>
      </c>
      <c r="D69" s="176"/>
      <c r="E69" s="176" t="s">
        <v>258</v>
      </c>
      <c r="F69" s="177"/>
      <c r="G69" s="177" t="s">
        <v>2735</v>
      </c>
      <c r="H69" s="176" t="s">
        <v>2735</v>
      </c>
      <c r="I69" s="178">
        <v>0.75</v>
      </c>
      <c r="J69" s="176" t="s">
        <v>3014</v>
      </c>
      <c r="K69" s="176" t="s">
        <v>253</v>
      </c>
      <c r="L69" s="176" t="s">
        <v>282</v>
      </c>
      <c r="M69" s="179">
        <v>5.0880000000000001</v>
      </c>
      <c r="N69" s="179">
        <v>3.8159999999999998</v>
      </c>
      <c r="O69" s="179">
        <v>0</v>
      </c>
      <c r="P69" s="179">
        <v>3.8159999999999998</v>
      </c>
      <c r="Q69" s="176"/>
      <c r="R69" s="176" t="s">
        <v>3013</v>
      </c>
      <c r="S69" s="176" t="s">
        <v>2872</v>
      </c>
      <c r="T69" s="180">
        <v>46193.762789351851</v>
      </c>
      <c r="U69" s="176" t="s">
        <v>3284</v>
      </c>
      <c r="V69" s="176" t="s">
        <v>2799</v>
      </c>
    </row>
    <row r="70" spans="1:22">
      <c r="A70" s="175">
        <v>46193</v>
      </c>
      <c r="B70" s="176" t="s">
        <v>3011</v>
      </c>
      <c r="C70" s="176" t="s">
        <v>2734</v>
      </c>
      <c r="D70" s="176"/>
      <c r="E70" s="176" t="s">
        <v>258</v>
      </c>
      <c r="F70" s="177"/>
      <c r="G70" s="177" t="s">
        <v>2735</v>
      </c>
      <c r="H70" s="176" t="s">
        <v>2735</v>
      </c>
      <c r="I70" s="178">
        <v>0.75</v>
      </c>
      <c r="J70" s="176" t="s">
        <v>3016</v>
      </c>
      <c r="K70" s="176" t="s">
        <v>253</v>
      </c>
      <c r="L70" s="176" t="s">
        <v>282</v>
      </c>
      <c r="M70" s="179">
        <v>6.1449999999999996</v>
      </c>
      <c r="N70" s="179">
        <v>4.6087999999999996</v>
      </c>
      <c r="O70" s="179">
        <v>0</v>
      </c>
      <c r="P70" s="179">
        <v>4.6087999999999996</v>
      </c>
      <c r="Q70" s="176"/>
      <c r="R70" s="176" t="s">
        <v>3013</v>
      </c>
      <c r="S70" s="176" t="s">
        <v>2872</v>
      </c>
      <c r="T70" s="180">
        <v>46193.762789351851</v>
      </c>
      <c r="U70" s="176" t="s">
        <v>3283</v>
      </c>
      <c r="V70" s="176" t="s">
        <v>2843</v>
      </c>
    </row>
    <row r="71" spans="1:22">
      <c r="A71" s="175">
        <v>46193</v>
      </c>
      <c r="B71" s="176" t="s">
        <v>3011</v>
      </c>
      <c r="C71" s="176" t="s">
        <v>2734</v>
      </c>
      <c r="D71" s="176"/>
      <c r="E71" s="176" t="s">
        <v>258</v>
      </c>
      <c r="F71" s="177"/>
      <c r="G71" s="177" t="s">
        <v>2735</v>
      </c>
      <c r="H71" s="176" t="s">
        <v>2735</v>
      </c>
      <c r="I71" s="178">
        <v>0.75</v>
      </c>
      <c r="J71" s="176" t="s">
        <v>3017</v>
      </c>
      <c r="K71" s="176" t="s">
        <v>253</v>
      </c>
      <c r="L71" s="176" t="s">
        <v>282</v>
      </c>
      <c r="M71" s="179">
        <v>8.0289999999999999</v>
      </c>
      <c r="N71" s="179">
        <v>6.0217999999999998</v>
      </c>
      <c r="O71" s="179">
        <v>0</v>
      </c>
      <c r="P71" s="179">
        <v>6.0217999999999998</v>
      </c>
      <c r="Q71" s="176"/>
      <c r="R71" s="176" t="s">
        <v>3013</v>
      </c>
      <c r="S71" s="176" t="s">
        <v>2872</v>
      </c>
      <c r="T71" s="180">
        <v>46193.762789351851</v>
      </c>
      <c r="U71" s="176" t="s">
        <v>3283</v>
      </c>
      <c r="V71" s="176" t="s">
        <v>2843</v>
      </c>
    </row>
    <row r="72" spans="1:22">
      <c r="A72" s="175">
        <v>46193</v>
      </c>
      <c r="B72" s="176" t="s">
        <v>3011</v>
      </c>
      <c r="C72" s="176" t="s">
        <v>2734</v>
      </c>
      <c r="D72" s="176"/>
      <c r="E72" s="176" t="s">
        <v>258</v>
      </c>
      <c r="F72" s="177"/>
      <c r="G72" s="177" t="s">
        <v>2735</v>
      </c>
      <c r="H72" s="176" t="s">
        <v>2735</v>
      </c>
      <c r="I72" s="178">
        <v>0.75</v>
      </c>
      <c r="J72" s="176" t="s">
        <v>3014</v>
      </c>
      <c r="K72" s="176" t="s">
        <v>253</v>
      </c>
      <c r="L72" s="176" t="s">
        <v>282</v>
      </c>
      <c r="M72" s="179">
        <v>4.694</v>
      </c>
      <c r="N72" s="179">
        <v>3.5205000000000002</v>
      </c>
      <c r="O72" s="179">
        <v>0</v>
      </c>
      <c r="P72" s="179">
        <v>3.5205000000000002</v>
      </c>
      <c r="Q72" s="176"/>
      <c r="R72" s="176" t="s">
        <v>3013</v>
      </c>
      <c r="S72" s="176" t="s">
        <v>2872</v>
      </c>
      <c r="T72" s="180">
        <v>46193.762789351851</v>
      </c>
      <c r="U72" s="176" t="s">
        <v>3284</v>
      </c>
      <c r="V72" s="176" t="s">
        <v>2799</v>
      </c>
    </row>
    <row r="73" spans="1:22">
      <c r="A73" s="175">
        <v>46193</v>
      </c>
      <c r="B73" s="176" t="s">
        <v>3011</v>
      </c>
      <c r="C73" s="176" t="s">
        <v>2734</v>
      </c>
      <c r="D73" s="176"/>
      <c r="E73" s="176" t="s">
        <v>258</v>
      </c>
      <c r="F73" s="177"/>
      <c r="G73" s="177" t="s">
        <v>2735</v>
      </c>
      <c r="H73" s="176" t="s">
        <v>2735</v>
      </c>
      <c r="I73" s="178">
        <v>0.75</v>
      </c>
      <c r="J73" s="176" t="s">
        <v>3014</v>
      </c>
      <c r="K73" s="176" t="s">
        <v>253</v>
      </c>
      <c r="L73" s="176" t="s">
        <v>282</v>
      </c>
      <c r="M73" s="179">
        <v>4.6929999999999996</v>
      </c>
      <c r="N73" s="179">
        <v>3.5198</v>
      </c>
      <c r="O73" s="179">
        <v>0</v>
      </c>
      <c r="P73" s="179">
        <v>3.5198</v>
      </c>
      <c r="Q73" s="176"/>
      <c r="R73" s="176" t="s">
        <v>3013</v>
      </c>
      <c r="S73" s="176" t="s">
        <v>2872</v>
      </c>
      <c r="T73" s="180">
        <v>46193.762789351851</v>
      </c>
      <c r="U73" s="176" t="s">
        <v>3284</v>
      </c>
      <c r="V73" s="176" t="s">
        <v>2799</v>
      </c>
    </row>
    <row r="74" spans="1:22">
      <c r="A74" s="175">
        <v>46193</v>
      </c>
      <c r="B74" s="176" t="s">
        <v>3011</v>
      </c>
      <c r="C74" s="176" t="s">
        <v>2734</v>
      </c>
      <c r="D74" s="176"/>
      <c r="E74" s="176" t="s">
        <v>258</v>
      </c>
      <c r="F74" s="177"/>
      <c r="G74" s="177" t="s">
        <v>2735</v>
      </c>
      <c r="H74" s="176" t="s">
        <v>2735</v>
      </c>
      <c r="I74" s="178">
        <v>0.75</v>
      </c>
      <c r="J74" s="176" t="s">
        <v>3018</v>
      </c>
      <c r="K74" s="176" t="s">
        <v>253</v>
      </c>
      <c r="L74" s="176" t="s">
        <v>282</v>
      </c>
      <c r="M74" s="179">
        <v>6.9669999999999996</v>
      </c>
      <c r="N74" s="179">
        <v>5.2252999999999998</v>
      </c>
      <c r="O74" s="179">
        <v>0</v>
      </c>
      <c r="P74" s="179">
        <v>5.2252999999999998</v>
      </c>
      <c r="Q74" s="176"/>
      <c r="R74" s="176" t="s">
        <v>3013</v>
      </c>
      <c r="S74" s="176" t="s">
        <v>2872</v>
      </c>
      <c r="T74" s="180">
        <v>46193.762789351851</v>
      </c>
      <c r="U74" s="176" t="s">
        <v>3283</v>
      </c>
      <c r="V74" s="176" t="s">
        <v>2843</v>
      </c>
    </row>
    <row r="75" spans="1:22">
      <c r="A75" s="175">
        <v>46193</v>
      </c>
      <c r="B75" s="176" t="s">
        <v>3011</v>
      </c>
      <c r="C75" s="176" t="s">
        <v>2734</v>
      </c>
      <c r="D75" s="176"/>
      <c r="E75" s="176" t="s">
        <v>258</v>
      </c>
      <c r="F75" s="177"/>
      <c r="G75" s="177" t="s">
        <v>2735</v>
      </c>
      <c r="H75" s="176" t="s">
        <v>2735</v>
      </c>
      <c r="I75" s="178">
        <v>0.75</v>
      </c>
      <c r="J75" s="176" t="s">
        <v>3019</v>
      </c>
      <c r="K75" s="176" t="s">
        <v>253</v>
      </c>
      <c r="L75" s="176" t="s">
        <v>282</v>
      </c>
      <c r="M75" s="179">
        <v>7.1210000000000004</v>
      </c>
      <c r="N75" s="179">
        <v>5.3407999999999998</v>
      </c>
      <c r="O75" s="179">
        <v>0</v>
      </c>
      <c r="P75" s="179">
        <v>5.3407999999999998</v>
      </c>
      <c r="Q75" s="176"/>
      <c r="R75" s="176" t="s">
        <v>3013</v>
      </c>
      <c r="S75" s="176" t="s">
        <v>2872</v>
      </c>
      <c r="T75" s="180">
        <v>46193.762789351851</v>
      </c>
      <c r="U75" s="176" t="s">
        <v>3283</v>
      </c>
      <c r="V75" s="176" t="s">
        <v>2843</v>
      </c>
    </row>
    <row r="76" spans="1:22">
      <c r="A76" s="175">
        <v>46193</v>
      </c>
      <c r="B76" s="176" t="s">
        <v>3011</v>
      </c>
      <c r="C76" s="176" t="s">
        <v>2734</v>
      </c>
      <c r="D76" s="176"/>
      <c r="E76" s="176" t="s">
        <v>258</v>
      </c>
      <c r="F76" s="177"/>
      <c r="G76" s="177" t="s">
        <v>2735</v>
      </c>
      <c r="H76" s="176" t="s">
        <v>2735</v>
      </c>
      <c r="I76" s="178">
        <v>0.75</v>
      </c>
      <c r="J76" s="176" t="s">
        <v>3020</v>
      </c>
      <c r="K76" s="176" t="s">
        <v>253</v>
      </c>
      <c r="L76" s="176" t="s">
        <v>282</v>
      </c>
      <c r="M76" s="179">
        <v>7.2859999999999996</v>
      </c>
      <c r="N76" s="179">
        <v>5.4645000000000001</v>
      </c>
      <c r="O76" s="179">
        <v>0</v>
      </c>
      <c r="P76" s="179">
        <v>5.4645000000000001</v>
      </c>
      <c r="Q76" s="176"/>
      <c r="R76" s="176" t="s">
        <v>3013</v>
      </c>
      <c r="S76" s="176" t="s">
        <v>2872</v>
      </c>
      <c r="T76" s="180">
        <v>46193.762789351851</v>
      </c>
      <c r="U76" s="176" t="s">
        <v>3283</v>
      </c>
      <c r="V76" s="176" t="s">
        <v>2843</v>
      </c>
    </row>
    <row r="77" spans="1:22">
      <c r="A77" s="175">
        <v>46193</v>
      </c>
      <c r="B77" s="176" t="s">
        <v>3011</v>
      </c>
      <c r="C77" s="176" t="s">
        <v>2734</v>
      </c>
      <c r="D77" s="176"/>
      <c r="E77" s="176" t="s">
        <v>258</v>
      </c>
      <c r="F77" s="177"/>
      <c r="G77" s="177" t="s">
        <v>2735</v>
      </c>
      <c r="H77" s="176" t="s">
        <v>2735</v>
      </c>
      <c r="I77" s="178">
        <v>0.75</v>
      </c>
      <c r="J77" s="176" t="s">
        <v>3021</v>
      </c>
      <c r="K77" s="176" t="s">
        <v>253</v>
      </c>
      <c r="L77" s="176" t="s">
        <v>282</v>
      </c>
      <c r="M77" s="179">
        <v>7.2430000000000003</v>
      </c>
      <c r="N77" s="179">
        <v>5.4322999999999997</v>
      </c>
      <c r="O77" s="179">
        <v>0</v>
      </c>
      <c r="P77" s="179">
        <v>5.4322999999999997</v>
      </c>
      <c r="Q77" s="176"/>
      <c r="R77" s="176" t="s">
        <v>3013</v>
      </c>
      <c r="S77" s="176" t="s">
        <v>2872</v>
      </c>
      <c r="T77" s="180">
        <v>46193.762789351851</v>
      </c>
      <c r="U77" s="176" t="s">
        <v>3283</v>
      </c>
      <c r="V77" s="176" t="s">
        <v>2843</v>
      </c>
    </row>
    <row r="78" spans="1:22">
      <c r="A78" s="175">
        <v>46193</v>
      </c>
      <c r="B78" s="176" t="s">
        <v>3011</v>
      </c>
      <c r="C78" s="176" t="s">
        <v>2734</v>
      </c>
      <c r="D78" s="176"/>
      <c r="E78" s="176" t="s">
        <v>258</v>
      </c>
      <c r="F78" s="177"/>
      <c r="G78" s="177" t="s">
        <v>2735</v>
      </c>
      <c r="H78" s="176" t="s">
        <v>2735</v>
      </c>
      <c r="I78" s="178">
        <v>0.75</v>
      </c>
      <c r="J78" s="176" t="s">
        <v>3022</v>
      </c>
      <c r="K78" s="176" t="s">
        <v>253</v>
      </c>
      <c r="L78" s="176" t="s">
        <v>282</v>
      </c>
      <c r="M78" s="179">
        <v>7.5590000000000002</v>
      </c>
      <c r="N78" s="179">
        <v>5.6692999999999998</v>
      </c>
      <c r="O78" s="179">
        <v>0</v>
      </c>
      <c r="P78" s="179">
        <v>5.6692999999999998</v>
      </c>
      <c r="Q78" s="176"/>
      <c r="R78" s="176" t="s">
        <v>3013</v>
      </c>
      <c r="S78" s="176" t="s">
        <v>2872</v>
      </c>
      <c r="T78" s="180">
        <v>46193.762789351851</v>
      </c>
      <c r="U78" s="176" t="s">
        <v>3283</v>
      </c>
      <c r="V78" s="176" t="s">
        <v>2843</v>
      </c>
    </row>
    <row r="79" spans="1:22">
      <c r="A79" s="175">
        <v>46193</v>
      </c>
      <c r="B79" s="176" t="s">
        <v>3011</v>
      </c>
      <c r="C79" s="176" t="s">
        <v>2734</v>
      </c>
      <c r="D79" s="176"/>
      <c r="E79" s="176" t="s">
        <v>258</v>
      </c>
      <c r="F79" s="177"/>
      <c r="G79" s="177" t="s">
        <v>2735</v>
      </c>
      <c r="H79" s="176" t="s">
        <v>2735</v>
      </c>
      <c r="I79" s="178">
        <v>0.75</v>
      </c>
      <c r="J79" s="176" t="s">
        <v>3023</v>
      </c>
      <c r="K79" s="176" t="s">
        <v>253</v>
      </c>
      <c r="L79" s="176" t="s">
        <v>282</v>
      </c>
      <c r="M79" s="179">
        <v>6.6710000000000003</v>
      </c>
      <c r="N79" s="179">
        <v>5.0033000000000003</v>
      </c>
      <c r="O79" s="179">
        <v>0</v>
      </c>
      <c r="P79" s="179">
        <v>5.0033000000000003</v>
      </c>
      <c r="Q79" s="176"/>
      <c r="R79" s="176" t="s">
        <v>3013</v>
      </c>
      <c r="S79" s="176" t="s">
        <v>2872</v>
      </c>
      <c r="T79" s="180">
        <v>46193.762789351851</v>
      </c>
      <c r="U79" s="176" t="s">
        <v>3283</v>
      </c>
      <c r="V79" s="176" t="s">
        <v>2843</v>
      </c>
    </row>
    <row r="80" spans="1:22">
      <c r="A80" s="175">
        <v>46193</v>
      </c>
      <c r="B80" s="176" t="s">
        <v>3024</v>
      </c>
      <c r="C80" s="176" t="s">
        <v>2734</v>
      </c>
      <c r="D80" s="176"/>
      <c r="E80" s="176" t="s">
        <v>258</v>
      </c>
      <c r="F80" s="177"/>
      <c r="G80" s="177" t="s">
        <v>2735</v>
      </c>
      <c r="H80" s="176" t="s">
        <v>2735</v>
      </c>
      <c r="I80" s="178">
        <v>0.91800000000000004</v>
      </c>
      <c r="J80" s="176" t="s">
        <v>3025</v>
      </c>
      <c r="K80" s="176" t="s">
        <v>250</v>
      </c>
      <c r="L80" s="176" t="s">
        <v>2804</v>
      </c>
      <c r="M80" s="179">
        <v>72.617999999999995</v>
      </c>
      <c r="N80" s="179">
        <v>66.663300000000007</v>
      </c>
      <c r="O80" s="179">
        <v>0</v>
      </c>
      <c r="P80" s="179">
        <v>66.663300000000007</v>
      </c>
      <c r="Q80" s="176"/>
      <c r="R80" s="176" t="s">
        <v>3026</v>
      </c>
      <c r="S80" s="176" t="s">
        <v>3285</v>
      </c>
      <c r="T80" s="180">
        <v>46193.732291666667</v>
      </c>
      <c r="U80" s="176" t="s">
        <v>2905</v>
      </c>
      <c r="V80" s="176" t="s">
        <v>2906</v>
      </c>
    </row>
    <row r="81" spans="1:22">
      <c r="A81" s="175">
        <v>46193</v>
      </c>
      <c r="B81" s="176" t="s">
        <v>3027</v>
      </c>
      <c r="C81" s="176" t="s">
        <v>2734</v>
      </c>
      <c r="D81" s="176"/>
      <c r="E81" s="176" t="s">
        <v>2834</v>
      </c>
      <c r="F81" s="177"/>
      <c r="G81" s="177" t="s">
        <v>2735</v>
      </c>
      <c r="H81" s="176" t="s">
        <v>2735</v>
      </c>
      <c r="I81" s="178">
        <v>0.91600000000000004</v>
      </c>
      <c r="J81" s="176" t="s">
        <v>3028</v>
      </c>
      <c r="K81" s="176" t="s">
        <v>250</v>
      </c>
      <c r="L81" s="176" t="s">
        <v>2856</v>
      </c>
      <c r="M81" s="179">
        <v>31.802</v>
      </c>
      <c r="N81" s="179">
        <v>29.130600000000001</v>
      </c>
      <c r="O81" s="179">
        <v>0.7</v>
      </c>
      <c r="P81" s="179">
        <v>29.353200000000001</v>
      </c>
      <c r="Q81" s="176"/>
      <c r="R81" s="176" t="s">
        <v>3029</v>
      </c>
      <c r="S81" s="176" t="s">
        <v>2907</v>
      </c>
      <c r="T81" s="180">
        <v>46193.717175925929</v>
      </c>
      <c r="U81" s="176" t="s">
        <v>2716</v>
      </c>
      <c r="V81" s="176" t="s">
        <v>2754</v>
      </c>
    </row>
    <row r="82" spans="1:22">
      <c r="A82" s="175">
        <v>46193</v>
      </c>
      <c r="B82" s="176" t="s">
        <v>3027</v>
      </c>
      <c r="C82" s="176" t="s">
        <v>2734</v>
      </c>
      <c r="D82" s="176"/>
      <c r="E82" s="176" t="s">
        <v>2834</v>
      </c>
      <c r="F82" s="177"/>
      <c r="G82" s="177" t="s">
        <v>2735</v>
      </c>
      <c r="H82" s="176" t="s">
        <v>2735</v>
      </c>
      <c r="I82" s="178">
        <v>0.91600000000000004</v>
      </c>
      <c r="J82" s="176" t="s">
        <v>3030</v>
      </c>
      <c r="K82" s="176" t="s">
        <v>250</v>
      </c>
      <c r="L82" s="176" t="s">
        <v>2856</v>
      </c>
      <c r="M82" s="179">
        <v>4.5709999999999997</v>
      </c>
      <c r="N82" s="179">
        <v>4.1870000000000003</v>
      </c>
      <c r="O82" s="179">
        <v>0.7</v>
      </c>
      <c r="P82" s="179">
        <v>4.2190000000000003</v>
      </c>
      <c r="Q82" s="176" t="s">
        <v>3286</v>
      </c>
      <c r="R82" s="176" t="s">
        <v>3029</v>
      </c>
      <c r="S82" s="176" t="s">
        <v>2907</v>
      </c>
      <c r="T82" s="180">
        <v>46193.717175925929</v>
      </c>
      <c r="U82" s="176" t="s">
        <v>2947</v>
      </c>
      <c r="V82" s="176" t="s">
        <v>2818</v>
      </c>
    </row>
    <row r="83" spans="1:22">
      <c r="A83" s="175">
        <v>46193</v>
      </c>
      <c r="B83" s="176" t="s">
        <v>3027</v>
      </c>
      <c r="C83" s="176" t="s">
        <v>2734</v>
      </c>
      <c r="D83" s="176"/>
      <c r="E83" s="176" t="s">
        <v>2834</v>
      </c>
      <c r="F83" s="177"/>
      <c r="G83" s="177" t="s">
        <v>2735</v>
      </c>
      <c r="H83" s="176" t="s">
        <v>2735</v>
      </c>
      <c r="I83" s="178">
        <v>0.91600000000000004</v>
      </c>
      <c r="J83" s="176" t="s">
        <v>3030</v>
      </c>
      <c r="K83" s="176" t="s">
        <v>250</v>
      </c>
      <c r="L83" s="176" t="s">
        <v>2856</v>
      </c>
      <c r="M83" s="179">
        <v>4.5609999999999999</v>
      </c>
      <c r="N83" s="179">
        <v>4.1779000000000002</v>
      </c>
      <c r="O83" s="179">
        <v>0.7</v>
      </c>
      <c r="P83" s="179">
        <v>4.2098000000000004</v>
      </c>
      <c r="Q83" s="176" t="s">
        <v>3286</v>
      </c>
      <c r="R83" s="176" t="s">
        <v>3029</v>
      </c>
      <c r="S83" s="176" t="s">
        <v>2907</v>
      </c>
      <c r="T83" s="180">
        <v>46193.717175925929</v>
      </c>
      <c r="U83" s="176" t="s">
        <v>2947</v>
      </c>
      <c r="V83" s="176" t="s">
        <v>2818</v>
      </c>
    </row>
    <row r="84" spans="1:22">
      <c r="A84" s="175">
        <v>46193</v>
      </c>
      <c r="B84" s="176" t="s">
        <v>3027</v>
      </c>
      <c r="C84" s="176" t="s">
        <v>2734</v>
      </c>
      <c r="D84" s="176"/>
      <c r="E84" s="176" t="s">
        <v>2834</v>
      </c>
      <c r="F84" s="177"/>
      <c r="G84" s="177" t="s">
        <v>2735</v>
      </c>
      <c r="H84" s="176" t="s">
        <v>2735</v>
      </c>
      <c r="I84" s="178">
        <v>0.91600000000000004</v>
      </c>
      <c r="J84" s="176" t="s">
        <v>3030</v>
      </c>
      <c r="K84" s="176" t="s">
        <v>250</v>
      </c>
      <c r="L84" s="176" t="s">
        <v>2856</v>
      </c>
      <c r="M84" s="179">
        <v>4.5620000000000003</v>
      </c>
      <c r="N84" s="179">
        <v>4.1787999999999998</v>
      </c>
      <c r="O84" s="179">
        <v>0.7</v>
      </c>
      <c r="P84" s="179">
        <v>4.2107000000000001</v>
      </c>
      <c r="Q84" s="176" t="s">
        <v>3286</v>
      </c>
      <c r="R84" s="176" t="s">
        <v>3029</v>
      </c>
      <c r="S84" s="176" t="s">
        <v>2907</v>
      </c>
      <c r="T84" s="180">
        <v>46193.717175925929</v>
      </c>
      <c r="U84" s="176" t="s">
        <v>2947</v>
      </c>
      <c r="V84" s="176" t="s">
        <v>2818</v>
      </c>
    </row>
    <row r="85" spans="1:22">
      <c r="A85" s="175">
        <v>46193</v>
      </c>
      <c r="B85" s="176" t="s">
        <v>3027</v>
      </c>
      <c r="C85" s="176" t="s">
        <v>2734</v>
      </c>
      <c r="D85" s="176"/>
      <c r="E85" s="176" t="s">
        <v>2834</v>
      </c>
      <c r="F85" s="177"/>
      <c r="G85" s="177" t="s">
        <v>2735</v>
      </c>
      <c r="H85" s="176" t="s">
        <v>2735</v>
      </c>
      <c r="I85" s="178">
        <v>0.91600000000000004</v>
      </c>
      <c r="J85" s="176" t="s">
        <v>3030</v>
      </c>
      <c r="K85" s="176" t="s">
        <v>250</v>
      </c>
      <c r="L85" s="176" t="s">
        <v>2856</v>
      </c>
      <c r="M85" s="179">
        <v>4.5720000000000001</v>
      </c>
      <c r="N85" s="179">
        <v>4.1879999999999997</v>
      </c>
      <c r="O85" s="179">
        <v>0.7</v>
      </c>
      <c r="P85" s="179">
        <v>4.22</v>
      </c>
      <c r="Q85" s="176" t="s">
        <v>3286</v>
      </c>
      <c r="R85" s="176" t="s">
        <v>3029</v>
      </c>
      <c r="S85" s="176" t="s">
        <v>2907</v>
      </c>
      <c r="T85" s="180">
        <v>46193.717175925929</v>
      </c>
      <c r="U85" s="176" t="s">
        <v>2947</v>
      </c>
      <c r="V85" s="176" t="s">
        <v>2818</v>
      </c>
    </row>
    <row r="86" spans="1:22">
      <c r="A86" s="175">
        <v>46193</v>
      </c>
      <c r="B86" s="176" t="s">
        <v>3027</v>
      </c>
      <c r="C86" s="176" t="s">
        <v>2734</v>
      </c>
      <c r="D86" s="176"/>
      <c r="E86" s="176" t="s">
        <v>2834</v>
      </c>
      <c r="F86" s="177"/>
      <c r="G86" s="177" t="s">
        <v>2735</v>
      </c>
      <c r="H86" s="176" t="s">
        <v>2735</v>
      </c>
      <c r="I86" s="178">
        <v>0.91600000000000004</v>
      </c>
      <c r="J86" s="176" t="s">
        <v>3030</v>
      </c>
      <c r="K86" s="176" t="s">
        <v>250</v>
      </c>
      <c r="L86" s="176" t="s">
        <v>2856</v>
      </c>
      <c r="M86" s="179">
        <v>4.5679999999999996</v>
      </c>
      <c r="N86" s="179">
        <v>4.1843000000000004</v>
      </c>
      <c r="O86" s="179">
        <v>0.7</v>
      </c>
      <c r="P86" s="179">
        <v>4.2163000000000004</v>
      </c>
      <c r="Q86" s="176" t="s">
        <v>3286</v>
      </c>
      <c r="R86" s="176" t="s">
        <v>3029</v>
      </c>
      <c r="S86" s="176" t="s">
        <v>2907</v>
      </c>
      <c r="T86" s="180">
        <v>46193.717175925929</v>
      </c>
      <c r="U86" s="176" t="s">
        <v>2947</v>
      </c>
      <c r="V86" s="176" t="s">
        <v>2818</v>
      </c>
    </row>
    <row r="87" spans="1:22">
      <c r="A87" s="175">
        <v>46193</v>
      </c>
      <c r="B87" s="176" t="s">
        <v>3027</v>
      </c>
      <c r="C87" s="176" t="s">
        <v>2734</v>
      </c>
      <c r="D87" s="176"/>
      <c r="E87" s="176" t="s">
        <v>2834</v>
      </c>
      <c r="F87" s="177"/>
      <c r="G87" s="177" t="s">
        <v>2735</v>
      </c>
      <c r="H87" s="176" t="s">
        <v>2735</v>
      </c>
      <c r="I87" s="178">
        <v>0.91600000000000004</v>
      </c>
      <c r="J87" s="176" t="s">
        <v>3030</v>
      </c>
      <c r="K87" s="176" t="s">
        <v>250</v>
      </c>
      <c r="L87" s="176" t="s">
        <v>2856</v>
      </c>
      <c r="M87" s="179">
        <v>4.5529999999999999</v>
      </c>
      <c r="N87" s="179">
        <v>4.1704999999999997</v>
      </c>
      <c r="O87" s="179">
        <v>0.7</v>
      </c>
      <c r="P87" s="179">
        <v>4.2023999999999999</v>
      </c>
      <c r="Q87" s="176" t="s">
        <v>3286</v>
      </c>
      <c r="R87" s="176" t="s">
        <v>3029</v>
      </c>
      <c r="S87" s="176" t="s">
        <v>2907</v>
      </c>
      <c r="T87" s="180">
        <v>46193.717175925929</v>
      </c>
      <c r="U87" s="176" t="s">
        <v>2947</v>
      </c>
      <c r="V87" s="176" t="s">
        <v>2818</v>
      </c>
    </row>
    <row r="88" spans="1:22">
      <c r="A88" s="175">
        <v>46193</v>
      </c>
      <c r="B88" s="176" t="s">
        <v>3027</v>
      </c>
      <c r="C88" s="176" t="s">
        <v>2734</v>
      </c>
      <c r="D88" s="176"/>
      <c r="E88" s="176" t="s">
        <v>2834</v>
      </c>
      <c r="F88" s="177"/>
      <c r="G88" s="177" t="s">
        <v>2735</v>
      </c>
      <c r="H88" s="176" t="s">
        <v>2735</v>
      </c>
      <c r="I88" s="178">
        <v>0.91600000000000004</v>
      </c>
      <c r="J88" s="176" t="s">
        <v>3030</v>
      </c>
      <c r="K88" s="176" t="s">
        <v>250</v>
      </c>
      <c r="L88" s="176" t="s">
        <v>2856</v>
      </c>
      <c r="M88" s="179">
        <v>4.5810000000000004</v>
      </c>
      <c r="N88" s="179">
        <v>4.1962000000000002</v>
      </c>
      <c r="O88" s="179">
        <v>0.7</v>
      </c>
      <c r="P88" s="179">
        <v>4.2282999999999999</v>
      </c>
      <c r="Q88" s="176" t="s">
        <v>3286</v>
      </c>
      <c r="R88" s="176" t="s">
        <v>3029</v>
      </c>
      <c r="S88" s="176" t="s">
        <v>2907</v>
      </c>
      <c r="T88" s="180">
        <v>46193.717175925929</v>
      </c>
      <c r="U88" s="176" t="s">
        <v>2947</v>
      </c>
      <c r="V88" s="176" t="s">
        <v>2818</v>
      </c>
    </row>
    <row r="89" spans="1:22">
      <c r="A89" s="175">
        <v>46193</v>
      </c>
      <c r="B89" s="176" t="s">
        <v>3027</v>
      </c>
      <c r="C89" s="176" t="s">
        <v>2734</v>
      </c>
      <c r="D89" s="176"/>
      <c r="E89" s="176" t="s">
        <v>2834</v>
      </c>
      <c r="F89" s="177"/>
      <c r="G89" s="177" t="s">
        <v>2735</v>
      </c>
      <c r="H89" s="176" t="s">
        <v>2735</v>
      </c>
      <c r="I89" s="178">
        <v>0.91600000000000004</v>
      </c>
      <c r="J89" s="176" t="s">
        <v>3030</v>
      </c>
      <c r="K89" s="176" t="s">
        <v>250</v>
      </c>
      <c r="L89" s="176" t="s">
        <v>2856</v>
      </c>
      <c r="M89" s="179">
        <v>4.5359999999999996</v>
      </c>
      <c r="N89" s="179">
        <v>4.1550000000000002</v>
      </c>
      <c r="O89" s="179">
        <v>0.7</v>
      </c>
      <c r="P89" s="179">
        <v>4.1867000000000001</v>
      </c>
      <c r="Q89" s="176" t="s">
        <v>3286</v>
      </c>
      <c r="R89" s="176" t="s">
        <v>3029</v>
      </c>
      <c r="S89" s="176" t="s">
        <v>2907</v>
      </c>
      <c r="T89" s="180">
        <v>46193.717175925929</v>
      </c>
      <c r="U89" s="176" t="s">
        <v>2947</v>
      </c>
      <c r="V89" s="176" t="s">
        <v>2818</v>
      </c>
    </row>
    <row r="90" spans="1:22">
      <c r="A90" s="175">
        <v>46193</v>
      </c>
      <c r="B90" s="176" t="s">
        <v>3027</v>
      </c>
      <c r="C90" s="176" t="s">
        <v>2734</v>
      </c>
      <c r="D90" s="176"/>
      <c r="E90" s="176" t="s">
        <v>2834</v>
      </c>
      <c r="F90" s="177"/>
      <c r="G90" s="177" t="s">
        <v>2735</v>
      </c>
      <c r="H90" s="176" t="s">
        <v>2735</v>
      </c>
      <c r="I90" s="178">
        <v>0.91600000000000004</v>
      </c>
      <c r="J90" s="176" t="s">
        <v>3030</v>
      </c>
      <c r="K90" s="176" t="s">
        <v>250</v>
      </c>
      <c r="L90" s="176" t="s">
        <v>2856</v>
      </c>
      <c r="M90" s="179">
        <v>4.4909999999999997</v>
      </c>
      <c r="N90" s="179">
        <v>4.1138000000000003</v>
      </c>
      <c r="O90" s="179">
        <v>0.7</v>
      </c>
      <c r="P90" s="179">
        <v>4.1452</v>
      </c>
      <c r="Q90" s="176" t="s">
        <v>3286</v>
      </c>
      <c r="R90" s="176" t="s">
        <v>3029</v>
      </c>
      <c r="S90" s="176" t="s">
        <v>2907</v>
      </c>
      <c r="T90" s="180">
        <v>46193.717175925929</v>
      </c>
      <c r="U90" s="176" t="s">
        <v>2947</v>
      </c>
      <c r="V90" s="176" t="s">
        <v>2818</v>
      </c>
    </row>
    <row r="91" spans="1:22">
      <c r="A91" s="175">
        <v>46193</v>
      </c>
      <c r="B91" s="176" t="s">
        <v>3027</v>
      </c>
      <c r="C91" s="176" t="s">
        <v>2734</v>
      </c>
      <c r="D91" s="176"/>
      <c r="E91" s="176" t="s">
        <v>2834</v>
      </c>
      <c r="F91" s="177"/>
      <c r="G91" s="177" t="s">
        <v>2735</v>
      </c>
      <c r="H91" s="176" t="s">
        <v>2735</v>
      </c>
      <c r="I91" s="178">
        <v>0.91600000000000004</v>
      </c>
      <c r="J91" s="176" t="s">
        <v>3030</v>
      </c>
      <c r="K91" s="176" t="s">
        <v>250</v>
      </c>
      <c r="L91" s="176" t="s">
        <v>2856</v>
      </c>
      <c r="M91" s="179">
        <v>4.4610000000000003</v>
      </c>
      <c r="N91" s="179">
        <v>4.0862999999999996</v>
      </c>
      <c r="O91" s="179">
        <v>0.7</v>
      </c>
      <c r="P91" s="179">
        <v>4.1174999999999997</v>
      </c>
      <c r="Q91" s="176" t="s">
        <v>3286</v>
      </c>
      <c r="R91" s="176" t="s">
        <v>3029</v>
      </c>
      <c r="S91" s="176" t="s">
        <v>2907</v>
      </c>
      <c r="T91" s="180">
        <v>46193.717175925929</v>
      </c>
      <c r="U91" s="176" t="s">
        <v>2947</v>
      </c>
      <c r="V91" s="176" t="s">
        <v>2818</v>
      </c>
    </row>
    <row r="92" spans="1:22">
      <c r="A92" s="175">
        <v>46193</v>
      </c>
      <c r="B92" s="176" t="s">
        <v>3027</v>
      </c>
      <c r="C92" s="176" t="s">
        <v>2734</v>
      </c>
      <c r="D92" s="176"/>
      <c r="E92" s="176" t="s">
        <v>2834</v>
      </c>
      <c r="F92" s="177"/>
      <c r="G92" s="177" t="s">
        <v>2735</v>
      </c>
      <c r="H92" s="176" t="s">
        <v>2735</v>
      </c>
      <c r="I92" s="178">
        <v>0.91600000000000004</v>
      </c>
      <c r="J92" s="176" t="s">
        <v>3028</v>
      </c>
      <c r="K92" s="176" t="s">
        <v>250</v>
      </c>
      <c r="L92" s="176" t="s">
        <v>2856</v>
      </c>
      <c r="M92" s="179">
        <v>31.683</v>
      </c>
      <c r="N92" s="179">
        <v>29.021599999999999</v>
      </c>
      <c r="O92" s="179">
        <v>0.7</v>
      </c>
      <c r="P92" s="179">
        <v>29.243400000000001</v>
      </c>
      <c r="Q92" s="176"/>
      <c r="R92" s="176" t="s">
        <v>3029</v>
      </c>
      <c r="S92" s="176" t="s">
        <v>2907</v>
      </c>
      <c r="T92" s="180">
        <v>46193.717175925929</v>
      </c>
      <c r="U92" s="176" t="s">
        <v>2716</v>
      </c>
      <c r="V92" s="176" t="s">
        <v>2754</v>
      </c>
    </row>
    <row r="93" spans="1:22">
      <c r="A93" s="175">
        <v>46193</v>
      </c>
      <c r="B93" s="176" t="s">
        <v>3027</v>
      </c>
      <c r="C93" s="176" t="s">
        <v>2734</v>
      </c>
      <c r="D93" s="176"/>
      <c r="E93" s="176" t="s">
        <v>2834</v>
      </c>
      <c r="F93" s="177"/>
      <c r="G93" s="177" t="s">
        <v>2735</v>
      </c>
      <c r="H93" s="176" t="s">
        <v>2735</v>
      </c>
      <c r="I93" s="178">
        <v>0.91600000000000004</v>
      </c>
      <c r="J93" s="176" t="s">
        <v>3028</v>
      </c>
      <c r="K93" s="176" t="s">
        <v>250</v>
      </c>
      <c r="L93" s="176" t="s">
        <v>2856</v>
      </c>
      <c r="M93" s="179">
        <v>31.323</v>
      </c>
      <c r="N93" s="179">
        <v>28.6919</v>
      </c>
      <c r="O93" s="179">
        <v>0.7</v>
      </c>
      <c r="P93" s="179">
        <v>28.911100000000001</v>
      </c>
      <c r="Q93" s="176"/>
      <c r="R93" s="176" t="s">
        <v>3029</v>
      </c>
      <c r="S93" s="176" t="s">
        <v>2907</v>
      </c>
      <c r="T93" s="180">
        <v>46193.717175925929</v>
      </c>
      <c r="U93" s="176" t="s">
        <v>2716</v>
      </c>
      <c r="V93" s="176" t="s">
        <v>2754</v>
      </c>
    </row>
    <row r="94" spans="1:22">
      <c r="A94" s="175">
        <v>46193</v>
      </c>
      <c r="B94" s="176" t="s">
        <v>3027</v>
      </c>
      <c r="C94" s="176" t="s">
        <v>2734</v>
      </c>
      <c r="D94" s="176"/>
      <c r="E94" s="176" t="s">
        <v>2834</v>
      </c>
      <c r="F94" s="177"/>
      <c r="G94" s="177" t="s">
        <v>2735</v>
      </c>
      <c r="H94" s="176" t="s">
        <v>2735</v>
      </c>
      <c r="I94" s="178">
        <v>0.91600000000000004</v>
      </c>
      <c r="J94" s="176" t="s">
        <v>3028</v>
      </c>
      <c r="K94" s="176" t="s">
        <v>250</v>
      </c>
      <c r="L94" s="176" t="s">
        <v>2856</v>
      </c>
      <c r="M94" s="179">
        <v>31.484999999999999</v>
      </c>
      <c r="N94" s="179">
        <v>28.840299999999999</v>
      </c>
      <c r="O94" s="179">
        <v>0.7</v>
      </c>
      <c r="P94" s="179">
        <v>29.060700000000001</v>
      </c>
      <c r="Q94" s="176"/>
      <c r="R94" s="176" t="s">
        <v>3029</v>
      </c>
      <c r="S94" s="176" t="s">
        <v>2907</v>
      </c>
      <c r="T94" s="180">
        <v>46193.717175925929</v>
      </c>
      <c r="U94" s="176" t="s">
        <v>2716</v>
      </c>
      <c r="V94" s="176" t="s">
        <v>2754</v>
      </c>
    </row>
    <row r="95" spans="1:22">
      <c r="A95" s="175">
        <v>46193</v>
      </c>
      <c r="B95" s="176" t="s">
        <v>3031</v>
      </c>
      <c r="C95" s="176" t="s">
        <v>2734</v>
      </c>
      <c r="D95" s="176"/>
      <c r="E95" s="176" t="s">
        <v>258</v>
      </c>
      <c r="F95" s="177"/>
      <c r="G95" s="177" t="s">
        <v>2735</v>
      </c>
      <c r="H95" s="176" t="s">
        <v>2735</v>
      </c>
      <c r="I95" s="178">
        <v>0.75</v>
      </c>
      <c r="J95" s="176" t="s">
        <v>3032</v>
      </c>
      <c r="K95" s="176" t="s">
        <v>253</v>
      </c>
      <c r="L95" s="176" t="s">
        <v>272</v>
      </c>
      <c r="M95" s="179">
        <v>218.3</v>
      </c>
      <c r="N95" s="179">
        <v>163.72499999999999</v>
      </c>
      <c r="O95" s="179">
        <v>0</v>
      </c>
      <c r="P95" s="179">
        <v>163.72499999999999</v>
      </c>
      <c r="Q95" s="176"/>
      <c r="R95" s="176" t="s">
        <v>3033</v>
      </c>
      <c r="S95" s="176" t="s">
        <v>2825</v>
      </c>
      <c r="T95" s="180">
        <v>46193.715219907404</v>
      </c>
      <c r="U95" s="176" t="s">
        <v>2836</v>
      </c>
      <c r="V95" s="176" t="s">
        <v>2836</v>
      </c>
    </row>
    <row r="96" spans="1:22">
      <c r="A96" s="175">
        <v>46193</v>
      </c>
      <c r="B96" s="176" t="s">
        <v>3031</v>
      </c>
      <c r="C96" s="176" t="s">
        <v>2734</v>
      </c>
      <c r="D96" s="176"/>
      <c r="E96" s="176" t="s">
        <v>258</v>
      </c>
      <c r="F96" s="177"/>
      <c r="G96" s="177" t="s">
        <v>2735</v>
      </c>
      <c r="H96" s="176" t="s">
        <v>2735</v>
      </c>
      <c r="I96" s="178">
        <v>0.75</v>
      </c>
      <c r="J96" s="176" t="s">
        <v>3034</v>
      </c>
      <c r="K96" s="176" t="s">
        <v>253</v>
      </c>
      <c r="L96" s="176" t="s">
        <v>272</v>
      </c>
      <c r="M96" s="179">
        <v>81.477999999999994</v>
      </c>
      <c r="N96" s="179">
        <v>61.108499999999999</v>
      </c>
      <c r="O96" s="179">
        <v>0</v>
      </c>
      <c r="P96" s="179">
        <v>61.108499999999999</v>
      </c>
      <c r="Q96" s="176" t="s">
        <v>3287</v>
      </c>
      <c r="R96" s="176" t="s">
        <v>2864</v>
      </c>
      <c r="S96" s="176" t="s">
        <v>2825</v>
      </c>
      <c r="T96" s="180">
        <v>46193.715219907404</v>
      </c>
      <c r="U96" s="176" t="s">
        <v>2952</v>
      </c>
      <c r="V96" s="176" t="s">
        <v>2771</v>
      </c>
    </row>
    <row r="97" spans="1:22">
      <c r="A97" s="175">
        <v>46193</v>
      </c>
      <c r="B97" s="176" t="s">
        <v>3031</v>
      </c>
      <c r="C97" s="176" t="s">
        <v>2734</v>
      </c>
      <c r="D97" s="176"/>
      <c r="E97" s="176" t="s">
        <v>258</v>
      </c>
      <c r="F97" s="177"/>
      <c r="G97" s="177" t="s">
        <v>2735</v>
      </c>
      <c r="H97" s="176" t="s">
        <v>2735</v>
      </c>
      <c r="I97" s="178">
        <v>0.75</v>
      </c>
      <c r="J97" s="176" t="s">
        <v>3035</v>
      </c>
      <c r="K97" s="176" t="s">
        <v>253</v>
      </c>
      <c r="L97" s="176" t="s">
        <v>272</v>
      </c>
      <c r="M97" s="179">
        <v>18.28</v>
      </c>
      <c r="N97" s="179">
        <v>13.71</v>
      </c>
      <c r="O97" s="179">
        <v>0</v>
      </c>
      <c r="P97" s="179">
        <v>13.71</v>
      </c>
      <c r="Q97" s="176" t="s">
        <v>2953</v>
      </c>
      <c r="R97" s="176" t="s">
        <v>2916</v>
      </c>
      <c r="S97" s="176" t="s">
        <v>2825</v>
      </c>
      <c r="T97" s="180">
        <v>46193.715219907404</v>
      </c>
      <c r="U97" s="176" t="s">
        <v>2905</v>
      </c>
      <c r="V97" s="176" t="s">
        <v>2906</v>
      </c>
    </row>
    <row r="98" spans="1:22">
      <c r="A98" s="175">
        <v>46193</v>
      </c>
      <c r="B98" s="176" t="s">
        <v>3031</v>
      </c>
      <c r="C98" s="176" t="s">
        <v>2734</v>
      </c>
      <c r="D98" s="176"/>
      <c r="E98" s="176" t="s">
        <v>258</v>
      </c>
      <c r="F98" s="177"/>
      <c r="G98" s="177" t="s">
        <v>2735</v>
      </c>
      <c r="H98" s="176" t="s">
        <v>2735</v>
      </c>
      <c r="I98" s="178">
        <v>0.75</v>
      </c>
      <c r="J98" s="176" t="s">
        <v>3036</v>
      </c>
      <c r="K98" s="176" t="s">
        <v>253</v>
      </c>
      <c r="L98" s="176" t="s">
        <v>272</v>
      </c>
      <c r="M98" s="179">
        <v>30.33</v>
      </c>
      <c r="N98" s="179">
        <v>22.747499999999999</v>
      </c>
      <c r="O98" s="179">
        <v>0</v>
      </c>
      <c r="P98" s="179">
        <v>22.747499999999999</v>
      </c>
      <c r="Q98" s="176" t="s">
        <v>2953</v>
      </c>
      <c r="R98" s="176" t="s">
        <v>2916</v>
      </c>
      <c r="S98" s="176" t="s">
        <v>2825</v>
      </c>
      <c r="T98" s="180">
        <v>46193.715219907404</v>
      </c>
      <c r="U98" s="176" t="s">
        <v>2905</v>
      </c>
      <c r="V98" s="176" t="s">
        <v>2906</v>
      </c>
    </row>
    <row r="99" spans="1:22">
      <c r="A99" s="175">
        <v>46193</v>
      </c>
      <c r="B99" s="176" t="s">
        <v>3031</v>
      </c>
      <c r="C99" s="176" t="s">
        <v>2734</v>
      </c>
      <c r="D99" s="176"/>
      <c r="E99" s="176" t="s">
        <v>258</v>
      </c>
      <c r="F99" s="177"/>
      <c r="G99" s="177" t="s">
        <v>2735</v>
      </c>
      <c r="H99" s="176" t="s">
        <v>2735</v>
      </c>
      <c r="I99" s="178">
        <v>0.75</v>
      </c>
      <c r="J99" s="176" t="s">
        <v>3037</v>
      </c>
      <c r="K99" s="176" t="s">
        <v>253</v>
      </c>
      <c r="L99" s="176" t="s">
        <v>272</v>
      </c>
      <c r="M99" s="179">
        <v>15.95</v>
      </c>
      <c r="N99" s="179">
        <v>11.9625</v>
      </c>
      <c r="O99" s="179">
        <v>0</v>
      </c>
      <c r="P99" s="179">
        <v>11.9625</v>
      </c>
      <c r="Q99" s="176" t="s">
        <v>2953</v>
      </c>
      <c r="R99" s="176" t="s">
        <v>2916</v>
      </c>
      <c r="S99" s="176" t="s">
        <v>2825</v>
      </c>
      <c r="T99" s="180">
        <v>46193.715219907404</v>
      </c>
      <c r="U99" s="176" t="s">
        <v>2905</v>
      </c>
      <c r="V99" s="176" t="s">
        <v>2906</v>
      </c>
    </row>
    <row r="100" spans="1:22">
      <c r="A100" s="175">
        <v>46193</v>
      </c>
      <c r="B100" s="176" t="s">
        <v>3031</v>
      </c>
      <c r="C100" s="176" t="s">
        <v>2734</v>
      </c>
      <c r="D100" s="176"/>
      <c r="E100" s="176" t="s">
        <v>258</v>
      </c>
      <c r="F100" s="177"/>
      <c r="G100" s="177" t="s">
        <v>2735</v>
      </c>
      <c r="H100" s="176" t="s">
        <v>2735</v>
      </c>
      <c r="I100" s="178">
        <v>0.75</v>
      </c>
      <c r="J100" s="176" t="s">
        <v>3038</v>
      </c>
      <c r="K100" s="176" t="s">
        <v>253</v>
      </c>
      <c r="L100" s="176" t="s">
        <v>272</v>
      </c>
      <c r="M100" s="179">
        <v>74.48</v>
      </c>
      <c r="N100" s="179">
        <v>55.86</v>
      </c>
      <c r="O100" s="179">
        <v>0</v>
      </c>
      <c r="P100" s="179">
        <v>55.86</v>
      </c>
      <c r="Q100" s="176" t="s">
        <v>2917</v>
      </c>
      <c r="R100" s="176" t="s">
        <v>2917</v>
      </c>
      <c r="S100" s="176" t="s">
        <v>2825</v>
      </c>
      <c r="T100" s="180">
        <v>46193.715219907404</v>
      </c>
      <c r="U100" s="176" t="s">
        <v>2816</v>
      </c>
      <c r="V100" s="176" t="s">
        <v>2826</v>
      </c>
    </row>
    <row r="101" spans="1:22">
      <c r="A101" s="175">
        <v>46193</v>
      </c>
      <c r="B101" s="176" t="s">
        <v>3031</v>
      </c>
      <c r="C101" s="176" t="s">
        <v>2734</v>
      </c>
      <c r="D101" s="176"/>
      <c r="E101" s="176" t="s">
        <v>258</v>
      </c>
      <c r="F101" s="177"/>
      <c r="G101" s="177" t="s">
        <v>2735</v>
      </c>
      <c r="H101" s="176" t="s">
        <v>2735</v>
      </c>
      <c r="I101" s="178">
        <v>0.75</v>
      </c>
      <c r="J101" s="176" t="s">
        <v>3039</v>
      </c>
      <c r="K101" s="176" t="s">
        <v>253</v>
      </c>
      <c r="L101" s="176" t="s">
        <v>272</v>
      </c>
      <c r="M101" s="179">
        <v>67.66</v>
      </c>
      <c r="N101" s="179">
        <v>50.744999999999997</v>
      </c>
      <c r="O101" s="179">
        <v>0</v>
      </c>
      <c r="P101" s="179">
        <v>50.744999999999997</v>
      </c>
      <c r="Q101" s="176" t="s">
        <v>2917</v>
      </c>
      <c r="R101" s="176" t="s">
        <v>2917</v>
      </c>
      <c r="S101" s="176" t="s">
        <v>2825</v>
      </c>
      <c r="T101" s="180">
        <v>46193.715219907404</v>
      </c>
      <c r="U101" s="176" t="s">
        <v>2816</v>
      </c>
      <c r="V101" s="176" t="s">
        <v>2826</v>
      </c>
    </row>
    <row r="102" spans="1:22">
      <c r="A102" s="175">
        <v>46193</v>
      </c>
      <c r="B102" s="176" t="s">
        <v>3031</v>
      </c>
      <c r="C102" s="176" t="s">
        <v>2734</v>
      </c>
      <c r="D102" s="176"/>
      <c r="E102" s="176" t="s">
        <v>258</v>
      </c>
      <c r="F102" s="177"/>
      <c r="G102" s="177" t="s">
        <v>2735</v>
      </c>
      <c r="H102" s="176" t="s">
        <v>2735</v>
      </c>
      <c r="I102" s="178">
        <v>0.75</v>
      </c>
      <c r="J102" s="176" t="s">
        <v>3040</v>
      </c>
      <c r="K102" s="176" t="s">
        <v>253</v>
      </c>
      <c r="L102" s="176" t="s">
        <v>282</v>
      </c>
      <c r="M102" s="179">
        <v>238.37</v>
      </c>
      <c r="N102" s="179">
        <v>178.7775</v>
      </c>
      <c r="O102" s="179">
        <v>0</v>
      </c>
      <c r="P102" s="179">
        <v>178.7775</v>
      </c>
      <c r="Q102" s="176" t="s">
        <v>3041</v>
      </c>
      <c r="R102" s="176" t="s">
        <v>3041</v>
      </c>
      <c r="S102" s="176" t="s">
        <v>2825</v>
      </c>
      <c r="T102" s="180">
        <v>46193.715219907404</v>
      </c>
      <c r="U102" s="176" t="s">
        <v>2816</v>
      </c>
      <c r="V102" s="176" t="s">
        <v>2826</v>
      </c>
    </row>
    <row r="103" spans="1:22">
      <c r="A103" s="175">
        <v>46193</v>
      </c>
      <c r="B103" s="176" t="s">
        <v>3031</v>
      </c>
      <c r="C103" s="176" t="s">
        <v>2734</v>
      </c>
      <c r="D103" s="176"/>
      <c r="E103" s="176" t="s">
        <v>258</v>
      </c>
      <c r="F103" s="177"/>
      <c r="G103" s="177" t="s">
        <v>2735</v>
      </c>
      <c r="H103" s="176" t="s">
        <v>2735</v>
      </c>
      <c r="I103" s="178">
        <v>0.75</v>
      </c>
      <c r="J103" s="176" t="s">
        <v>3042</v>
      </c>
      <c r="K103" s="176" t="s">
        <v>253</v>
      </c>
      <c r="L103" s="176" t="s">
        <v>282</v>
      </c>
      <c r="M103" s="179">
        <v>252.67</v>
      </c>
      <c r="N103" s="179">
        <v>189.5025</v>
      </c>
      <c r="O103" s="179">
        <v>0</v>
      </c>
      <c r="P103" s="179">
        <v>189.5025</v>
      </c>
      <c r="Q103" s="176" t="s">
        <v>2951</v>
      </c>
      <c r="R103" s="176" t="s">
        <v>2915</v>
      </c>
      <c r="S103" s="176" t="s">
        <v>2825</v>
      </c>
      <c r="T103" s="180">
        <v>46193.715219907404</v>
      </c>
      <c r="U103" s="176" t="s">
        <v>2771</v>
      </c>
      <c r="V103" s="176" t="s">
        <v>2771</v>
      </c>
    </row>
    <row r="104" spans="1:22">
      <c r="A104" s="175">
        <v>46193</v>
      </c>
      <c r="B104" s="176" t="s">
        <v>3031</v>
      </c>
      <c r="C104" s="176" t="s">
        <v>2734</v>
      </c>
      <c r="D104" s="176"/>
      <c r="E104" s="176" t="s">
        <v>258</v>
      </c>
      <c r="F104" s="177"/>
      <c r="G104" s="177" t="s">
        <v>2735</v>
      </c>
      <c r="H104" s="176" t="s">
        <v>2735</v>
      </c>
      <c r="I104" s="178">
        <v>0.75</v>
      </c>
      <c r="J104" s="176" t="s">
        <v>3043</v>
      </c>
      <c r="K104" s="176" t="s">
        <v>253</v>
      </c>
      <c r="L104" s="176" t="s">
        <v>282</v>
      </c>
      <c r="M104" s="179">
        <v>104.09</v>
      </c>
      <c r="N104" s="179">
        <v>78.067499999999995</v>
      </c>
      <c r="O104" s="179">
        <v>0</v>
      </c>
      <c r="P104" s="179">
        <v>78.067499999999995</v>
      </c>
      <c r="Q104" s="176" t="s">
        <v>3044</v>
      </c>
      <c r="R104" s="176" t="s">
        <v>3044</v>
      </c>
      <c r="S104" s="176" t="s">
        <v>2825</v>
      </c>
      <c r="T104" s="180">
        <v>46193.715219907404</v>
      </c>
      <c r="U104" s="176" t="s">
        <v>2773</v>
      </c>
      <c r="V104" s="176" t="s">
        <v>3288</v>
      </c>
    </row>
    <row r="105" spans="1:22">
      <c r="A105" s="175">
        <v>46193</v>
      </c>
      <c r="B105" s="176" t="s">
        <v>3031</v>
      </c>
      <c r="C105" s="176" t="s">
        <v>2734</v>
      </c>
      <c r="D105" s="176"/>
      <c r="E105" s="176" t="s">
        <v>258</v>
      </c>
      <c r="F105" s="177"/>
      <c r="G105" s="177" t="s">
        <v>2735</v>
      </c>
      <c r="H105" s="176" t="s">
        <v>2735</v>
      </c>
      <c r="I105" s="178">
        <v>0.75</v>
      </c>
      <c r="J105" s="176" t="s">
        <v>3045</v>
      </c>
      <c r="K105" s="176" t="s">
        <v>253</v>
      </c>
      <c r="L105" s="176" t="s">
        <v>282</v>
      </c>
      <c r="M105" s="179">
        <v>232.82</v>
      </c>
      <c r="N105" s="179">
        <v>174.61500000000001</v>
      </c>
      <c r="O105" s="179">
        <v>0</v>
      </c>
      <c r="P105" s="179">
        <v>174.61500000000001</v>
      </c>
      <c r="Q105" s="176" t="s">
        <v>2961</v>
      </c>
      <c r="R105" s="176" t="s">
        <v>2920</v>
      </c>
      <c r="S105" s="176" t="s">
        <v>2825</v>
      </c>
      <c r="T105" s="180">
        <v>46193.715219907404</v>
      </c>
      <c r="U105" s="176" t="s">
        <v>2952</v>
      </c>
      <c r="V105" s="176" t="s">
        <v>2771</v>
      </c>
    </row>
    <row r="106" spans="1:22">
      <c r="A106" s="175">
        <v>46193</v>
      </c>
      <c r="B106" s="176" t="s">
        <v>3031</v>
      </c>
      <c r="C106" s="176" t="s">
        <v>2734</v>
      </c>
      <c r="D106" s="176"/>
      <c r="E106" s="176" t="s">
        <v>258</v>
      </c>
      <c r="F106" s="177"/>
      <c r="G106" s="177" t="s">
        <v>2735</v>
      </c>
      <c r="H106" s="176" t="s">
        <v>2735</v>
      </c>
      <c r="I106" s="178">
        <v>0.75</v>
      </c>
      <c r="J106" s="176" t="s">
        <v>3046</v>
      </c>
      <c r="K106" s="176" t="s">
        <v>253</v>
      </c>
      <c r="L106" s="176" t="s">
        <v>282</v>
      </c>
      <c r="M106" s="179">
        <v>14.14</v>
      </c>
      <c r="N106" s="179">
        <v>10.605</v>
      </c>
      <c r="O106" s="179">
        <v>0</v>
      </c>
      <c r="P106" s="179">
        <v>10.605</v>
      </c>
      <c r="Q106" s="176" t="s">
        <v>3047</v>
      </c>
      <c r="R106" s="176" t="s">
        <v>3047</v>
      </c>
      <c r="S106" s="176" t="s">
        <v>2825</v>
      </c>
      <c r="T106" s="180">
        <v>46193.715219907404</v>
      </c>
      <c r="U106" s="176" t="s">
        <v>2836</v>
      </c>
      <c r="V106" s="176" t="s">
        <v>2886</v>
      </c>
    </row>
    <row r="107" spans="1:22">
      <c r="A107" s="175">
        <v>46193</v>
      </c>
      <c r="B107" s="176" t="s">
        <v>3031</v>
      </c>
      <c r="C107" s="176" t="s">
        <v>2734</v>
      </c>
      <c r="D107" s="176"/>
      <c r="E107" s="176" t="s">
        <v>258</v>
      </c>
      <c r="F107" s="177"/>
      <c r="G107" s="177" t="s">
        <v>2735</v>
      </c>
      <c r="H107" s="176" t="s">
        <v>2735</v>
      </c>
      <c r="I107" s="178">
        <v>0.75</v>
      </c>
      <c r="J107" s="176" t="s">
        <v>3048</v>
      </c>
      <c r="K107" s="176" t="s">
        <v>253</v>
      </c>
      <c r="L107" s="176" t="s">
        <v>282</v>
      </c>
      <c r="M107" s="179">
        <v>200.08</v>
      </c>
      <c r="N107" s="179">
        <v>150.06</v>
      </c>
      <c r="O107" s="179">
        <v>0</v>
      </c>
      <c r="P107" s="179">
        <v>150.06</v>
      </c>
      <c r="Q107" s="176" t="s">
        <v>3289</v>
      </c>
      <c r="R107" s="176" t="s">
        <v>3049</v>
      </c>
      <c r="S107" s="176" t="s">
        <v>2825</v>
      </c>
      <c r="T107" s="180">
        <v>46193.715219907404</v>
      </c>
      <c r="U107" s="176" t="s">
        <v>2771</v>
      </c>
      <c r="V107" s="176" t="s">
        <v>2754</v>
      </c>
    </row>
    <row r="108" spans="1:22">
      <c r="A108" s="175">
        <v>46193</v>
      </c>
      <c r="B108" s="176" t="s">
        <v>3031</v>
      </c>
      <c r="C108" s="176" t="s">
        <v>2734</v>
      </c>
      <c r="D108" s="176"/>
      <c r="E108" s="176" t="s">
        <v>258</v>
      </c>
      <c r="F108" s="177"/>
      <c r="G108" s="177" t="s">
        <v>2735</v>
      </c>
      <c r="H108" s="176" t="s">
        <v>2735</v>
      </c>
      <c r="I108" s="178">
        <v>0.75</v>
      </c>
      <c r="J108" s="176" t="s">
        <v>3050</v>
      </c>
      <c r="K108" s="176" t="s">
        <v>253</v>
      </c>
      <c r="L108" s="176" t="s">
        <v>282</v>
      </c>
      <c r="M108" s="179">
        <v>5.53</v>
      </c>
      <c r="N108" s="179">
        <v>4.1475</v>
      </c>
      <c r="O108" s="179">
        <v>0</v>
      </c>
      <c r="P108" s="179">
        <v>4.1475</v>
      </c>
      <c r="Q108" s="176" t="s">
        <v>3051</v>
      </c>
      <c r="R108" s="176" t="s">
        <v>3051</v>
      </c>
      <c r="S108" s="176" t="s">
        <v>2825</v>
      </c>
      <c r="T108" s="180">
        <v>46193.715219907404</v>
      </c>
      <c r="U108" s="176" t="s">
        <v>2771</v>
      </c>
      <c r="V108" s="176" t="s">
        <v>2754</v>
      </c>
    </row>
    <row r="109" spans="1:22">
      <c r="A109" s="175">
        <v>46193</v>
      </c>
      <c r="B109" s="176" t="s">
        <v>3031</v>
      </c>
      <c r="C109" s="176" t="s">
        <v>2734</v>
      </c>
      <c r="D109" s="176"/>
      <c r="E109" s="176" t="s">
        <v>258</v>
      </c>
      <c r="F109" s="177"/>
      <c r="G109" s="177" t="s">
        <v>2735</v>
      </c>
      <c r="H109" s="176" t="s">
        <v>2735</v>
      </c>
      <c r="I109" s="178">
        <v>0.75</v>
      </c>
      <c r="J109" s="176" t="s">
        <v>3052</v>
      </c>
      <c r="K109" s="176" t="s">
        <v>253</v>
      </c>
      <c r="L109" s="176" t="s">
        <v>282</v>
      </c>
      <c r="M109" s="179">
        <v>153.11000000000001</v>
      </c>
      <c r="N109" s="179">
        <v>114.8325</v>
      </c>
      <c r="O109" s="179">
        <v>0</v>
      </c>
      <c r="P109" s="179">
        <v>114.8325</v>
      </c>
      <c r="Q109" s="176" t="s">
        <v>3289</v>
      </c>
      <c r="R109" s="176" t="s">
        <v>3049</v>
      </c>
      <c r="S109" s="176" t="s">
        <v>2825</v>
      </c>
      <c r="T109" s="180">
        <v>46193.715219907404</v>
      </c>
      <c r="U109" s="176" t="s">
        <v>3290</v>
      </c>
      <c r="V109" s="176" t="s">
        <v>2754</v>
      </c>
    </row>
    <row r="110" spans="1:22">
      <c r="A110" s="175">
        <v>46193</v>
      </c>
      <c r="B110" s="176" t="s">
        <v>3031</v>
      </c>
      <c r="C110" s="176" t="s">
        <v>2734</v>
      </c>
      <c r="D110" s="176"/>
      <c r="E110" s="176" t="s">
        <v>258</v>
      </c>
      <c r="F110" s="177"/>
      <c r="G110" s="177" t="s">
        <v>2735</v>
      </c>
      <c r="H110" s="176" t="s">
        <v>2735</v>
      </c>
      <c r="I110" s="178">
        <v>0.75</v>
      </c>
      <c r="J110" s="176" t="s">
        <v>3053</v>
      </c>
      <c r="K110" s="176" t="s">
        <v>253</v>
      </c>
      <c r="L110" s="176" t="s">
        <v>282</v>
      </c>
      <c r="M110" s="179">
        <v>308.39</v>
      </c>
      <c r="N110" s="179">
        <v>231.29249999999999</v>
      </c>
      <c r="O110" s="179">
        <v>0</v>
      </c>
      <c r="P110" s="179">
        <v>231.29249999999999</v>
      </c>
      <c r="Q110" s="176" t="s">
        <v>2959</v>
      </c>
      <c r="R110" s="176" t="s">
        <v>2919</v>
      </c>
      <c r="S110" s="176" t="s">
        <v>2825</v>
      </c>
      <c r="T110" s="180">
        <v>46193.715219907404</v>
      </c>
      <c r="U110" s="176" t="s">
        <v>2960</v>
      </c>
      <c r="V110" s="176" t="s">
        <v>2826</v>
      </c>
    </row>
    <row r="111" spans="1:22">
      <c r="A111" s="175">
        <v>46193</v>
      </c>
      <c r="B111" s="176" t="s">
        <v>3031</v>
      </c>
      <c r="C111" s="176" t="s">
        <v>2734</v>
      </c>
      <c r="D111" s="176"/>
      <c r="E111" s="176" t="s">
        <v>258</v>
      </c>
      <c r="F111" s="177"/>
      <c r="G111" s="177" t="s">
        <v>2735</v>
      </c>
      <c r="H111" s="176" t="s">
        <v>2735</v>
      </c>
      <c r="I111" s="178">
        <v>0.75</v>
      </c>
      <c r="J111" s="176" t="s">
        <v>3054</v>
      </c>
      <c r="K111" s="176" t="s">
        <v>253</v>
      </c>
      <c r="L111" s="176" t="s">
        <v>282</v>
      </c>
      <c r="M111" s="179">
        <v>248.8</v>
      </c>
      <c r="N111" s="179">
        <v>186.6</v>
      </c>
      <c r="O111" s="179">
        <v>0</v>
      </c>
      <c r="P111" s="179">
        <v>186.6</v>
      </c>
      <c r="Q111" s="176" t="s">
        <v>3291</v>
      </c>
      <c r="R111" s="176" t="s">
        <v>3055</v>
      </c>
      <c r="S111" s="176" t="s">
        <v>2825</v>
      </c>
      <c r="T111" s="180">
        <v>46193.715219907404</v>
      </c>
      <c r="U111" s="176" t="s">
        <v>2771</v>
      </c>
      <c r="V111" s="176" t="s">
        <v>2771</v>
      </c>
    </row>
    <row r="112" spans="1:22">
      <c r="A112" s="175">
        <v>46193</v>
      </c>
      <c r="B112" s="176" t="s">
        <v>3031</v>
      </c>
      <c r="C112" s="176" t="s">
        <v>2734</v>
      </c>
      <c r="D112" s="176"/>
      <c r="E112" s="176" t="s">
        <v>258</v>
      </c>
      <c r="F112" s="177"/>
      <c r="G112" s="177" t="s">
        <v>2735</v>
      </c>
      <c r="H112" s="176" t="s">
        <v>2735</v>
      </c>
      <c r="I112" s="178">
        <v>0.75</v>
      </c>
      <c r="J112" s="176" t="s">
        <v>3056</v>
      </c>
      <c r="K112" s="176" t="s">
        <v>253</v>
      </c>
      <c r="L112" s="176" t="s">
        <v>272</v>
      </c>
      <c r="M112" s="179">
        <v>367.54</v>
      </c>
      <c r="N112" s="179">
        <v>275.65499999999997</v>
      </c>
      <c r="O112" s="179">
        <v>0</v>
      </c>
      <c r="P112" s="179">
        <v>275.65499999999997</v>
      </c>
      <c r="Q112" s="176"/>
      <c r="R112" s="176" t="s">
        <v>3057</v>
      </c>
      <c r="S112" s="176" t="s">
        <v>2825</v>
      </c>
      <c r="T112" s="180">
        <v>46193.715219907404</v>
      </c>
      <c r="U112" s="176" t="s">
        <v>2836</v>
      </c>
      <c r="V112" s="176" t="s">
        <v>2836</v>
      </c>
    </row>
    <row r="113" spans="1:22">
      <c r="A113" s="175">
        <v>46193</v>
      </c>
      <c r="B113" s="176" t="s">
        <v>3031</v>
      </c>
      <c r="C113" s="176" t="s">
        <v>2734</v>
      </c>
      <c r="D113" s="176"/>
      <c r="E113" s="176" t="s">
        <v>258</v>
      </c>
      <c r="F113" s="177"/>
      <c r="G113" s="177" t="s">
        <v>2735</v>
      </c>
      <c r="H113" s="176" t="s">
        <v>2735</v>
      </c>
      <c r="I113" s="178">
        <v>0.75</v>
      </c>
      <c r="J113" s="176" t="s">
        <v>2918</v>
      </c>
      <c r="K113" s="176" t="s">
        <v>253</v>
      </c>
      <c r="L113" s="176" t="s">
        <v>272</v>
      </c>
      <c r="M113" s="179">
        <v>9.7569999999999997</v>
      </c>
      <c r="N113" s="179">
        <v>7.3178000000000001</v>
      </c>
      <c r="O113" s="179">
        <v>0</v>
      </c>
      <c r="P113" s="179">
        <v>7.3178000000000001</v>
      </c>
      <c r="Q113" s="176"/>
      <c r="R113" s="176" t="s">
        <v>2864</v>
      </c>
      <c r="S113" s="176" t="s">
        <v>2825</v>
      </c>
      <c r="T113" s="180">
        <v>46193.715219907404</v>
      </c>
      <c r="U113" s="176" t="s">
        <v>2811</v>
      </c>
      <c r="V113" s="176" t="s">
        <v>2955</v>
      </c>
    </row>
    <row r="114" spans="1:22">
      <c r="A114" s="175">
        <v>46193</v>
      </c>
      <c r="B114" s="176" t="s">
        <v>3058</v>
      </c>
      <c r="C114" s="176" t="s">
        <v>2734</v>
      </c>
      <c r="D114" s="176"/>
      <c r="E114" s="176" t="s">
        <v>2834</v>
      </c>
      <c r="F114" s="177"/>
      <c r="G114" s="177" t="s">
        <v>2735</v>
      </c>
      <c r="H114" s="176" t="s">
        <v>2735</v>
      </c>
      <c r="I114" s="178">
        <v>0.91600000000000004</v>
      </c>
      <c r="J114" s="176" t="s">
        <v>2822</v>
      </c>
      <c r="K114" s="176" t="s">
        <v>250</v>
      </c>
      <c r="L114" s="176" t="s">
        <v>2856</v>
      </c>
      <c r="M114" s="179">
        <v>7.0590000000000002</v>
      </c>
      <c r="N114" s="179">
        <v>6.4660000000000002</v>
      </c>
      <c r="O114" s="179">
        <v>0.7</v>
      </c>
      <c r="P114" s="179">
        <v>6.5155000000000003</v>
      </c>
      <c r="Q114" s="176"/>
      <c r="R114" s="176" t="s">
        <v>3059</v>
      </c>
      <c r="S114" s="176" t="s">
        <v>2907</v>
      </c>
      <c r="T114" s="180">
        <v>46193.708692129629</v>
      </c>
      <c r="U114" s="176" t="s">
        <v>2827</v>
      </c>
      <c r="V114" s="176" t="s">
        <v>2754</v>
      </c>
    </row>
    <row r="115" spans="1:22">
      <c r="A115" s="175">
        <v>46193</v>
      </c>
      <c r="B115" s="176" t="s">
        <v>3060</v>
      </c>
      <c r="C115" s="176" t="s">
        <v>2734</v>
      </c>
      <c r="D115" s="176"/>
      <c r="E115" s="176" t="s">
        <v>2834</v>
      </c>
      <c r="F115" s="177"/>
      <c r="G115" s="177" t="s">
        <v>2735</v>
      </c>
      <c r="H115" s="176" t="s">
        <v>2735</v>
      </c>
      <c r="I115" s="178">
        <v>0.91600000000000004</v>
      </c>
      <c r="J115" s="176" t="s">
        <v>2822</v>
      </c>
      <c r="K115" s="176" t="s">
        <v>250</v>
      </c>
      <c r="L115" s="176" t="s">
        <v>2856</v>
      </c>
      <c r="M115" s="179">
        <v>19.829000000000001</v>
      </c>
      <c r="N115" s="179">
        <v>18.163399999999999</v>
      </c>
      <c r="O115" s="179">
        <v>0.7</v>
      </c>
      <c r="P115" s="179">
        <v>18.302199999999999</v>
      </c>
      <c r="Q115" s="176"/>
      <c r="R115" s="176" t="s">
        <v>3061</v>
      </c>
      <c r="S115" s="176" t="s">
        <v>2907</v>
      </c>
      <c r="T115" s="180">
        <v>46193.707546296297</v>
      </c>
      <c r="U115" s="176" t="s">
        <v>2827</v>
      </c>
      <c r="V115" s="176" t="s">
        <v>2754</v>
      </c>
    </row>
    <row r="116" spans="1:22">
      <c r="A116" s="175">
        <v>46193</v>
      </c>
      <c r="B116" s="176" t="s">
        <v>3062</v>
      </c>
      <c r="C116" s="176" t="s">
        <v>2734</v>
      </c>
      <c r="D116" s="176"/>
      <c r="E116" s="176" t="s">
        <v>258</v>
      </c>
      <c r="F116" s="177"/>
      <c r="G116" s="177" t="s">
        <v>2735</v>
      </c>
      <c r="H116" s="176" t="s">
        <v>2735</v>
      </c>
      <c r="I116" s="178">
        <v>0.91800000000000004</v>
      </c>
      <c r="J116" s="176" t="s">
        <v>3063</v>
      </c>
      <c r="K116" s="176" t="s">
        <v>250</v>
      </c>
      <c r="L116" s="176" t="s">
        <v>2804</v>
      </c>
      <c r="M116" s="179">
        <v>1457.12</v>
      </c>
      <c r="N116" s="179">
        <v>1337.6361999999999</v>
      </c>
      <c r="O116" s="179">
        <v>0</v>
      </c>
      <c r="P116" s="179">
        <v>1337.6361999999999</v>
      </c>
      <c r="Q116" s="176"/>
      <c r="R116" s="176" t="s">
        <v>3064</v>
      </c>
      <c r="S116" s="176" t="s">
        <v>2825</v>
      </c>
      <c r="T116" s="180">
        <v>46193.706412037034</v>
      </c>
      <c r="U116" s="176" t="s">
        <v>2944</v>
      </c>
      <c r="V116" s="176" t="s">
        <v>2945</v>
      </c>
    </row>
    <row r="117" spans="1:22">
      <c r="A117" s="175">
        <v>46193</v>
      </c>
      <c r="B117" s="176" t="s">
        <v>3065</v>
      </c>
      <c r="C117" s="176" t="s">
        <v>2734</v>
      </c>
      <c r="D117" s="176"/>
      <c r="E117" s="176" t="s">
        <v>2834</v>
      </c>
      <c r="F117" s="177"/>
      <c r="G117" s="177" t="s">
        <v>2735</v>
      </c>
      <c r="H117" s="176" t="s">
        <v>2735</v>
      </c>
      <c r="I117" s="178">
        <v>0.91600000000000004</v>
      </c>
      <c r="J117" s="176" t="s">
        <v>2833</v>
      </c>
      <c r="K117" s="176" t="s">
        <v>250</v>
      </c>
      <c r="L117" s="176" t="s">
        <v>2856</v>
      </c>
      <c r="M117" s="179">
        <v>38.590000000000003</v>
      </c>
      <c r="N117" s="179">
        <v>35.348399999999998</v>
      </c>
      <c r="O117" s="179">
        <v>0.7</v>
      </c>
      <c r="P117" s="179">
        <v>35.618600000000001</v>
      </c>
      <c r="Q117" s="176"/>
      <c r="R117" s="176" t="s">
        <v>3066</v>
      </c>
      <c r="S117" s="176" t="s">
        <v>2907</v>
      </c>
      <c r="T117" s="180">
        <v>46193.706331018519</v>
      </c>
      <c r="U117" s="176" t="s">
        <v>2798</v>
      </c>
      <c r="V117" s="176" t="s">
        <v>2799</v>
      </c>
    </row>
    <row r="118" spans="1:22">
      <c r="A118" s="175">
        <v>46193</v>
      </c>
      <c r="B118" s="176" t="s">
        <v>3067</v>
      </c>
      <c r="C118" s="176" t="s">
        <v>2734</v>
      </c>
      <c r="D118" s="176"/>
      <c r="E118" s="176" t="s">
        <v>2834</v>
      </c>
      <c r="F118" s="177"/>
      <c r="G118" s="177" t="s">
        <v>2735</v>
      </c>
      <c r="H118" s="176" t="s">
        <v>2735</v>
      </c>
      <c r="I118" s="178">
        <v>0.75</v>
      </c>
      <c r="J118" s="176" t="s">
        <v>3068</v>
      </c>
      <c r="K118" s="176" t="s">
        <v>253</v>
      </c>
      <c r="L118" s="176" t="s">
        <v>282</v>
      </c>
      <c r="M118" s="179">
        <v>16.097000000000001</v>
      </c>
      <c r="N118" s="179">
        <v>12.072800000000001</v>
      </c>
      <c r="O118" s="179">
        <v>0.7</v>
      </c>
      <c r="P118" s="179">
        <v>12.1854</v>
      </c>
      <c r="Q118" s="176"/>
      <c r="R118" s="176" t="s">
        <v>3069</v>
      </c>
      <c r="S118" s="176" t="s">
        <v>2907</v>
      </c>
      <c r="T118" s="180">
        <v>46193.704386574071</v>
      </c>
      <c r="U118" s="176" t="s">
        <v>2817</v>
      </c>
      <c r="V118" s="176" t="s">
        <v>2818</v>
      </c>
    </row>
    <row r="119" spans="1:22">
      <c r="A119" s="175">
        <v>46193</v>
      </c>
      <c r="B119" s="176" t="s">
        <v>3070</v>
      </c>
      <c r="C119" s="176" t="s">
        <v>2734</v>
      </c>
      <c r="D119" s="176"/>
      <c r="E119" s="176" t="s">
        <v>258</v>
      </c>
      <c r="F119" s="177"/>
      <c r="G119" s="177" t="s">
        <v>2735</v>
      </c>
      <c r="H119" s="176" t="s">
        <v>2735</v>
      </c>
      <c r="I119" s="178">
        <v>0.91800000000000004</v>
      </c>
      <c r="J119" s="176" t="s">
        <v>3071</v>
      </c>
      <c r="K119" s="176" t="s">
        <v>250</v>
      </c>
      <c r="L119" s="176" t="s">
        <v>2804</v>
      </c>
      <c r="M119" s="179">
        <v>1349.18</v>
      </c>
      <c r="N119" s="179">
        <v>1238.5472</v>
      </c>
      <c r="O119" s="179">
        <v>0</v>
      </c>
      <c r="P119" s="179">
        <v>1238.5472</v>
      </c>
      <c r="Q119" s="176" t="s">
        <v>3292</v>
      </c>
      <c r="R119" s="176" t="s">
        <v>3072</v>
      </c>
      <c r="S119" s="176" t="s">
        <v>2825</v>
      </c>
      <c r="T119" s="180">
        <v>46193.704247685186</v>
      </c>
      <c r="U119" s="176" t="s">
        <v>2944</v>
      </c>
      <c r="V119" s="176" t="s">
        <v>2945</v>
      </c>
    </row>
    <row r="120" spans="1:22">
      <c r="A120" s="175">
        <v>46193</v>
      </c>
      <c r="B120" s="176" t="s">
        <v>3073</v>
      </c>
      <c r="C120" s="176" t="s">
        <v>2734</v>
      </c>
      <c r="D120" s="176"/>
      <c r="E120" s="176" t="s">
        <v>257</v>
      </c>
      <c r="F120" s="177"/>
      <c r="G120" s="177" t="s">
        <v>2735</v>
      </c>
      <c r="H120" s="176" t="s">
        <v>2735</v>
      </c>
      <c r="I120" s="178">
        <v>0.91800000000000004</v>
      </c>
      <c r="J120" s="176" t="s">
        <v>2822</v>
      </c>
      <c r="K120" s="176" t="s">
        <v>250</v>
      </c>
      <c r="L120" s="176" t="s">
        <v>2804</v>
      </c>
      <c r="M120" s="179">
        <v>15.62</v>
      </c>
      <c r="N120" s="179">
        <v>14.3392</v>
      </c>
      <c r="O120" s="179">
        <v>0</v>
      </c>
      <c r="P120" s="179">
        <v>14.3392</v>
      </c>
      <c r="Q120" s="176"/>
      <c r="R120" s="176" t="s">
        <v>3074</v>
      </c>
      <c r="S120" s="176" t="s">
        <v>2825</v>
      </c>
      <c r="T120" s="180">
        <v>46193.702349537038</v>
      </c>
      <c r="U120" s="176" t="s">
        <v>2827</v>
      </c>
      <c r="V120" s="176" t="s">
        <v>2754</v>
      </c>
    </row>
    <row r="121" spans="1:22">
      <c r="A121" s="175">
        <v>46193</v>
      </c>
      <c r="B121" s="176" t="s">
        <v>3073</v>
      </c>
      <c r="C121" s="176" t="s">
        <v>2734</v>
      </c>
      <c r="D121" s="176"/>
      <c r="E121" s="176" t="s">
        <v>257</v>
      </c>
      <c r="F121" s="177"/>
      <c r="G121" s="177" t="s">
        <v>2735</v>
      </c>
      <c r="H121" s="176" t="s">
        <v>2735</v>
      </c>
      <c r="I121" s="178">
        <v>0.91800000000000004</v>
      </c>
      <c r="J121" s="176" t="s">
        <v>3075</v>
      </c>
      <c r="K121" s="176" t="s">
        <v>250</v>
      </c>
      <c r="L121" s="176" t="s">
        <v>2804</v>
      </c>
      <c r="M121" s="179">
        <v>48.81</v>
      </c>
      <c r="N121" s="179">
        <v>44.807600000000001</v>
      </c>
      <c r="O121" s="179">
        <v>0</v>
      </c>
      <c r="P121" s="179">
        <v>44.807600000000001</v>
      </c>
      <c r="Q121" s="176"/>
      <c r="R121" s="176" t="s">
        <v>3076</v>
      </c>
      <c r="S121" s="176" t="s">
        <v>2825</v>
      </c>
      <c r="T121" s="180">
        <v>46193.702349537038</v>
      </c>
      <c r="U121" s="176" t="s">
        <v>2817</v>
      </c>
      <c r="V121" s="176" t="s">
        <v>2818</v>
      </c>
    </row>
    <row r="122" spans="1:22">
      <c r="A122" s="175">
        <v>46193</v>
      </c>
      <c r="B122" s="176" t="s">
        <v>3073</v>
      </c>
      <c r="C122" s="176" t="s">
        <v>2734</v>
      </c>
      <c r="D122" s="176"/>
      <c r="E122" s="176" t="s">
        <v>257</v>
      </c>
      <c r="F122" s="177"/>
      <c r="G122" s="177" t="s">
        <v>2735</v>
      </c>
      <c r="H122" s="176" t="s">
        <v>2735</v>
      </c>
      <c r="I122" s="178">
        <v>0.91800000000000004</v>
      </c>
      <c r="J122" s="176" t="s">
        <v>274</v>
      </c>
      <c r="K122" s="176" t="s">
        <v>250</v>
      </c>
      <c r="L122" s="176" t="s">
        <v>2804</v>
      </c>
      <c r="M122" s="179">
        <v>46.24</v>
      </c>
      <c r="N122" s="179">
        <v>42.448300000000003</v>
      </c>
      <c r="O122" s="179">
        <v>0</v>
      </c>
      <c r="P122" s="179">
        <v>42.448300000000003</v>
      </c>
      <c r="Q122" s="176"/>
      <c r="R122" s="176" t="s">
        <v>3077</v>
      </c>
      <c r="S122" s="176" t="s">
        <v>2825</v>
      </c>
      <c r="T122" s="180">
        <v>46193.702349537038</v>
      </c>
      <c r="U122" s="176" t="s">
        <v>2844</v>
      </c>
      <c r="V122" s="176" t="s">
        <v>2796</v>
      </c>
    </row>
    <row r="123" spans="1:22">
      <c r="A123" s="175">
        <v>46193</v>
      </c>
      <c r="B123" s="176" t="s">
        <v>3073</v>
      </c>
      <c r="C123" s="176" t="s">
        <v>2734</v>
      </c>
      <c r="D123" s="176"/>
      <c r="E123" s="176" t="s">
        <v>257</v>
      </c>
      <c r="F123" s="177"/>
      <c r="G123" s="177" t="s">
        <v>2735</v>
      </c>
      <c r="H123" s="176" t="s">
        <v>2735</v>
      </c>
      <c r="I123" s="178">
        <v>0.91800000000000004</v>
      </c>
      <c r="J123" s="176" t="s">
        <v>2833</v>
      </c>
      <c r="K123" s="176" t="s">
        <v>250</v>
      </c>
      <c r="L123" s="176" t="s">
        <v>2804</v>
      </c>
      <c r="M123" s="179">
        <v>530.98</v>
      </c>
      <c r="N123" s="179">
        <v>487.43959999999998</v>
      </c>
      <c r="O123" s="179">
        <v>0</v>
      </c>
      <c r="P123" s="179">
        <v>487.43959999999998</v>
      </c>
      <c r="Q123" s="176"/>
      <c r="R123" s="176" t="s">
        <v>3078</v>
      </c>
      <c r="S123" s="176" t="s">
        <v>2825</v>
      </c>
      <c r="T123" s="180">
        <v>46193.702349537038</v>
      </c>
      <c r="U123" s="176" t="s">
        <v>2798</v>
      </c>
      <c r="V123" s="176" t="s">
        <v>2799</v>
      </c>
    </row>
    <row r="124" spans="1:22">
      <c r="A124" s="175">
        <v>46193</v>
      </c>
      <c r="B124" s="176" t="s">
        <v>3073</v>
      </c>
      <c r="C124" s="176" t="s">
        <v>2734</v>
      </c>
      <c r="D124" s="176"/>
      <c r="E124" s="176" t="s">
        <v>257</v>
      </c>
      <c r="F124" s="177"/>
      <c r="G124" s="177" t="s">
        <v>2735</v>
      </c>
      <c r="H124" s="176" t="s">
        <v>2735</v>
      </c>
      <c r="I124" s="178">
        <v>0.91800000000000004</v>
      </c>
      <c r="J124" s="176" t="s">
        <v>2833</v>
      </c>
      <c r="K124" s="176" t="s">
        <v>250</v>
      </c>
      <c r="L124" s="176" t="s">
        <v>2804</v>
      </c>
      <c r="M124" s="179">
        <v>11.4</v>
      </c>
      <c r="N124" s="179">
        <v>10.465199999999999</v>
      </c>
      <c r="O124" s="179">
        <v>0</v>
      </c>
      <c r="P124" s="179">
        <v>10.465199999999999</v>
      </c>
      <c r="Q124" s="176"/>
      <c r="R124" s="176" t="s">
        <v>3079</v>
      </c>
      <c r="S124" s="176" t="s">
        <v>2825</v>
      </c>
      <c r="T124" s="180">
        <v>46193.702349537038</v>
      </c>
      <c r="U124" s="176" t="s">
        <v>2798</v>
      </c>
      <c r="V124" s="176" t="s">
        <v>2799</v>
      </c>
    </row>
    <row r="125" spans="1:22">
      <c r="A125" s="175">
        <v>46193</v>
      </c>
      <c r="B125" s="176" t="s">
        <v>3073</v>
      </c>
      <c r="C125" s="176" t="s">
        <v>2734</v>
      </c>
      <c r="D125" s="176"/>
      <c r="E125" s="176" t="s">
        <v>257</v>
      </c>
      <c r="F125" s="177"/>
      <c r="G125" s="177" t="s">
        <v>2735</v>
      </c>
      <c r="H125" s="176" t="s">
        <v>2735</v>
      </c>
      <c r="I125" s="178">
        <v>0.91800000000000004</v>
      </c>
      <c r="J125" s="176" t="s">
        <v>2867</v>
      </c>
      <c r="K125" s="176" t="s">
        <v>250</v>
      </c>
      <c r="L125" s="176" t="s">
        <v>2804</v>
      </c>
      <c r="M125" s="179">
        <v>8.07</v>
      </c>
      <c r="N125" s="179">
        <v>7.4082999999999997</v>
      </c>
      <c r="O125" s="179">
        <v>0</v>
      </c>
      <c r="P125" s="179">
        <v>7.4082999999999997</v>
      </c>
      <c r="Q125" s="176"/>
      <c r="R125" s="176" t="s">
        <v>3080</v>
      </c>
      <c r="S125" s="176" t="s">
        <v>2825</v>
      </c>
      <c r="T125" s="180">
        <v>46193.702349537038</v>
      </c>
      <c r="U125" s="176" t="s">
        <v>2798</v>
      </c>
      <c r="V125" s="176" t="s">
        <v>2799</v>
      </c>
    </row>
    <row r="126" spans="1:22">
      <c r="A126" s="175">
        <v>46193</v>
      </c>
      <c r="B126" s="176" t="s">
        <v>3081</v>
      </c>
      <c r="C126" s="176" t="s">
        <v>2734</v>
      </c>
      <c r="D126" s="176"/>
      <c r="E126" s="176" t="s">
        <v>258</v>
      </c>
      <c r="F126" s="177"/>
      <c r="G126" s="177" t="s">
        <v>2735</v>
      </c>
      <c r="H126" s="176" t="s">
        <v>2735</v>
      </c>
      <c r="I126" s="178">
        <v>0.91800000000000004</v>
      </c>
      <c r="J126" s="176" t="s">
        <v>3082</v>
      </c>
      <c r="K126" s="176" t="s">
        <v>250</v>
      </c>
      <c r="L126" s="176" t="s">
        <v>2804</v>
      </c>
      <c r="M126" s="179">
        <v>8.3650000000000002</v>
      </c>
      <c r="N126" s="179">
        <v>7.6791</v>
      </c>
      <c r="O126" s="179">
        <v>0</v>
      </c>
      <c r="P126" s="179">
        <v>7.6791</v>
      </c>
      <c r="Q126" s="176"/>
      <c r="R126" s="176" t="s">
        <v>2864</v>
      </c>
      <c r="S126" s="176" t="s">
        <v>2825</v>
      </c>
      <c r="T126" s="180">
        <v>46193.699224537035</v>
      </c>
      <c r="U126" s="176" t="s">
        <v>2962</v>
      </c>
      <c r="V126" s="176" t="s">
        <v>2908</v>
      </c>
    </row>
    <row r="127" spans="1:22">
      <c r="A127" s="175">
        <v>46193</v>
      </c>
      <c r="B127" s="176" t="s">
        <v>3081</v>
      </c>
      <c r="C127" s="176" t="s">
        <v>2734</v>
      </c>
      <c r="D127" s="176"/>
      <c r="E127" s="176" t="s">
        <v>258</v>
      </c>
      <c r="F127" s="177"/>
      <c r="G127" s="177" t="s">
        <v>2735</v>
      </c>
      <c r="H127" s="176" t="s">
        <v>2735</v>
      </c>
      <c r="I127" s="178">
        <v>0.91800000000000004</v>
      </c>
      <c r="J127" s="176" t="s">
        <v>3083</v>
      </c>
      <c r="K127" s="176" t="s">
        <v>250</v>
      </c>
      <c r="L127" s="176" t="s">
        <v>2804</v>
      </c>
      <c r="M127" s="179">
        <v>71.97</v>
      </c>
      <c r="N127" s="179">
        <v>66.0685</v>
      </c>
      <c r="O127" s="179">
        <v>0</v>
      </c>
      <c r="P127" s="179">
        <v>66.0685</v>
      </c>
      <c r="Q127" s="176" t="s">
        <v>3293</v>
      </c>
      <c r="R127" s="176" t="s">
        <v>3084</v>
      </c>
      <c r="S127" s="176" t="s">
        <v>2825</v>
      </c>
      <c r="T127" s="180">
        <v>46193.699224537035</v>
      </c>
      <c r="U127" s="176" t="s">
        <v>2947</v>
      </c>
      <c r="V127" s="176" t="s">
        <v>2818</v>
      </c>
    </row>
    <row r="128" spans="1:22">
      <c r="A128" s="175">
        <v>46193</v>
      </c>
      <c r="B128" s="176" t="s">
        <v>3081</v>
      </c>
      <c r="C128" s="176" t="s">
        <v>2734</v>
      </c>
      <c r="D128" s="176"/>
      <c r="E128" s="176" t="s">
        <v>258</v>
      </c>
      <c r="F128" s="177"/>
      <c r="G128" s="177" t="s">
        <v>2735</v>
      </c>
      <c r="H128" s="176" t="s">
        <v>2735</v>
      </c>
      <c r="I128" s="178">
        <v>0.91800000000000004</v>
      </c>
      <c r="J128" s="176" t="s">
        <v>2913</v>
      </c>
      <c r="K128" s="176" t="s">
        <v>250</v>
      </c>
      <c r="L128" s="176" t="s">
        <v>2804</v>
      </c>
      <c r="M128" s="179">
        <v>120.29</v>
      </c>
      <c r="N128" s="179">
        <v>110.42619999999999</v>
      </c>
      <c r="O128" s="179">
        <v>0</v>
      </c>
      <c r="P128" s="179">
        <v>110.42619999999999</v>
      </c>
      <c r="Q128" s="176" t="s">
        <v>3294</v>
      </c>
      <c r="R128" s="176" t="s">
        <v>3085</v>
      </c>
      <c r="S128" s="176" t="s">
        <v>2825</v>
      </c>
      <c r="T128" s="180">
        <v>46193.699224537035</v>
      </c>
      <c r="U128" s="176" t="s">
        <v>2817</v>
      </c>
      <c r="V128" s="176" t="s">
        <v>2818</v>
      </c>
    </row>
    <row r="129" spans="1:22">
      <c r="A129" s="175">
        <v>46193</v>
      </c>
      <c r="B129" s="176" t="s">
        <v>3081</v>
      </c>
      <c r="C129" s="176" t="s">
        <v>2734</v>
      </c>
      <c r="D129" s="176"/>
      <c r="E129" s="176" t="s">
        <v>258</v>
      </c>
      <c r="F129" s="177"/>
      <c r="G129" s="177" t="s">
        <v>2735</v>
      </c>
      <c r="H129" s="176" t="s">
        <v>2735</v>
      </c>
      <c r="I129" s="178">
        <v>0.91800000000000004</v>
      </c>
      <c r="J129" s="176" t="s">
        <v>3086</v>
      </c>
      <c r="K129" s="176" t="s">
        <v>250</v>
      </c>
      <c r="L129" s="176" t="s">
        <v>2804</v>
      </c>
      <c r="M129" s="179">
        <v>10.56</v>
      </c>
      <c r="N129" s="179">
        <v>9.6941000000000006</v>
      </c>
      <c r="O129" s="179">
        <v>0</v>
      </c>
      <c r="P129" s="179">
        <v>9.6941000000000006</v>
      </c>
      <c r="Q129" s="176" t="s">
        <v>3087</v>
      </c>
      <c r="R129" s="176" t="s">
        <v>3087</v>
      </c>
      <c r="S129" s="176" t="s">
        <v>2825</v>
      </c>
      <c r="T129" s="180">
        <v>46193.699224537035</v>
      </c>
      <c r="U129" s="176" t="s">
        <v>2817</v>
      </c>
      <c r="V129" s="176" t="s">
        <v>2954</v>
      </c>
    </row>
    <row r="130" spans="1:22">
      <c r="A130" s="175">
        <v>46193</v>
      </c>
      <c r="B130" s="176" t="s">
        <v>3081</v>
      </c>
      <c r="C130" s="176" t="s">
        <v>2734</v>
      </c>
      <c r="D130" s="176"/>
      <c r="E130" s="176" t="s">
        <v>258</v>
      </c>
      <c r="F130" s="177"/>
      <c r="G130" s="177" t="s">
        <v>2735</v>
      </c>
      <c r="H130" s="176" t="s">
        <v>2735</v>
      </c>
      <c r="I130" s="178">
        <v>0.91800000000000004</v>
      </c>
      <c r="J130" s="176" t="s">
        <v>3088</v>
      </c>
      <c r="K130" s="176" t="s">
        <v>250</v>
      </c>
      <c r="L130" s="176" t="s">
        <v>2804</v>
      </c>
      <c r="M130" s="179">
        <v>120.63</v>
      </c>
      <c r="N130" s="179">
        <v>110.7383</v>
      </c>
      <c r="O130" s="179">
        <v>0</v>
      </c>
      <c r="P130" s="179">
        <v>110.7383</v>
      </c>
      <c r="Q130" s="176" t="s">
        <v>3293</v>
      </c>
      <c r="R130" s="176" t="s">
        <v>3089</v>
      </c>
      <c r="S130" s="176" t="s">
        <v>2825</v>
      </c>
      <c r="T130" s="180">
        <v>46193.699224537035</v>
      </c>
      <c r="U130" s="176" t="s">
        <v>2817</v>
      </c>
      <c r="V130" s="176" t="s">
        <v>2818</v>
      </c>
    </row>
    <row r="131" spans="1:22">
      <c r="A131" s="175">
        <v>46193</v>
      </c>
      <c r="B131" s="176" t="s">
        <v>3081</v>
      </c>
      <c r="C131" s="176" t="s">
        <v>2734</v>
      </c>
      <c r="D131" s="176"/>
      <c r="E131" s="176" t="s">
        <v>258</v>
      </c>
      <c r="F131" s="177"/>
      <c r="G131" s="177" t="s">
        <v>2735</v>
      </c>
      <c r="H131" s="176" t="s">
        <v>2735</v>
      </c>
      <c r="I131" s="178">
        <v>0.91800000000000004</v>
      </c>
      <c r="J131" s="176" t="s">
        <v>3090</v>
      </c>
      <c r="K131" s="176" t="s">
        <v>250</v>
      </c>
      <c r="L131" s="176" t="s">
        <v>2804</v>
      </c>
      <c r="M131" s="179">
        <v>20.03</v>
      </c>
      <c r="N131" s="179">
        <v>18.387499999999999</v>
      </c>
      <c r="O131" s="179">
        <v>0</v>
      </c>
      <c r="P131" s="179">
        <v>18.387499999999999</v>
      </c>
      <c r="Q131" s="176" t="s">
        <v>3091</v>
      </c>
      <c r="R131" s="176" t="s">
        <v>3091</v>
      </c>
      <c r="S131" s="176" t="s">
        <v>2825</v>
      </c>
      <c r="T131" s="180">
        <v>46193.699224537035</v>
      </c>
      <c r="U131" s="176" t="s">
        <v>2773</v>
      </c>
      <c r="V131" s="176" t="s">
        <v>2883</v>
      </c>
    </row>
    <row r="132" spans="1:22">
      <c r="A132" s="175">
        <v>46193</v>
      </c>
      <c r="B132" s="176" t="s">
        <v>3081</v>
      </c>
      <c r="C132" s="176" t="s">
        <v>2734</v>
      </c>
      <c r="D132" s="176"/>
      <c r="E132" s="176" t="s">
        <v>258</v>
      </c>
      <c r="F132" s="177"/>
      <c r="G132" s="177" t="s">
        <v>2735</v>
      </c>
      <c r="H132" s="176" t="s">
        <v>2735</v>
      </c>
      <c r="I132" s="178">
        <v>0.91800000000000004</v>
      </c>
      <c r="J132" s="176" t="s">
        <v>3092</v>
      </c>
      <c r="K132" s="176" t="s">
        <v>250</v>
      </c>
      <c r="L132" s="176" t="s">
        <v>2804</v>
      </c>
      <c r="M132" s="179">
        <v>10.27</v>
      </c>
      <c r="N132" s="179">
        <v>9.4278999999999993</v>
      </c>
      <c r="O132" s="179">
        <v>0</v>
      </c>
      <c r="P132" s="179">
        <v>9.4278999999999993</v>
      </c>
      <c r="Q132" s="176" t="s">
        <v>3093</v>
      </c>
      <c r="R132" s="176" t="s">
        <v>3093</v>
      </c>
      <c r="S132" s="176" t="s">
        <v>2825</v>
      </c>
      <c r="T132" s="180">
        <v>46193.699224537035</v>
      </c>
      <c r="U132" s="176" t="s">
        <v>2817</v>
      </c>
      <c r="V132" s="176" t="s">
        <v>2818</v>
      </c>
    </row>
    <row r="133" spans="1:22">
      <c r="A133" s="175">
        <v>46193</v>
      </c>
      <c r="B133" s="176" t="s">
        <v>3081</v>
      </c>
      <c r="C133" s="176" t="s">
        <v>2734</v>
      </c>
      <c r="D133" s="176"/>
      <c r="E133" s="176" t="s">
        <v>258</v>
      </c>
      <c r="F133" s="177"/>
      <c r="G133" s="177" t="s">
        <v>2735</v>
      </c>
      <c r="H133" s="176" t="s">
        <v>2735</v>
      </c>
      <c r="I133" s="178">
        <v>0.91800000000000004</v>
      </c>
      <c r="J133" s="176" t="s">
        <v>3094</v>
      </c>
      <c r="K133" s="176" t="s">
        <v>250</v>
      </c>
      <c r="L133" s="176" t="s">
        <v>2804</v>
      </c>
      <c r="M133" s="179">
        <v>49.41</v>
      </c>
      <c r="N133" s="179">
        <v>45.358400000000003</v>
      </c>
      <c r="O133" s="179">
        <v>0</v>
      </c>
      <c r="P133" s="179">
        <v>45.358400000000003</v>
      </c>
      <c r="Q133" s="176" t="s">
        <v>3295</v>
      </c>
      <c r="R133" s="176" t="s">
        <v>3095</v>
      </c>
      <c r="S133" s="176" t="s">
        <v>2825</v>
      </c>
      <c r="T133" s="180">
        <v>46193.699224537035</v>
      </c>
      <c r="U133" s="176" t="s">
        <v>2947</v>
      </c>
      <c r="V133" s="176" t="s">
        <v>2818</v>
      </c>
    </row>
    <row r="134" spans="1:22">
      <c r="A134" s="175">
        <v>46193</v>
      </c>
      <c r="B134" s="176" t="s">
        <v>3081</v>
      </c>
      <c r="C134" s="176" t="s">
        <v>2734</v>
      </c>
      <c r="D134" s="176"/>
      <c r="E134" s="176" t="s">
        <v>258</v>
      </c>
      <c r="F134" s="177"/>
      <c r="G134" s="177" t="s">
        <v>2735</v>
      </c>
      <c r="H134" s="176" t="s">
        <v>2735</v>
      </c>
      <c r="I134" s="178">
        <v>0.91800000000000004</v>
      </c>
      <c r="J134" s="176" t="s">
        <v>3096</v>
      </c>
      <c r="K134" s="176" t="s">
        <v>250</v>
      </c>
      <c r="L134" s="176" t="s">
        <v>2804</v>
      </c>
      <c r="M134" s="179">
        <v>95.1</v>
      </c>
      <c r="N134" s="179">
        <v>87.3018</v>
      </c>
      <c r="O134" s="179">
        <v>0</v>
      </c>
      <c r="P134" s="179">
        <v>87.3018</v>
      </c>
      <c r="Q134" s="176" t="s">
        <v>3296</v>
      </c>
      <c r="R134" s="176" t="s">
        <v>3097</v>
      </c>
      <c r="S134" s="176" t="s">
        <v>2825</v>
      </c>
      <c r="T134" s="180">
        <v>46193.699224537035</v>
      </c>
      <c r="U134" s="176" t="s">
        <v>2817</v>
      </c>
      <c r="V134" s="176" t="s">
        <v>2954</v>
      </c>
    </row>
    <row r="135" spans="1:22">
      <c r="A135" s="175">
        <v>46193</v>
      </c>
      <c r="B135" s="176" t="s">
        <v>3081</v>
      </c>
      <c r="C135" s="176" t="s">
        <v>2734</v>
      </c>
      <c r="D135" s="176"/>
      <c r="E135" s="176" t="s">
        <v>258</v>
      </c>
      <c r="F135" s="177"/>
      <c r="G135" s="177" t="s">
        <v>2735</v>
      </c>
      <c r="H135" s="176" t="s">
        <v>2735</v>
      </c>
      <c r="I135" s="178">
        <v>0.91800000000000004</v>
      </c>
      <c r="J135" s="176" t="s">
        <v>1181</v>
      </c>
      <c r="K135" s="176" t="s">
        <v>250</v>
      </c>
      <c r="L135" s="176" t="s">
        <v>2804</v>
      </c>
      <c r="M135" s="179">
        <v>39.590000000000003</v>
      </c>
      <c r="N135" s="179">
        <v>36.343600000000002</v>
      </c>
      <c r="O135" s="179">
        <v>0</v>
      </c>
      <c r="P135" s="179">
        <v>36.343600000000002</v>
      </c>
      <c r="Q135" s="176" t="s">
        <v>3297</v>
      </c>
      <c r="R135" s="176" t="s">
        <v>3098</v>
      </c>
      <c r="S135" s="176" t="s">
        <v>2825</v>
      </c>
      <c r="T135" s="180">
        <v>46193.699224537035</v>
      </c>
      <c r="U135" s="176" t="s">
        <v>2944</v>
      </c>
      <c r="V135" s="176" t="s">
        <v>2886</v>
      </c>
    </row>
    <row r="136" spans="1:22">
      <c r="A136" s="175">
        <v>46193</v>
      </c>
      <c r="B136" s="176" t="s">
        <v>3081</v>
      </c>
      <c r="C136" s="176" t="s">
        <v>2734</v>
      </c>
      <c r="D136" s="176"/>
      <c r="E136" s="176" t="s">
        <v>258</v>
      </c>
      <c r="F136" s="177"/>
      <c r="G136" s="177" t="s">
        <v>2735</v>
      </c>
      <c r="H136" s="176" t="s">
        <v>2735</v>
      </c>
      <c r="I136" s="178">
        <v>0.91800000000000004</v>
      </c>
      <c r="J136" s="176" t="s">
        <v>3099</v>
      </c>
      <c r="K136" s="176" t="s">
        <v>250</v>
      </c>
      <c r="L136" s="176" t="s">
        <v>2804</v>
      </c>
      <c r="M136" s="179">
        <v>40.729999999999997</v>
      </c>
      <c r="N136" s="179">
        <v>37.390099999999997</v>
      </c>
      <c r="O136" s="179">
        <v>0</v>
      </c>
      <c r="P136" s="179">
        <v>37.390099999999997</v>
      </c>
      <c r="Q136" s="176" t="s">
        <v>3295</v>
      </c>
      <c r="R136" s="176" t="s">
        <v>3100</v>
      </c>
      <c r="S136" s="176" t="s">
        <v>2825</v>
      </c>
      <c r="T136" s="180">
        <v>46193.699224537035</v>
      </c>
      <c r="U136" s="176" t="s">
        <v>2947</v>
      </c>
      <c r="V136" s="176" t="s">
        <v>2818</v>
      </c>
    </row>
    <row r="137" spans="1:22">
      <c r="A137" s="175">
        <v>46193</v>
      </c>
      <c r="B137" s="176" t="s">
        <v>3081</v>
      </c>
      <c r="C137" s="176" t="s">
        <v>2734</v>
      </c>
      <c r="D137" s="176"/>
      <c r="E137" s="176" t="s">
        <v>258</v>
      </c>
      <c r="F137" s="177"/>
      <c r="G137" s="177" t="s">
        <v>2735</v>
      </c>
      <c r="H137" s="176" t="s">
        <v>2735</v>
      </c>
      <c r="I137" s="178">
        <v>0.91800000000000004</v>
      </c>
      <c r="J137" s="176" t="s">
        <v>3101</v>
      </c>
      <c r="K137" s="176" t="s">
        <v>250</v>
      </c>
      <c r="L137" s="176" t="s">
        <v>2804</v>
      </c>
      <c r="M137" s="179">
        <v>156.19</v>
      </c>
      <c r="N137" s="179">
        <v>143.38239999999999</v>
      </c>
      <c r="O137" s="179">
        <v>0</v>
      </c>
      <c r="P137" s="179">
        <v>143.38239999999999</v>
      </c>
      <c r="Q137" s="176" t="s">
        <v>3102</v>
      </c>
      <c r="R137" s="176" t="s">
        <v>3102</v>
      </c>
      <c r="S137" s="176" t="s">
        <v>2825</v>
      </c>
      <c r="T137" s="180">
        <v>46193.699224537035</v>
      </c>
      <c r="U137" s="176" t="s">
        <v>2716</v>
      </c>
      <c r="V137" s="176" t="s">
        <v>2754</v>
      </c>
    </row>
    <row r="138" spans="1:22">
      <c r="A138" s="175">
        <v>46193</v>
      </c>
      <c r="B138" s="176" t="s">
        <v>3081</v>
      </c>
      <c r="C138" s="176" t="s">
        <v>2734</v>
      </c>
      <c r="D138" s="176"/>
      <c r="E138" s="176" t="s">
        <v>258</v>
      </c>
      <c r="F138" s="177"/>
      <c r="G138" s="177" t="s">
        <v>2735</v>
      </c>
      <c r="H138" s="176" t="s">
        <v>2735</v>
      </c>
      <c r="I138" s="178">
        <v>0.91800000000000004</v>
      </c>
      <c r="J138" s="176" t="s">
        <v>3103</v>
      </c>
      <c r="K138" s="176" t="s">
        <v>250</v>
      </c>
      <c r="L138" s="176" t="s">
        <v>2804</v>
      </c>
      <c r="M138" s="179">
        <v>19.43</v>
      </c>
      <c r="N138" s="179">
        <v>17.8367</v>
      </c>
      <c r="O138" s="179">
        <v>0</v>
      </c>
      <c r="P138" s="179">
        <v>17.8367</v>
      </c>
      <c r="Q138" s="176" t="s">
        <v>3104</v>
      </c>
      <c r="R138" s="176" t="s">
        <v>3104</v>
      </c>
      <c r="S138" s="176" t="s">
        <v>2825</v>
      </c>
      <c r="T138" s="180">
        <v>46193.699224537035</v>
      </c>
      <c r="U138" s="176" t="s">
        <v>2947</v>
      </c>
      <c r="V138" s="176" t="s">
        <v>3298</v>
      </c>
    </row>
    <row r="139" spans="1:22">
      <c r="A139" s="175">
        <v>46193</v>
      </c>
      <c r="B139" s="176" t="s">
        <v>3081</v>
      </c>
      <c r="C139" s="176" t="s">
        <v>2734</v>
      </c>
      <c r="D139" s="176"/>
      <c r="E139" s="176" t="s">
        <v>258</v>
      </c>
      <c r="F139" s="177"/>
      <c r="G139" s="177" t="s">
        <v>2735</v>
      </c>
      <c r="H139" s="176" t="s">
        <v>2735</v>
      </c>
      <c r="I139" s="178">
        <v>0.91800000000000004</v>
      </c>
      <c r="J139" s="176" t="s">
        <v>3105</v>
      </c>
      <c r="K139" s="176" t="s">
        <v>250</v>
      </c>
      <c r="L139" s="176" t="s">
        <v>2804</v>
      </c>
      <c r="M139" s="179">
        <v>324.54000000000002</v>
      </c>
      <c r="N139" s="179">
        <v>297.92770000000002</v>
      </c>
      <c r="O139" s="179">
        <v>0</v>
      </c>
      <c r="P139" s="179">
        <v>297.92770000000002</v>
      </c>
      <c r="Q139" s="176" t="s">
        <v>3299</v>
      </c>
      <c r="R139" s="176" t="s">
        <v>3106</v>
      </c>
      <c r="S139" s="176" t="s">
        <v>2825</v>
      </c>
      <c r="T139" s="180">
        <v>46193.699224537035</v>
      </c>
      <c r="U139" s="176" t="s">
        <v>2817</v>
      </c>
      <c r="V139" s="176" t="s">
        <v>2818</v>
      </c>
    </row>
    <row r="140" spans="1:22">
      <c r="A140" s="175">
        <v>46193</v>
      </c>
      <c r="B140" s="176" t="s">
        <v>3081</v>
      </c>
      <c r="C140" s="176" t="s">
        <v>2734</v>
      </c>
      <c r="D140" s="176"/>
      <c r="E140" s="176" t="s">
        <v>258</v>
      </c>
      <c r="F140" s="177"/>
      <c r="G140" s="177" t="s">
        <v>2735</v>
      </c>
      <c r="H140" s="176" t="s">
        <v>2735</v>
      </c>
      <c r="I140" s="178">
        <v>0.91800000000000004</v>
      </c>
      <c r="J140" s="176" t="s">
        <v>3107</v>
      </c>
      <c r="K140" s="176" t="s">
        <v>250</v>
      </c>
      <c r="L140" s="176" t="s">
        <v>2804</v>
      </c>
      <c r="M140" s="179">
        <v>204.21</v>
      </c>
      <c r="N140" s="179">
        <v>187.4648</v>
      </c>
      <c r="O140" s="179">
        <v>0</v>
      </c>
      <c r="P140" s="179">
        <v>187.4648</v>
      </c>
      <c r="Q140" s="176" t="s">
        <v>2887</v>
      </c>
      <c r="R140" s="176" t="s">
        <v>2891</v>
      </c>
      <c r="S140" s="176" t="s">
        <v>2825</v>
      </c>
      <c r="T140" s="180">
        <v>46193.699224537035</v>
      </c>
      <c r="U140" s="176" t="s">
        <v>2716</v>
      </c>
      <c r="V140" s="176" t="s">
        <v>2754</v>
      </c>
    </row>
    <row r="141" spans="1:22">
      <c r="A141" s="175">
        <v>46193</v>
      </c>
      <c r="B141" s="176" t="s">
        <v>3081</v>
      </c>
      <c r="C141" s="176" t="s">
        <v>2734</v>
      </c>
      <c r="D141" s="176"/>
      <c r="E141" s="176" t="s">
        <v>258</v>
      </c>
      <c r="F141" s="177"/>
      <c r="G141" s="177" t="s">
        <v>2735</v>
      </c>
      <c r="H141" s="176" t="s">
        <v>2735</v>
      </c>
      <c r="I141" s="178">
        <v>0.91800000000000004</v>
      </c>
      <c r="J141" s="176" t="s">
        <v>3108</v>
      </c>
      <c r="K141" s="176" t="s">
        <v>250</v>
      </c>
      <c r="L141" s="176" t="s">
        <v>2804</v>
      </c>
      <c r="M141" s="179">
        <v>74.94</v>
      </c>
      <c r="N141" s="179">
        <v>68.794899999999998</v>
      </c>
      <c r="O141" s="179">
        <v>0</v>
      </c>
      <c r="P141" s="179">
        <v>68.794899999999998</v>
      </c>
      <c r="Q141" s="176" t="s">
        <v>3300</v>
      </c>
      <c r="R141" s="176" t="s">
        <v>3109</v>
      </c>
      <c r="S141" s="176" t="s">
        <v>2825</v>
      </c>
      <c r="T141" s="180">
        <v>46193.699224537035</v>
      </c>
      <c r="U141" s="176" t="s">
        <v>2817</v>
      </c>
      <c r="V141" s="176" t="s">
        <v>2818</v>
      </c>
    </row>
    <row r="142" spans="1:22">
      <c r="A142" s="175">
        <v>46193</v>
      </c>
      <c r="B142" s="176" t="s">
        <v>3081</v>
      </c>
      <c r="C142" s="176" t="s">
        <v>2734</v>
      </c>
      <c r="D142" s="176"/>
      <c r="E142" s="176" t="s">
        <v>258</v>
      </c>
      <c r="F142" s="177"/>
      <c r="G142" s="177" t="s">
        <v>2735</v>
      </c>
      <c r="H142" s="176" t="s">
        <v>2735</v>
      </c>
      <c r="I142" s="178">
        <v>0.91800000000000004</v>
      </c>
      <c r="J142" s="176" t="s">
        <v>2898</v>
      </c>
      <c r="K142" s="176" t="s">
        <v>250</v>
      </c>
      <c r="L142" s="176" t="s">
        <v>2804</v>
      </c>
      <c r="M142" s="179">
        <v>12.3</v>
      </c>
      <c r="N142" s="179">
        <v>11.291399999999999</v>
      </c>
      <c r="O142" s="179">
        <v>0</v>
      </c>
      <c r="P142" s="179">
        <v>11.291399999999999</v>
      </c>
      <c r="Q142" s="176" t="s">
        <v>3295</v>
      </c>
      <c r="R142" s="176" t="s">
        <v>3110</v>
      </c>
      <c r="S142" s="176" t="s">
        <v>2825</v>
      </c>
      <c r="T142" s="180">
        <v>46193.699224537035</v>
      </c>
      <c r="U142" s="176" t="s">
        <v>2773</v>
      </c>
      <c r="V142" s="176" t="s">
        <v>2819</v>
      </c>
    </row>
    <row r="143" spans="1:22">
      <c r="A143" s="175">
        <v>46193</v>
      </c>
      <c r="B143" s="176" t="s">
        <v>3081</v>
      </c>
      <c r="C143" s="176" t="s">
        <v>2734</v>
      </c>
      <c r="D143" s="176"/>
      <c r="E143" s="176" t="s">
        <v>258</v>
      </c>
      <c r="F143" s="177"/>
      <c r="G143" s="177" t="s">
        <v>2735</v>
      </c>
      <c r="H143" s="176" t="s">
        <v>2735</v>
      </c>
      <c r="I143" s="178">
        <v>0.91800000000000004</v>
      </c>
      <c r="J143" s="176" t="s">
        <v>3111</v>
      </c>
      <c r="K143" s="176" t="s">
        <v>250</v>
      </c>
      <c r="L143" s="176" t="s">
        <v>2804</v>
      </c>
      <c r="M143" s="179">
        <v>98.56</v>
      </c>
      <c r="N143" s="179">
        <v>90.478099999999998</v>
      </c>
      <c r="O143" s="179">
        <v>0</v>
      </c>
      <c r="P143" s="179">
        <v>90.478099999999998</v>
      </c>
      <c r="Q143" s="176" t="s">
        <v>3296</v>
      </c>
      <c r="R143" s="176" t="s">
        <v>3097</v>
      </c>
      <c r="S143" s="176" t="s">
        <v>2825</v>
      </c>
      <c r="T143" s="180">
        <v>46193.699224537035</v>
      </c>
      <c r="U143" s="176" t="s">
        <v>2817</v>
      </c>
      <c r="V143" s="176" t="s">
        <v>2954</v>
      </c>
    </row>
    <row r="144" spans="1:22">
      <c r="A144" s="175">
        <v>46193</v>
      </c>
      <c r="B144" s="176" t="s">
        <v>3081</v>
      </c>
      <c r="C144" s="176" t="s">
        <v>2734</v>
      </c>
      <c r="D144" s="176"/>
      <c r="E144" s="176" t="s">
        <v>258</v>
      </c>
      <c r="F144" s="177"/>
      <c r="G144" s="177" t="s">
        <v>2735</v>
      </c>
      <c r="H144" s="176" t="s">
        <v>2735</v>
      </c>
      <c r="I144" s="178">
        <v>0.91800000000000004</v>
      </c>
      <c r="J144" s="176" t="s">
        <v>3112</v>
      </c>
      <c r="K144" s="176" t="s">
        <v>250</v>
      </c>
      <c r="L144" s="176" t="s">
        <v>2804</v>
      </c>
      <c r="M144" s="179">
        <v>99.49</v>
      </c>
      <c r="N144" s="179">
        <v>91.331800000000001</v>
      </c>
      <c r="O144" s="179">
        <v>0</v>
      </c>
      <c r="P144" s="179">
        <v>91.331800000000001</v>
      </c>
      <c r="Q144" s="176" t="s">
        <v>3113</v>
      </c>
      <c r="R144" s="176" t="s">
        <v>3113</v>
      </c>
      <c r="S144" s="176" t="s">
        <v>2825</v>
      </c>
      <c r="T144" s="180">
        <v>46193.699224537035</v>
      </c>
      <c r="U144" s="176" t="s">
        <v>2817</v>
      </c>
      <c r="V144" s="176" t="s">
        <v>2954</v>
      </c>
    </row>
    <row r="145" spans="1:22">
      <c r="A145" s="175">
        <v>46193</v>
      </c>
      <c r="B145" s="176" t="s">
        <v>3081</v>
      </c>
      <c r="C145" s="176" t="s">
        <v>2734</v>
      </c>
      <c r="D145" s="176"/>
      <c r="E145" s="176" t="s">
        <v>258</v>
      </c>
      <c r="F145" s="177"/>
      <c r="G145" s="177" t="s">
        <v>2735</v>
      </c>
      <c r="H145" s="176" t="s">
        <v>2735</v>
      </c>
      <c r="I145" s="178">
        <v>0.91800000000000004</v>
      </c>
      <c r="J145" s="176" t="s">
        <v>3114</v>
      </c>
      <c r="K145" s="176" t="s">
        <v>250</v>
      </c>
      <c r="L145" s="176" t="s">
        <v>2804</v>
      </c>
      <c r="M145" s="179">
        <v>532.5</v>
      </c>
      <c r="N145" s="179">
        <v>488.83499999999998</v>
      </c>
      <c r="O145" s="179">
        <v>0</v>
      </c>
      <c r="P145" s="179">
        <v>488.83499999999998</v>
      </c>
      <c r="Q145" s="176"/>
      <c r="R145" s="176" t="s">
        <v>3115</v>
      </c>
      <c r="S145" s="176" t="s">
        <v>2825</v>
      </c>
      <c r="T145" s="180">
        <v>46193.699224537035</v>
      </c>
      <c r="U145" s="176" t="s">
        <v>2944</v>
      </c>
      <c r="V145" s="176" t="s">
        <v>2945</v>
      </c>
    </row>
    <row r="146" spans="1:22">
      <c r="A146" s="175">
        <v>46193</v>
      </c>
      <c r="B146" s="176" t="s">
        <v>3081</v>
      </c>
      <c r="C146" s="176" t="s">
        <v>2734</v>
      </c>
      <c r="D146" s="176"/>
      <c r="E146" s="176" t="s">
        <v>258</v>
      </c>
      <c r="F146" s="177"/>
      <c r="G146" s="177" t="s">
        <v>2735</v>
      </c>
      <c r="H146" s="176" t="s">
        <v>2735</v>
      </c>
      <c r="I146" s="178">
        <v>0.91800000000000004</v>
      </c>
      <c r="J146" s="176" t="s">
        <v>3116</v>
      </c>
      <c r="K146" s="176" t="s">
        <v>250</v>
      </c>
      <c r="L146" s="176" t="s">
        <v>2804</v>
      </c>
      <c r="M146" s="179">
        <v>8.5920000000000005</v>
      </c>
      <c r="N146" s="179">
        <v>7.8875000000000002</v>
      </c>
      <c r="O146" s="179">
        <v>0</v>
      </c>
      <c r="P146" s="179">
        <v>7.8875000000000002</v>
      </c>
      <c r="Q146" s="176"/>
      <c r="R146" s="176" t="s">
        <v>2864</v>
      </c>
      <c r="S146" s="176" t="s">
        <v>2825</v>
      </c>
      <c r="T146" s="180">
        <v>46193.699224537035</v>
      </c>
      <c r="U146" s="176" t="s">
        <v>2962</v>
      </c>
      <c r="V146" s="176" t="s">
        <v>2908</v>
      </c>
    </row>
    <row r="147" spans="1:22">
      <c r="A147" s="175">
        <v>46193</v>
      </c>
      <c r="B147" s="176" t="s">
        <v>3081</v>
      </c>
      <c r="C147" s="176" t="s">
        <v>2734</v>
      </c>
      <c r="D147" s="176"/>
      <c r="E147" s="176" t="s">
        <v>258</v>
      </c>
      <c r="F147" s="177"/>
      <c r="G147" s="177" t="s">
        <v>2735</v>
      </c>
      <c r="H147" s="176" t="s">
        <v>2735</v>
      </c>
      <c r="I147" s="178">
        <v>0.91800000000000004</v>
      </c>
      <c r="J147" s="176" t="s">
        <v>3117</v>
      </c>
      <c r="K147" s="176" t="s">
        <v>250</v>
      </c>
      <c r="L147" s="176" t="s">
        <v>2804</v>
      </c>
      <c r="M147" s="179">
        <v>151.79</v>
      </c>
      <c r="N147" s="179">
        <v>139.3432</v>
      </c>
      <c r="O147" s="179">
        <v>0</v>
      </c>
      <c r="P147" s="179">
        <v>139.3432</v>
      </c>
      <c r="Q147" s="176"/>
      <c r="R147" s="176" t="s">
        <v>3118</v>
      </c>
      <c r="S147" s="176" t="s">
        <v>2825</v>
      </c>
      <c r="T147" s="180">
        <v>46193.699224537035</v>
      </c>
      <c r="U147" s="176" t="s">
        <v>2773</v>
      </c>
      <c r="V147" s="176" t="s">
        <v>2908</v>
      </c>
    </row>
    <row r="148" spans="1:22">
      <c r="A148" s="175">
        <v>46193</v>
      </c>
      <c r="B148" s="176" t="s">
        <v>3081</v>
      </c>
      <c r="C148" s="176" t="s">
        <v>2734</v>
      </c>
      <c r="D148" s="176"/>
      <c r="E148" s="176" t="s">
        <v>258</v>
      </c>
      <c r="F148" s="177"/>
      <c r="G148" s="177" t="s">
        <v>2735</v>
      </c>
      <c r="H148" s="176" t="s">
        <v>2735</v>
      </c>
      <c r="I148" s="178">
        <v>0.91800000000000004</v>
      </c>
      <c r="J148" s="176" t="s">
        <v>3082</v>
      </c>
      <c r="K148" s="176" t="s">
        <v>250</v>
      </c>
      <c r="L148" s="176" t="s">
        <v>2804</v>
      </c>
      <c r="M148" s="179">
        <v>8.9640000000000004</v>
      </c>
      <c r="N148" s="179">
        <v>8.2289999999999992</v>
      </c>
      <c r="O148" s="179">
        <v>0</v>
      </c>
      <c r="P148" s="179">
        <v>8.2289999999999992</v>
      </c>
      <c r="Q148" s="176"/>
      <c r="R148" s="176" t="s">
        <v>2864</v>
      </c>
      <c r="S148" s="176" t="s">
        <v>2825</v>
      </c>
      <c r="T148" s="180">
        <v>46193.699224537035</v>
      </c>
      <c r="U148" s="176" t="s">
        <v>2962</v>
      </c>
      <c r="V148" s="176" t="s">
        <v>2908</v>
      </c>
    </row>
    <row r="149" spans="1:22">
      <c r="A149" s="175">
        <v>46193</v>
      </c>
      <c r="B149" s="176" t="s">
        <v>3081</v>
      </c>
      <c r="C149" s="176" t="s">
        <v>2734</v>
      </c>
      <c r="D149" s="176"/>
      <c r="E149" s="176" t="s">
        <v>258</v>
      </c>
      <c r="F149" s="177"/>
      <c r="G149" s="177" t="s">
        <v>2735</v>
      </c>
      <c r="H149" s="176" t="s">
        <v>2735</v>
      </c>
      <c r="I149" s="178">
        <v>0.91800000000000004</v>
      </c>
      <c r="J149" s="176" t="s">
        <v>3119</v>
      </c>
      <c r="K149" s="176" t="s">
        <v>250</v>
      </c>
      <c r="L149" s="176" t="s">
        <v>2804</v>
      </c>
      <c r="M149" s="179">
        <v>8.2870000000000008</v>
      </c>
      <c r="N149" s="179">
        <v>7.6074999999999999</v>
      </c>
      <c r="O149" s="179">
        <v>0</v>
      </c>
      <c r="P149" s="179">
        <v>7.6074999999999999</v>
      </c>
      <c r="Q149" s="176"/>
      <c r="R149" s="176" t="s">
        <v>2864</v>
      </c>
      <c r="S149" s="176" t="s">
        <v>2825</v>
      </c>
      <c r="T149" s="180">
        <v>46193.699224537035</v>
      </c>
      <c r="U149" s="176" t="s">
        <v>2962</v>
      </c>
      <c r="V149" s="176" t="s">
        <v>3301</v>
      </c>
    </row>
    <row r="150" spans="1:22">
      <c r="A150" s="175">
        <v>46193</v>
      </c>
      <c r="B150" s="176" t="s">
        <v>3120</v>
      </c>
      <c r="C150" s="176" t="s">
        <v>2734</v>
      </c>
      <c r="D150" s="176"/>
      <c r="E150" s="176" t="s">
        <v>2834</v>
      </c>
      <c r="F150" s="177"/>
      <c r="G150" s="177" t="s">
        <v>2735</v>
      </c>
      <c r="H150" s="176" t="s">
        <v>2735</v>
      </c>
      <c r="I150" s="178">
        <v>0.91600000000000004</v>
      </c>
      <c r="J150" s="176" t="s">
        <v>3121</v>
      </c>
      <c r="K150" s="176" t="s">
        <v>250</v>
      </c>
      <c r="L150" s="176" t="s">
        <v>2856</v>
      </c>
      <c r="M150" s="179">
        <v>14.282999999999999</v>
      </c>
      <c r="N150" s="179">
        <v>13.0832</v>
      </c>
      <c r="O150" s="179">
        <v>0.7</v>
      </c>
      <c r="P150" s="179">
        <v>13.183199999999999</v>
      </c>
      <c r="Q150" s="176"/>
      <c r="R150" s="176" t="s">
        <v>3122</v>
      </c>
      <c r="S150" s="176" t="s">
        <v>2907</v>
      </c>
      <c r="T150" s="180">
        <v>46193.698854166665</v>
      </c>
      <c r="U150" s="176" t="s">
        <v>2716</v>
      </c>
      <c r="V150" s="176" t="s">
        <v>2754</v>
      </c>
    </row>
    <row r="151" spans="1:22">
      <c r="A151" s="175">
        <v>46193</v>
      </c>
      <c r="B151" s="176" t="s">
        <v>3120</v>
      </c>
      <c r="C151" s="176" t="s">
        <v>2734</v>
      </c>
      <c r="D151" s="176"/>
      <c r="E151" s="176" t="s">
        <v>2834</v>
      </c>
      <c r="F151" s="177"/>
      <c r="G151" s="177" t="s">
        <v>2735</v>
      </c>
      <c r="H151" s="176" t="s">
        <v>2735</v>
      </c>
      <c r="I151" s="178">
        <v>0.91600000000000004</v>
      </c>
      <c r="J151" s="176" t="s">
        <v>3123</v>
      </c>
      <c r="K151" s="176" t="s">
        <v>250</v>
      </c>
      <c r="L151" s="176" t="s">
        <v>2856</v>
      </c>
      <c r="M151" s="179">
        <v>20.841000000000001</v>
      </c>
      <c r="N151" s="179">
        <v>19.090399999999999</v>
      </c>
      <c r="O151" s="179">
        <v>0.7</v>
      </c>
      <c r="P151" s="179">
        <v>19.2362</v>
      </c>
      <c r="Q151" s="176" t="s">
        <v>3302</v>
      </c>
      <c r="R151" s="176" t="s">
        <v>3122</v>
      </c>
      <c r="S151" s="176" t="s">
        <v>2907</v>
      </c>
      <c r="T151" s="180">
        <v>46193.698854166665</v>
      </c>
      <c r="U151" s="176" t="s">
        <v>2716</v>
      </c>
      <c r="V151" s="176" t="s">
        <v>2754</v>
      </c>
    </row>
    <row r="152" spans="1:22">
      <c r="A152" s="175">
        <v>46193</v>
      </c>
      <c r="B152" s="176" t="s">
        <v>3120</v>
      </c>
      <c r="C152" s="176" t="s">
        <v>2734</v>
      </c>
      <c r="D152" s="176"/>
      <c r="E152" s="176" t="s">
        <v>2834</v>
      </c>
      <c r="F152" s="177"/>
      <c r="G152" s="177" t="s">
        <v>2735</v>
      </c>
      <c r="H152" s="176" t="s">
        <v>2735</v>
      </c>
      <c r="I152" s="178">
        <v>0.91600000000000004</v>
      </c>
      <c r="J152" s="176" t="s">
        <v>3123</v>
      </c>
      <c r="K152" s="176" t="s">
        <v>250</v>
      </c>
      <c r="L152" s="176" t="s">
        <v>2856</v>
      </c>
      <c r="M152" s="179">
        <v>22.456</v>
      </c>
      <c r="N152" s="179">
        <v>20.569700000000001</v>
      </c>
      <c r="O152" s="179">
        <v>0.7</v>
      </c>
      <c r="P152" s="179">
        <v>20.726900000000001</v>
      </c>
      <c r="Q152" s="176" t="s">
        <v>3302</v>
      </c>
      <c r="R152" s="176" t="s">
        <v>3122</v>
      </c>
      <c r="S152" s="176" t="s">
        <v>2907</v>
      </c>
      <c r="T152" s="180">
        <v>46193.698854166665</v>
      </c>
      <c r="U152" s="176" t="s">
        <v>2716</v>
      </c>
      <c r="V152" s="176" t="s">
        <v>2754</v>
      </c>
    </row>
    <row r="153" spans="1:22">
      <c r="A153" s="175">
        <v>46193</v>
      </c>
      <c r="B153" s="176" t="s">
        <v>3120</v>
      </c>
      <c r="C153" s="176" t="s">
        <v>2734</v>
      </c>
      <c r="D153" s="176"/>
      <c r="E153" s="176" t="s">
        <v>2834</v>
      </c>
      <c r="F153" s="177"/>
      <c r="G153" s="177" t="s">
        <v>2735</v>
      </c>
      <c r="H153" s="176" t="s">
        <v>2735</v>
      </c>
      <c r="I153" s="178">
        <v>0.91600000000000004</v>
      </c>
      <c r="J153" s="176" t="s">
        <v>3123</v>
      </c>
      <c r="K153" s="176" t="s">
        <v>250</v>
      </c>
      <c r="L153" s="176" t="s">
        <v>2856</v>
      </c>
      <c r="M153" s="179">
        <v>20.663</v>
      </c>
      <c r="N153" s="179">
        <v>18.927299999999999</v>
      </c>
      <c r="O153" s="179">
        <v>0.7</v>
      </c>
      <c r="P153" s="179">
        <v>19.071899999999999</v>
      </c>
      <c r="Q153" s="176" t="s">
        <v>3302</v>
      </c>
      <c r="R153" s="176" t="s">
        <v>3122</v>
      </c>
      <c r="S153" s="176" t="s">
        <v>2907</v>
      </c>
      <c r="T153" s="180">
        <v>46193.698854166665</v>
      </c>
      <c r="U153" s="176" t="s">
        <v>2716</v>
      </c>
      <c r="V153" s="176" t="s">
        <v>2754</v>
      </c>
    </row>
    <row r="154" spans="1:22">
      <c r="A154" s="175">
        <v>46193</v>
      </c>
      <c r="B154" s="176" t="s">
        <v>3120</v>
      </c>
      <c r="C154" s="176" t="s">
        <v>2734</v>
      </c>
      <c r="D154" s="176"/>
      <c r="E154" s="176" t="s">
        <v>2834</v>
      </c>
      <c r="F154" s="177"/>
      <c r="G154" s="177" t="s">
        <v>2735</v>
      </c>
      <c r="H154" s="176" t="s">
        <v>2735</v>
      </c>
      <c r="I154" s="178">
        <v>0.91600000000000004</v>
      </c>
      <c r="J154" s="176" t="s">
        <v>3123</v>
      </c>
      <c r="K154" s="176" t="s">
        <v>250</v>
      </c>
      <c r="L154" s="176" t="s">
        <v>2856</v>
      </c>
      <c r="M154" s="179">
        <v>20.762</v>
      </c>
      <c r="N154" s="179">
        <v>19.018000000000001</v>
      </c>
      <c r="O154" s="179">
        <v>0.7</v>
      </c>
      <c r="P154" s="179">
        <v>19.1633</v>
      </c>
      <c r="Q154" s="176" t="s">
        <v>3302</v>
      </c>
      <c r="R154" s="176" t="s">
        <v>3122</v>
      </c>
      <c r="S154" s="176" t="s">
        <v>2907</v>
      </c>
      <c r="T154" s="180">
        <v>46193.698854166665</v>
      </c>
      <c r="U154" s="176" t="s">
        <v>2716</v>
      </c>
      <c r="V154" s="176" t="s">
        <v>2754</v>
      </c>
    </row>
    <row r="155" spans="1:22">
      <c r="A155" s="175">
        <v>46193</v>
      </c>
      <c r="B155" s="176" t="s">
        <v>3120</v>
      </c>
      <c r="C155" s="176" t="s">
        <v>2734</v>
      </c>
      <c r="D155" s="176"/>
      <c r="E155" s="176" t="s">
        <v>2834</v>
      </c>
      <c r="F155" s="177"/>
      <c r="G155" s="177" t="s">
        <v>2735</v>
      </c>
      <c r="H155" s="176" t="s">
        <v>2735</v>
      </c>
      <c r="I155" s="178">
        <v>0.91600000000000004</v>
      </c>
      <c r="J155" s="176" t="s">
        <v>3123</v>
      </c>
      <c r="K155" s="176" t="s">
        <v>250</v>
      </c>
      <c r="L155" s="176" t="s">
        <v>2856</v>
      </c>
      <c r="M155" s="179">
        <v>20.684999999999999</v>
      </c>
      <c r="N155" s="179">
        <v>18.947500000000002</v>
      </c>
      <c r="O155" s="179">
        <v>0.7</v>
      </c>
      <c r="P155" s="179">
        <v>19.092300000000002</v>
      </c>
      <c r="Q155" s="176" t="s">
        <v>3302</v>
      </c>
      <c r="R155" s="176" t="s">
        <v>3122</v>
      </c>
      <c r="S155" s="176" t="s">
        <v>2907</v>
      </c>
      <c r="T155" s="180">
        <v>46193.698854166665</v>
      </c>
      <c r="U155" s="176" t="s">
        <v>2716</v>
      </c>
      <c r="V155" s="176" t="s">
        <v>2754</v>
      </c>
    </row>
    <row r="156" spans="1:22">
      <c r="A156" s="175">
        <v>46193</v>
      </c>
      <c r="B156" s="176" t="s">
        <v>3120</v>
      </c>
      <c r="C156" s="176" t="s">
        <v>2734</v>
      </c>
      <c r="D156" s="176"/>
      <c r="E156" s="176" t="s">
        <v>2834</v>
      </c>
      <c r="F156" s="177"/>
      <c r="G156" s="177" t="s">
        <v>2735</v>
      </c>
      <c r="H156" s="176" t="s">
        <v>2735</v>
      </c>
      <c r="I156" s="178">
        <v>0.91600000000000004</v>
      </c>
      <c r="J156" s="176" t="s">
        <v>3123</v>
      </c>
      <c r="K156" s="176" t="s">
        <v>250</v>
      </c>
      <c r="L156" s="176" t="s">
        <v>2856</v>
      </c>
      <c r="M156" s="179">
        <v>20.542000000000002</v>
      </c>
      <c r="N156" s="179">
        <v>18.816500000000001</v>
      </c>
      <c r="O156" s="179">
        <v>0.7</v>
      </c>
      <c r="P156" s="179">
        <v>18.9603</v>
      </c>
      <c r="Q156" s="176" t="s">
        <v>3302</v>
      </c>
      <c r="R156" s="176" t="s">
        <v>3122</v>
      </c>
      <c r="S156" s="176" t="s">
        <v>2907</v>
      </c>
      <c r="T156" s="180">
        <v>46193.698854166665</v>
      </c>
      <c r="U156" s="176" t="s">
        <v>2716</v>
      </c>
      <c r="V156" s="176" t="s">
        <v>2754</v>
      </c>
    </row>
    <row r="157" spans="1:22">
      <c r="A157" s="175">
        <v>46193</v>
      </c>
      <c r="B157" s="176" t="s">
        <v>3120</v>
      </c>
      <c r="C157" s="176" t="s">
        <v>2734</v>
      </c>
      <c r="D157" s="176"/>
      <c r="E157" s="176" t="s">
        <v>2834</v>
      </c>
      <c r="F157" s="177"/>
      <c r="G157" s="177" t="s">
        <v>2735</v>
      </c>
      <c r="H157" s="176" t="s">
        <v>2735</v>
      </c>
      <c r="I157" s="178">
        <v>0.91600000000000004</v>
      </c>
      <c r="J157" s="176" t="s">
        <v>3123</v>
      </c>
      <c r="K157" s="176" t="s">
        <v>250</v>
      </c>
      <c r="L157" s="176" t="s">
        <v>2856</v>
      </c>
      <c r="M157" s="179">
        <v>20.791</v>
      </c>
      <c r="N157" s="179">
        <v>19.044599999999999</v>
      </c>
      <c r="O157" s="179">
        <v>0.7</v>
      </c>
      <c r="P157" s="179">
        <v>19.190100000000001</v>
      </c>
      <c r="Q157" s="176" t="s">
        <v>3302</v>
      </c>
      <c r="R157" s="176" t="s">
        <v>3122</v>
      </c>
      <c r="S157" s="176" t="s">
        <v>2907</v>
      </c>
      <c r="T157" s="180">
        <v>46193.698854166665</v>
      </c>
      <c r="U157" s="176" t="s">
        <v>2716</v>
      </c>
      <c r="V157" s="176" t="s">
        <v>2754</v>
      </c>
    </row>
    <row r="158" spans="1:22">
      <c r="A158" s="175">
        <v>46193</v>
      </c>
      <c r="B158" s="176" t="s">
        <v>3120</v>
      </c>
      <c r="C158" s="176" t="s">
        <v>2734</v>
      </c>
      <c r="D158" s="176"/>
      <c r="E158" s="176" t="s">
        <v>2834</v>
      </c>
      <c r="F158" s="177"/>
      <c r="G158" s="177" t="s">
        <v>2735</v>
      </c>
      <c r="H158" s="176" t="s">
        <v>2735</v>
      </c>
      <c r="I158" s="178">
        <v>0.91600000000000004</v>
      </c>
      <c r="J158" s="176" t="s">
        <v>3123</v>
      </c>
      <c r="K158" s="176" t="s">
        <v>250</v>
      </c>
      <c r="L158" s="176" t="s">
        <v>2856</v>
      </c>
      <c r="M158" s="179">
        <v>20.710999999999999</v>
      </c>
      <c r="N158" s="179">
        <v>18.971299999999999</v>
      </c>
      <c r="O158" s="179">
        <v>0.7</v>
      </c>
      <c r="P158" s="179">
        <v>19.116299999999999</v>
      </c>
      <c r="Q158" s="176" t="s">
        <v>3302</v>
      </c>
      <c r="R158" s="176" t="s">
        <v>3122</v>
      </c>
      <c r="S158" s="176" t="s">
        <v>2907</v>
      </c>
      <c r="T158" s="180">
        <v>46193.698854166665</v>
      </c>
      <c r="U158" s="176" t="s">
        <v>2716</v>
      </c>
      <c r="V158" s="176" t="s">
        <v>2754</v>
      </c>
    </row>
    <row r="159" spans="1:22">
      <c r="A159" s="175">
        <v>46193</v>
      </c>
      <c r="B159" s="176" t="s">
        <v>3120</v>
      </c>
      <c r="C159" s="176" t="s">
        <v>2734</v>
      </c>
      <c r="D159" s="176"/>
      <c r="E159" s="176" t="s">
        <v>2834</v>
      </c>
      <c r="F159" s="177"/>
      <c r="G159" s="177" t="s">
        <v>2735</v>
      </c>
      <c r="H159" s="176" t="s">
        <v>2735</v>
      </c>
      <c r="I159" s="178">
        <v>0.91600000000000004</v>
      </c>
      <c r="J159" s="176" t="s">
        <v>2874</v>
      </c>
      <c r="K159" s="176" t="s">
        <v>250</v>
      </c>
      <c r="L159" s="176" t="s">
        <v>2856</v>
      </c>
      <c r="M159" s="179">
        <v>30.029</v>
      </c>
      <c r="N159" s="179">
        <v>27.506599999999999</v>
      </c>
      <c r="O159" s="179">
        <v>0.7</v>
      </c>
      <c r="P159" s="179">
        <v>27.716799999999999</v>
      </c>
      <c r="Q159" s="176"/>
      <c r="R159" s="176" t="s">
        <v>3122</v>
      </c>
      <c r="S159" s="176" t="s">
        <v>2907</v>
      </c>
      <c r="T159" s="180">
        <v>46193.698854166665</v>
      </c>
      <c r="U159" s="176" t="s">
        <v>2829</v>
      </c>
      <c r="V159" s="176" t="s">
        <v>2830</v>
      </c>
    </row>
    <row r="160" spans="1:22">
      <c r="A160" s="175">
        <v>46193</v>
      </c>
      <c r="B160" s="176" t="s">
        <v>3120</v>
      </c>
      <c r="C160" s="176" t="s">
        <v>2734</v>
      </c>
      <c r="D160" s="176"/>
      <c r="E160" s="176" t="s">
        <v>2834</v>
      </c>
      <c r="F160" s="177"/>
      <c r="G160" s="177" t="s">
        <v>2735</v>
      </c>
      <c r="H160" s="176" t="s">
        <v>2735</v>
      </c>
      <c r="I160" s="178">
        <v>0.91600000000000004</v>
      </c>
      <c r="J160" s="176" t="s">
        <v>3121</v>
      </c>
      <c r="K160" s="176" t="s">
        <v>250</v>
      </c>
      <c r="L160" s="176" t="s">
        <v>2856</v>
      </c>
      <c r="M160" s="179">
        <v>14.211</v>
      </c>
      <c r="N160" s="179">
        <v>13.017300000000001</v>
      </c>
      <c r="O160" s="179">
        <v>0.7</v>
      </c>
      <c r="P160" s="179">
        <v>13.1168</v>
      </c>
      <c r="Q160" s="176"/>
      <c r="R160" s="176" t="s">
        <v>3122</v>
      </c>
      <c r="S160" s="176" t="s">
        <v>2907</v>
      </c>
      <c r="T160" s="180">
        <v>46193.698854166665</v>
      </c>
      <c r="U160" s="176" t="s">
        <v>2716</v>
      </c>
      <c r="V160" s="176" t="s">
        <v>2754</v>
      </c>
    </row>
    <row r="161" spans="1:22">
      <c r="A161" s="175">
        <v>46193</v>
      </c>
      <c r="B161" s="176" t="s">
        <v>3120</v>
      </c>
      <c r="C161" s="176" t="s">
        <v>2734</v>
      </c>
      <c r="D161" s="176"/>
      <c r="E161" s="176" t="s">
        <v>2834</v>
      </c>
      <c r="F161" s="177"/>
      <c r="G161" s="177" t="s">
        <v>2735</v>
      </c>
      <c r="H161" s="176" t="s">
        <v>2735</v>
      </c>
      <c r="I161" s="178">
        <v>0.91600000000000004</v>
      </c>
      <c r="J161" s="176" t="s">
        <v>2874</v>
      </c>
      <c r="K161" s="176" t="s">
        <v>250</v>
      </c>
      <c r="L161" s="176" t="s">
        <v>2856</v>
      </c>
      <c r="M161" s="179">
        <v>29.923999999999999</v>
      </c>
      <c r="N161" s="179">
        <v>27.410399999999999</v>
      </c>
      <c r="O161" s="179">
        <v>0.7</v>
      </c>
      <c r="P161" s="179">
        <v>27.619900000000001</v>
      </c>
      <c r="Q161" s="176"/>
      <c r="R161" s="176" t="s">
        <v>3122</v>
      </c>
      <c r="S161" s="176" t="s">
        <v>2907</v>
      </c>
      <c r="T161" s="180">
        <v>46193.698854166665</v>
      </c>
      <c r="U161" s="176" t="s">
        <v>2829</v>
      </c>
      <c r="V161" s="176" t="s">
        <v>2830</v>
      </c>
    </row>
    <row r="162" spans="1:22">
      <c r="A162" s="175">
        <v>46193</v>
      </c>
      <c r="B162" s="176" t="s">
        <v>3120</v>
      </c>
      <c r="C162" s="176" t="s">
        <v>2734</v>
      </c>
      <c r="D162" s="176"/>
      <c r="E162" s="176" t="s">
        <v>2834</v>
      </c>
      <c r="F162" s="177"/>
      <c r="G162" s="177" t="s">
        <v>2735</v>
      </c>
      <c r="H162" s="176" t="s">
        <v>2735</v>
      </c>
      <c r="I162" s="178">
        <v>0.91600000000000004</v>
      </c>
      <c r="J162" s="176" t="s">
        <v>2874</v>
      </c>
      <c r="K162" s="176" t="s">
        <v>250</v>
      </c>
      <c r="L162" s="176" t="s">
        <v>2856</v>
      </c>
      <c r="M162" s="179">
        <v>30.042000000000002</v>
      </c>
      <c r="N162" s="179">
        <v>27.5185</v>
      </c>
      <c r="O162" s="179">
        <v>0.7</v>
      </c>
      <c r="P162" s="179">
        <v>27.7288</v>
      </c>
      <c r="Q162" s="176"/>
      <c r="R162" s="176" t="s">
        <v>3122</v>
      </c>
      <c r="S162" s="176" t="s">
        <v>2907</v>
      </c>
      <c r="T162" s="180">
        <v>46193.698854166665</v>
      </c>
      <c r="U162" s="176" t="s">
        <v>2829</v>
      </c>
      <c r="V162" s="176" t="s">
        <v>2830</v>
      </c>
    </row>
    <row r="163" spans="1:22">
      <c r="A163" s="175">
        <v>46193</v>
      </c>
      <c r="B163" s="176" t="s">
        <v>3120</v>
      </c>
      <c r="C163" s="176" t="s">
        <v>2734</v>
      </c>
      <c r="D163" s="176"/>
      <c r="E163" s="176" t="s">
        <v>2834</v>
      </c>
      <c r="F163" s="177"/>
      <c r="G163" s="177" t="s">
        <v>2735</v>
      </c>
      <c r="H163" s="176" t="s">
        <v>2735</v>
      </c>
      <c r="I163" s="178">
        <v>0.91600000000000004</v>
      </c>
      <c r="J163" s="176" t="s">
        <v>3121</v>
      </c>
      <c r="K163" s="176" t="s">
        <v>250</v>
      </c>
      <c r="L163" s="176" t="s">
        <v>2856</v>
      </c>
      <c r="M163" s="179">
        <v>14.244999999999999</v>
      </c>
      <c r="N163" s="179">
        <v>13.048400000000001</v>
      </c>
      <c r="O163" s="179">
        <v>0.7</v>
      </c>
      <c r="P163" s="179">
        <v>13.148099999999999</v>
      </c>
      <c r="Q163" s="176"/>
      <c r="R163" s="176" t="s">
        <v>3122</v>
      </c>
      <c r="S163" s="176" t="s">
        <v>2907</v>
      </c>
      <c r="T163" s="180">
        <v>46193.698854166665</v>
      </c>
      <c r="U163" s="176" t="s">
        <v>2716</v>
      </c>
      <c r="V163" s="176" t="s">
        <v>2754</v>
      </c>
    </row>
    <row r="164" spans="1:22">
      <c r="A164" s="175">
        <v>46193</v>
      </c>
      <c r="B164" s="176" t="s">
        <v>3120</v>
      </c>
      <c r="C164" s="176" t="s">
        <v>2734</v>
      </c>
      <c r="D164" s="176"/>
      <c r="E164" s="176" t="s">
        <v>2834</v>
      </c>
      <c r="F164" s="177"/>
      <c r="G164" s="177" t="s">
        <v>2735</v>
      </c>
      <c r="H164" s="176" t="s">
        <v>2735</v>
      </c>
      <c r="I164" s="178">
        <v>0.91600000000000004</v>
      </c>
      <c r="J164" s="176" t="s">
        <v>2874</v>
      </c>
      <c r="K164" s="176" t="s">
        <v>250</v>
      </c>
      <c r="L164" s="176" t="s">
        <v>2856</v>
      </c>
      <c r="M164" s="179">
        <v>29.992000000000001</v>
      </c>
      <c r="N164" s="179">
        <v>27.4727</v>
      </c>
      <c r="O164" s="179">
        <v>0.7</v>
      </c>
      <c r="P164" s="179">
        <v>27.682600000000001</v>
      </c>
      <c r="Q164" s="176"/>
      <c r="R164" s="176" t="s">
        <v>3122</v>
      </c>
      <c r="S164" s="176" t="s">
        <v>2907</v>
      </c>
      <c r="T164" s="180">
        <v>46193.698854166665</v>
      </c>
      <c r="U164" s="176" t="s">
        <v>2829</v>
      </c>
      <c r="V164" s="176" t="s">
        <v>2830</v>
      </c>
    </row>
    <row r="165" spans="1:22">
      <c r="A165" s="175">
        <v>46193</v>
      </c>
      <c r="B165" s="176" t="s">
        <v>3120</v>
      </c>
      <c r="C165" s="176" t="s">
        <v>2734</v>
      </c>
      <c r="D165" s="176"/>
      <c r="E165" s="176" t="s">
        <v>2834</v>
      </c>
      <c r="F165" s="177"/>
      <c r="G165" s="177" t="s">
        <v>2735</v>
      </c>
      <c r="H165" s="176" t="s">
        <v>2735</v>
      </c>
      <c r="I165" s="178">
        <v>0.91600000000000004</v>
      </c>
      <c r="J165" s="176" t="s">
        <v>3121</v>
      </c>
      <c r="K165" s="176" t="s">
        <v>250</v>
      </c>
      <c r="L165" s="176" t="s">
        <v>2856</v>
      </c>
      <c r="M165" s="179">
        <v>14.022</v>
      </c>
      <c r="N165" s="179">
        <v>12.844200000000001</v>
      </c>
      <c r="O165" s="179">
        <v>0.7</v>
      </c>
      <c r="P165" s="179">
        <v>12.942299999999999</v>
      </c>
      <c r="Q165" s="176"/>
      <c r="R165" s="176" t="s">
        <v>3122</v>
      </c>
      <c r="S165" s="176" t="s">
        <v>2907</v>
      </c>
      <c r="T165" s="180">
        <v>46193.698854166665</v>
      </c>
      <c r="U165" s="176" t="s">
        <v>2716</v>
      </c>
      <c r="V165" s="176" t="s">
        <v>2754</v>
      </c>
    </row>
    <row r="166" spans="1:22">
      <c r="A166" s="175">
        <v>46193</v>
      </c>
      <c r="B166" s="176" t="s">
        <v>3120</v>
      </c>
      <c r="C166" s="176" t="s">
        <v>2734</v>
      </c>
      <c r="D166" s="176"/>
      <c r="E166" s="176" t="s">
        <v>2834</v>
      </c>
      <c r="F166" s="177"/>
      <c r="G166" s="177" t="s">
        <v>2735</v>
      </c>
      <c r="H166" s="176" t="s">
        <v>2735</v>
      </c>
      <c r="I166" s="178">
        <v>0.91600000000000004</v>
      </c>
      <c r="J166" s="176" t="s">
        <v>3121</v>
      </c>
      <c r="K166" s="176" t="s">
        <v>250</v>
      </c>
      <c r="L166" s="176" t="s">
        <v>2856</v>
      </c>
      <c r="M166" s="179">
        <v>14.252000000000001</v>
      </c>
      <c r="N166" s="179">
        <v>13.0548</v>
      </c>
      <c r="O166" s="179">
        <v>0.7</v>
      </c>
      <c r="P166" s="179">
        <v>13.1546</v>
      </c>
      <c r="Q166" s="176"/>
      <c r="R166" s="176" t="s">
        <v>3122</v>
      </c>
      <c r="S166" s="176" t="s">
        <v>2907</v>
      </c>
      <c r="T166" s="180">
        <v>46193.698854166665</v>
      </c>
      <c r="U166" s="176" t="s">
        <v>2716</v>
      </c>
      <c r="V166" s="176" t="s">
        <v>2754</v>
      </c>
    </row>
    <row r="167" spans="1:22">
      <c r="A167" s="175">
        <v>46193</v>
      </c>
      <c r="B167" s="176" t="s">
        <v>3120</v>
      </c>
      <c r="C167" s="176" t="s">
        <v>2734</v>
      </c>
      <c r="D167" s="176"/>
      <c r="E167" s="176" t="s">
        <v>2834</v>
      </c>
      <c r="F167" s="177"/>
      <c r="G167" s="177" t="s">
        <v>2735</v>
      </c>
      <c r="H167" s="176" t="s">
        <v>2735</v>
      </c>
      <c r="I167" s="178">
        <v>0.91600000000000004</v>
      </c>
      <c r="J167" s="176" t="s">
        <v>2874</v>
      </c>
      <c r="K167" s="176" t="s">
        <v>250</v>
      </c>
      <c r="L167" s="176" t="s">
        <v>2856</v>
      </c>
      <c r="M167" s="179">
        <v>29.901</v>
      </c>
      <c r="N167" s="179">
        <v>27.389299999999999</v>
      </c>
      <c r="O167" s="179">
        <v>0.7</v>
      </c>
      <c r="P167" s="179">
        <v>27.598600000000001</v>
      </c>
      <c r="Q167" s="176"/>
      <c r="R167" s="176" t="s">
        <v>3122</v>
      </c>
      <c r="S167" s="176" t="s">
        <v>2907</v>
      </c>
      <c r="T167" s="180">
        <v>46193.698854166665</v>
      </c>
      <c r="U167" s="176" t="s">
        <v>2829</v>
      </c>
      <c r="V167" s="176" t="s">
        <v>2830</v>
      </c>
    </row>
    <row r="168" spans="1:22">
      <c r="A168" s="175">
        <v>46193</v>
      </c>
      <c r="B168" s="176" t="s">
        <v>3120</v>
      </c>
      <c r="C168" s="176" t="s">
        <v>2734</v>
      </c>
      <c r="D168" s="176"/>
      <c r="E168" s="176" t="s">
        <v>2834</v>
      </c>
      <c r="F168" s="177"/>
      <c r="G168" s="177" t="s">
        <v>2735</v>
      </c>
      <c r="H168" s="176" t="s">
        <v>2735</v>
      </c>
      <c r="I168" s="178">
        <v>0.91600000000000004</v>
      </c>
      <c r="J168" s="176" t="s">
        <v>3121</v>
      </c>
      <c r="K168" s="176" t="s">
        <v>250</v>
      </c>
      <c r="L168" s="176" t="s">
        <v>2856</v>
      </c>
      <c r="M168" s="179">
        <v>14.317</v>
      </c>
      <c r="N168" s="179">
        <v>13.1144</v>
      </c>
      <c r="O168" s="179">
        <v>0.7</v>
      </c>
      <c r="P168" s="179">
        <v>13.214600000000001</v>
      </c>
      <c r="Q168" s="176"/>
      <c r="R168" s="176" t="s">
        <v>3122</v>
      </c>
      <c r="S168" s="176" t="s">
        <v>2907</v>
      </c>
      <c r="T168" s="180">
        <v>46193.698854166665</v>
      </c>
      <c r="U168" s="176" t="s">
        <v>2716</v>
      </c>
      <c r="V168" s="176" t="s">
        <v>2754</v>
      </c>
    </row>
    <row r="169" spans="1:22">
      <c r="A169" s="175">
        <v>46193</v>
      </c>
      <c r="B169" s="176" t="s">
        <v>3120</v>
      </c>
      <c r="C169" s="176" t="s">
        <v>2734</v>
      </c>
      <c r="D169" s="176"/>
      <c r="E169" s="176" t="s">
        <v>2834</v>
      </c>
      <c r="F169" s="177"/>
      <c r="G169" s="177" t="s">
        <v>2735</v>
      </c>
      <c r="H169" s="176" t="s">
        <v>2735</v>
      </c>
      <c r="I169" s="178">
        <v>0.91600000000000004</v>
      </c>
      <c r="J169" s="176" t="s">
        <v>3121</v>
      </c>
      <c r="K169" s="176" t="s">
        <v>250</v>
      </c>
      <c r="L169" s="176" t="s">
        <v>2856</v>
      </c>
      <c r="M169" s="179">
        <v>14.199</v>
      </c>
      <c r="N169" s="179">
        <v>13.0063</v>
      </c>
      <c r="O169" s="179">
        <v>0.7</v>
      </c>
      <c r="P169" s="179">
        <v>13.105700000000001</v>
      </c>
      <c r="Q169" s="176"/>
      <c r="R169" s="176" t="s">
        <v>3122</v>
      </c>
      <c r="S169" s="176" t="s">
        <v>2907</v>
      </c>
      <c r="T169" s="180">
        <v>46193.698854166665</v>
      </c>
      <c r="U169" s="176" t="s">
        <v>2716</v>
      </c>
      <c r="V169" s="176" t="s">
        <v>2754</v>
      </c>
    </row>
    <row r="170" spans="1:22">
      <c r="A170" s="175">
        <v>46193</v>
      </c>
      <c r="B170" s="176" t="s">
        <v>3120</v>
      </c>
      <c r="C170" s="176" t="s">
        <v>2734</v>
      </c>
      <c r="D170" s="176"/>
      <c r="E170" s="176" t="s">
        <v>2834</v>
      </c>
      <c r="F170" s="177"/>
      <c r="G170" s="177" t="s">
        <v>2735</v>
      </c>
      <c r="H170" s="176" t="s">
        <v>2735</v>
      </c>
      <c r="I170" s="178">
        <v>0.91600000000000004</v>
      </c>
      <c r="J170" s="176" t="s">
        <v>3121</v>
      </c>
      <c r="K170" s="176" t="s">
        <v>250</v>
      </c>
      <c r="L170" s="176" t="s">
        <v>2856</v>
      </c>
      <c r="M170" s="179">
        <v>11.855</v>
      </c>
      <c r="N170" s="179">
        <v>10.8592</v>
      </c>
      <c r="O170" s="179">
        <v>0.7</v>
      </c>
      <c r="P170" s="179">
        <v>10.9422</v>
      </c>
      <c r="Q170" s="176"/>
      <c r="R170" s="176" t="s">
        <v>3122</v>
      </c>
      <c r="S170" s="176" t="s">
        <v>2907</v>
      </c>
      <c r="T170" s="180">
        <v>46193.698854166665</v>
      </c>
      <c r="U170" s="176" t="s">
        <v>2716</v>
      </c>
      <c r="V170" s="176" t="s">
        <v>2754</v>
      </c>
    </row>
    <row r="171" spans="1:22">
      <c r="A171" s="175">
        <v>46193</v>
      </c>
      <c r="B171" s="176" t="s">
        <v>3120</v>
      </c>
      <c r="C171" s="176" t="s">
        <v>2734</v>
      </c>
      <c r="D171" s="176"/>
      <c r="E171" s="176" t="s">
        <v>2834</v>
      </c>
      <c r="F171" s="177"/>
      <c r="G171" s="177" t="s">
        <v>2735</v>
      </c>
      <c r="H171" s="176" t="s">
        <v>2735</v>
      </c>
      <c r="I171" s="178">
        <v>0.91600000000000004</v>
      </c>
      <c r="J171" s="176" t="s">
        <v>3121</v>
      </c>
      <c r="K171" s="176" t="s">
        <v>250</v>
      </c>
      <c r="L171" s="176" t="s">
        <v>2856</v>
      </c>
      <c r="M171" s="179">
        <v>14.214</v>
      </c>
      <c r="N171" s="179">
        <v>13.02</v>
      </c>
      <c r="O171" s="179">
        <v>0.7</v>
      </c>
      <c r="P171" s="179">
        <v>13.1195</v>
      </c>
      <c r="Q171" s="176"/>
      <c r="R171" s="176" t="s">
        <v>3122</v>
      </c>
      <c r="S171" s="176" t="s">
        <v>2907</v>
      </c>
      <c r="T171" s="180">
        <v>46193.698854166665</v>
      </c>
      <c r="U171" s="176" t="s">
        <v>2716</v>
      </c>
      <c r="V171" s="176" t="s">
        <v>2754</v>
      </c>
    </row>
    <row r="172" spans="1:22">
      <c r="A172" s="175">
        <v>46193</v>
      </c>
      <c r="B172" s="176" t="s">
        <v>3120</v>
      </c>
      <c r="C172" s="176" t="s">
        <v>2734</v>
      </c>
      <c r="D172" s="176"/>
      <c r="E172" s="176" t="s">
        <v>2834</v>
      </c>
      <c r="F172" s="177"/>
      <c r="G172" s="177" t="s">
        <v>2735</v>
      </c>
      <c r="H172" s="176" t="s">
        <v>2735</v>
      </c>
      <c r="I172" s="178">
        <v>0.91600000000000004</v>
      </c>
      <c r="J172" s="176" t="s">
        <v>3121</v>
      </c>
      <c r="K172" s="176" t="s">
        <v>250</v>
      </c>
      <c r="L172" s="176" t="s">
        <v>2856</v>
      </c>
      <c r="M172" s="179">
        <v>14.151</v>
      </c>
      <c r="N172" s="179">
        <v>12.962300000000001</v>
      </c>
      <c r="O172" s="179">
        <v>0.7</v>
      </c>
      <c r="P172" s="179">
        <v>13.061400000000001</v>
      </c>
      <c r="Q172" s="176"/>
      <c r="R172" s="176" t="s">
        <v>3122</v>
      </c>
      <c r="S172" s="176" t="s">
        <v>2907</v>
      </c>
      <c r="T172" s="180">
        <v>46193.698854166665</v>
      </c>
      <c r="U172" s="176" t="s">
        <v>2716</v>
      </c>
      <c r="V172" s="176" t="s">
        <v>2754</v>
      </c>
    </row>
    <row r="173" spans="1:22">
      <c r="A173" s="175">
        <v>46193</v>
      </c>
      <c r="B173" s="176" t="s">
        <v>3120</v>
      </c>
      <c r="C173" s="176" t="s">
        <v>2734</v>
      </c>
      <c r="D173" s="176"/>
      <c r="E173" s="176" t="s">
        <v>2834</v>
      </c>
      <c r="F173" s="177"/>
      <c r="G173" s="177" t="s">
        <v>2735</v>
      </c>
      <c r="H173" s="176" t="s">
        <v>2735</v>
      </c>
      <c r="I173" s="178">
        <v>0.91600000000000004</v>
      </c>
      <c r="J173" s="176" t="s">
        <v>2874</v>
      </c>
      <c r="K173" s="176" t="s">
        <v>250</v>
      </c>
      <c r="L173" s="176" t="s">
        <v>2856</v>
      </c>
      <c r="M173" s="179">
        <v>30.181999999999999</v>
      </c>
      <c r="N173" s="179">
        <v>27.646699999999999</v>
      </c>
      <c r="O173" s="179">
        <v>0.7</v>
      </c>
      <c r="P173" s="179">
        <v>27.858000000000001</v>
      </c>
      <c r="Q173" s="176"/>
      <c r="R173" s="176" t="s">
        <v>3122</v>
      </c>
      <c r="S173" s="176" t="s">
        <v>2907</v>
      </c>
      <c r="T173" s="180">
        <v>46193.698854166665</v>
      </c>
      <c r="U173" s="176" t="s">
        <v>2829</v>
      </c>
      <c r="V173" s="176" t="s">
        <v>2830</v>
      </c>
    </row>
    <row r="174" spans="1:22">
      <c r="A174" s="175">
        <v>46193</v>
      </c>
      <c r="B174" s="176" t="s">
        <v>3120</v>
      </c>
      <c r="C174" s="176" t="s">
        <v>2734</v>
      </c>
      <c r="D174" s="176"/>
      <c r="E174" s="176" t="s">
        <v>2834</v>
      </c>
      <c r="F174" s="177"/>
      <c r="G174" s="177" t="s">
        <v>2735</v>
      </c>
      <c r="H174" s="176" t="s">
        <v>2735</v>
      </c>
      <c r="I174" s="178">
        <v>0.91600000000000004</v>
      </c>
      <c r="J174" s="176" t="s">
        <v>2874</v>
      </c>
      <c r="K174" s="176" t="s">
        <v>250</v>
      </c>
      <c r="L174" s="176" t="s">
        <v>2856</v>
      </c>
      <c r="M174" s="179">
        <v>30.021000000000001</v>
      </c>
      <c r="N174" s="179">
        <v>27.499199999999998</v>
      </c>
      <c r="O174" s="179">
        <v>0.7</v>
      </c>
      <c r="P174" s="179">
        <v>27.709399999999999</v>
      </c>
      <c r="Q174" s="176"/>
      <c r="R174" s="176" t="s">
        <v>3122</v>
      </c>
      <c r="S174" s="176" t="s">
        <v>2907</v>
      </c>
      <c r="T174" s="180">
        <v>46193.698854166665</v>
      </c>
      <c r="U174" s="176" t="s">
        <v>2829</v>
      </c>
      <c r="V174" s="176" t="s">
        <v>2830</v>
      </c>
    </row>
    <row r="175" spans="1:22">
      <c r="A175" s="175">
        <v>46193</v>
      </c>
      <c r="B175" s="176" t="s">
        <v>3120</v>
      </c>
      <c r="C175" s="176" t="s">
        <v>2734</v>
      </c>
      <c r="D175" s="176"/>
      <c r="E175" s="176" t="s">
        <v>2834</v>
      </c>
      <c r="F175" s="177"/>
      <c r="G175" s="177" t="s">
        <v>2735</v>
      </c>
      <c r="H175" s="176" t="s">
        <v>2735</v>
      </c>
      <c r="I175" s="178">
        <v>0.91600000000000004</v>
      </c>
      <c r="J175" s="176" t="s">
        <v>2874</v>
      </c>
      <c r="K175" s="176" t="s">
        <v>250</v>
      </c>
      <c r="L175" s="176" t="s">
        <v>2856</v>
      </c>
      <c r="M175" s="179">
        <v>30.081</v>
      </c>
      <c r="N175" s="179">
        <v>27.554200000000002</v>
      </c>
      <c r="O175" s="179">
        <v>0.7</v>
      </c>
      <c r="P175" s="179">
        <v>27.764800000000001</v>
      </c>
      <c r="Q175" s="176"/>
      <c r="R175" s="176" t="s">
        <v>3122</v>
      </c>
      <c r="S175" s="176" t="s">
        <v>2907</v>
      </c>
      <c r="T175" s="180">
        <v>46193.698854166665</v>
      </c>
      <c r="U175" s="176" t="s">
        <v>2829</v>
      </c>
      <c r="V175" s="176" t="s">
        <v>2830</v>
      </c>
    </row>
    <row r="176" spans="1:22">
      <c r="A176" s="175">
        <v>46193</v>
      </c>
      <c r="B176" s="176" t="s">
        <v>3120</v>
      </c>
      <c r="C176" s="176" t="s">
        <v>2734</v>
      </c>
      <c r="D176" s="176"/>
      <c r="E176" s="176" t="s">
        <v>2834</v>
      </c>
      <c r="F176" s="177"/>
      <c r="G176" s="177" t="s">
        <v>2735</v>
      </c>
      <c r="H176" s="176" t="s">
        <v>2735</v>
      </c>
      <c r="I176" s="178">
        <v>0.91600000000000004</v>
      </c>
      <c r="J176" s="176" t="s">
        <v>2874</v>
      </c>
      <c r="K176" s="176" t="s">
        <v>250</v>
      </c>
      <c r="L176" s="176" t="s">
        <v>2856</v>
      </c>
      <c r="M176" s="179">
        <v>30.122</v>
      </c>
      <c r="N176" s="179">
        <v>27.591799999999999</v>
      </c>
      <c r="O176" s="179">
        <v>0.7</v>
      </c>
      <c r="P176" s="179">
        <v>27.802600000000002</v>
      </c>
      <c r="Q176" s="176"/>
      <c r="R176" s="176" t="s">
        <v>3122</v>
      </c>
      <c r="S176" s="176" t="s">
        <v>2907</v>
      </c>
      <c r="T176" s="180">
        <v>46193.698854166665</v>
      </c>
      <c r="U176" s="176" t="s">
        <v>2829</v>
      </c>
      <c r="V176" s="176" t="s">
        <v>2830</v>
      </c>
    </row>
    <row r="177" spans="1:22">
      <c r="A177" s="175">
        <v>46193</v>
      </c>
      <c r="B177" s="176" t="s">
        <v>3120</v>
      </c>
      <c r="C177" s="176" t="s">
        <v>2734</v>
      </c>
      <c r="D177" s="176"/>
      <c r="E177" s="176" t="s">
        <v>2834</v>
      </c>
      <c r="F177" s="177"/>
      <c r="G177" s="177" t="s">
        <v>2735</v>
      </c>
      <c r="H177" s="176" t="s">
        <v>2735</v>
      </c>
      <c r="I177" s="178">
        <v>0.91600000000000004</v>
      </c>
      <c r="J177" s="176" t="s">
        <v>2874</v>
      </c>
      <c r="K177" s="176" t="s">
        <v>250</v>
      </c>
      <c r="L177" s="176" t="s">
        <v>2856</v>
      </c>
      <c r="M177" s="179">
        <v>30.027000000000001</v>
      </c>
      <c r="N177" s="179">
        <v>27.5047</v>
      </c>
      <c r="O177" s="179">
        <v>0.7</v>
      </c>
      <c r="P177" s="179">
        <v>27.7149</v>
      </c>
      <c r="Q177" s="176"/>
      <c r="R177" s="176" t="s">
        <v>3122</v>
      </c>
      <c r="S177" s="176" t="s">
        <v>2907</v>
      </c>
      <c r="T177" s="180">
        <v>46193.698854166665</v>
      </c>
      <c r="U177" s="176" t="s">
        <v>2829</v>
      </c>
      <c r="V177" s="176" t="s">
        <v>2830</v>
      </c>
    </row>
    <row r="178" spans="1:22">
      <c r="A178" s="175">
        <v>46193</v>
      </c>
      <c r="B178" s="176" t="s">
        <v>3120</v>
      </c>
      <c r="C178" s="176" t="s">
        <v>2734</v>
      </c>
      <c r="D178" s="176"/>
      <c r="E178" s="176" t="s">
        <v>2834</v>
      </c>
      <c r="F178" s="177"/>
      <c r="G178" s="177" t="s">
        <v>2735</v>
      </c>
      <c r="H178" s="176" t="s">
        <v>2735</v>
      </c>
      <c r="I178" s="178">
        <v>0.91600000000000004</v>
      </c>
      <c r="J178" s="176" t="s">
        <v>3121</v>
      </c>
      <c r="K178" s="176" t="s">
        <v>250</v>
      </c>
      <c r="L178" s="176" t="s">
        <v>2856</v>
      </c>
      <c r="M178" s="179">
        <v>14.266999999999999</v>
      </c>
      <c r="N178" s="179">
        <v>13.0686</v>
      </c>
      <c r="O178" s="179">
        <v>0.7</v>
      </c>
      <c r="P178" s="179">
        <v>13.1684</v>
      </c>
      <c r="Q178" s="176"/>
      <c r="R178" s="176" t="s">
        <v>3122</v>
      </c>
      <c r="S178" s="176" t="s">
        <v>2907</v>
      </c>
      <c r="T178" s="180">
        <v>46193.698854166665</v>
      </c>
      <c r="U178" s="176" t="s">
        <v>2716</v>
      </c>
      <c r="V178" s="176" t="s">
        <v>2754</v>
      </c>
    </row>
    <row r="179" spans="1:22">
      <c r="A179" s="175">
        <v>46193</v>
      </c>
      <c r="B179" s="176" t="s">
        <v>3120</v>
      </c>
      <c r="C179" s="176" t="s">
        <v>2734</v>
      </c>
      <c r="D179" s="176"/>
      <c r="E179" s="176" t="s">
        <v>2834</v>
      </c>
      <c r="F179" s="177"/>
      <c r="G179" s="177" t="s">
        <v>2735</v>
      </c>
      <c r="H179" s="176" t="s">
        <v>2735</v>
      </c>
      <c r="I179" s="178">
        <v>0.91600000000000004</v>
      </c>
      <c r="J179" s="176" t="s">
        <v>3121</v>
      </c>
      <c r="K179" s="176" t="s">
        <v>250</v>
      </c>
      <c r="L179" s="176" t="s">
        <v>2856</v>
      </c>
      <c r="M179" s="179">
        <v>14.288</v>
      </c>
      <c r="N179" s="179">
        <v>13.0878</v>
      </c>
      <c r="O179" s="179">
        <v>0.7</v>
      </c>
      <c r="P179" s="179">
        <v>13.187799999999999</v>
      </c>
      <c r="Q179" s="176"/>
      <c r="R179" s="176" t="s">
        <v>3122</v>
      </c>
      <c r="S179" s="176" t="s">
        <v>2907</v>
      </c>
      <c r="T179" s="180">
        <v>46193.698854166665</v>
      </c>
      <c r="U179" s="176" t="s">
        <v>2716</v>
      </c>
      <c r="V179" s="176" t="s">
        <v>2754</v>
      </c>
    </row>
    <row r="180" spans="1:22">
      <c r="A180" s="175">
        <v>46193</v>
      </c>
      <c r="B180" s="176" t="s">
        <v>3120</v>
      </c>
      <c r="C180" s="176" t="s">
        <v>2734</v>
      </c>
      <c r="D180" s="176"/>
      <c r="E180" s="176" t="s">
        <v>2834</v>
      </c>
      <c r="F180" s="177"/>
      <c r="G180" s="177" t="s">
        <v>2735</v>
      </c>
      <c r="H180" s="176" t="s">
        <v>2735</v>
      </c>
      <c r="I180" s="178">
        <v>0.91600000000000004</v>
      </c>
      <c r="J180" s="176" t="s">
        <v>2874</v>
      </c>
      <c r="K180" s="176" t="s">
        <v>250</v>
      </c>
      <c r="L180" s="176" t="s">
        <v>2856</v>
      </c>
      <c r="M180" s="179">
        <v>30.138000000000002</v>
      </c>
      <c r="N180" s="179">
        <v>27.606400000000001</v>
      </c>
      <c r="O180" s="179">
        <v>0.7</v>
      </c>
      <c r="P180" s="179">
        <v>27.817399999999999</v>
      </c>
      <c r="Q180" s="176"/>
      <c r="R180" s="176" t="s">
        <v>3122</v>
      </c>
      <c r="S180" s="176" t="s">
        <v>2907</v>
      </c>
      <c r="T180" s="180">
        <v>46193.698854166665</v>
      </c>
      <c r="U180" s="176" t="s">
        <v>2829</v>
      </c>
      <c r="V180" s="176" t="s">
        <v>2830</v>
      </c>
    </row>
    <row r="181" spans="1:22">
      <c r="A181" s="175">
        <v>46193</v>
      </c>
      <c r="B181" s="176" t="s">
        <v>3120</v>
      </c>
      <c r="C181" s="176" t="s">
        <v>2734</v>
      </c>
      <c r="D181" s="176"/>
      <c r="E181" s="176" t="s">
        <v>2834</v>
      </c>
      <c r="F181" s="177"/>
      <c r="G181" s="177" t="s">
        <v>2735</v>
      </c>
      <c r="H181" s="176" t="s">
        <v>2735</v>
      </c>
      <c r="I181" s="178">
        <v>0.91600000000000004</v>
      </c>
      <c r="J181" s="176" t="s">
        <v>3121</v>
      </c>
      <c r="K181" s="176" t="s">
        <v>250</v>
      </c>
      <c r="L181" s="176" t="s">
        <v>2856</v>
      </c>
      <c r="M181" s="179">
        <v>14.198</v>
      </c>
      <c r="N181" s="179">
        <v>13.0054</v>
      </c>
      <c r="O181" s="179">
        <v>0.7</v>
      </c>
      <c r="P181" s="179">
        <v>13.104799999999999</v>
      </c>
      <c r="Q181" s="176"/>
      <c r="R181" s="176" t="s">
        <v>3122</v>
      </c>
      <c r="S181" s="176" t="s">
        <v>2907</v>
      </c>
      <c r="T181" s="180">
        <v>46193.698854166665</v>
      </c>
      <c r="U181" s="176" t="s">
        <v>2716</v>
      </c>
      <c r="V181" s="176" t="s">
        <v>2754</v>
      </c>
    </row>
    <row r="182" spans="1:22">
      <c r="A182" s="175">
        <v>46193</v>
      </c>
      <c r="B182" s="176" t="s">
        <v>3120</v>
      </c>
      <c r="C182" s="176" t="s">
        <v>2734</v>
      </c>
      <c r="D182" s="176"/>
      <c r="E182" s="176" t="s">
        <v>2834</v>
      </c>
      <c r="F182" s="177"/>
      <c r="G182" s="177" t="s">
        <v>2735</v>
      </c>
      <c r="H182" s="176" t="s">
        <v>2735</v>
      </c>
      <c r="I182" s="178">
        <v>0.91600000000000004</v>
      </c>
      <c r="J182" s="176" t="s">
        <v>2874</v>
      </c>
      <c r="K182" s="176" t="s">
        <v>250</v>
      </c>
      <c r="L182" s="176" t="s">
        <v>2856</v>
      </c>
      <c r="M182" s="179">
        <v>30.088000000000001</v>
      </c>
      <c r="N182" s="179">
        <v>27.560600000000001</v>
      </c>
      <c r="O182" s="179">
        <v>0.7</v>
      </c>
      <c r="P182" s="179">
        <v>27.7712</v>
      </c>
      <c r="Q182" s="176"/>
      <c r="R182" s="176" t="s">
        <v>3122</v>
      </c>
      <c r="S182" s="176" t="s">
        <v>2907</v>
      </c>
      <c r="T182" s="180">
        <v>46193.698854166665</v>
      </c>
      <c r="U182" s="176" t="s">
        <v>2829</v>
      </c>
      <c r="V182" s="176" t="s">
        <v>2830</v>
      </c>
    </row>
    <row r="183" spans="1:22">
      <c r="A183" s="175">
        <v>46193</v>
      </c>
      <c r="B183" s="176" t="s">
        <v>3120</v>
      </c>
      <c r="C183" s="176" t="s">
        <v>2734</v>
      </c>
      <c r="D183" s="176"/>
      <c r="E183" s="176" t="s">
        <v>2834</v>
      </c>
      <c r="F183" s="177"/>
      <c r="G183" s="177" t="s">
        <v>2735</v>
      </c>
      <c r="H183" s="176" t="s">
        <v>2735</v>
      </c>
      <c r="I183" s="178">
        <v>0.91600000000000004</v>
      </c>
      <c r="J183" s="176" t="s">
        <v>3121</v>
      </c>
      <c r="K183" s="176" t="s">
        <v>250</v>
      </c>
      <c r="L183" s="176" t="s">
        <v>2856</v>
      </c>
      <c r="M183" s="179">
        <v>14.311</v>
      </c>
      <c r="N183" s="179">
        <v>13.1089</v>
      </c>
      <c r="O183" s="179">
        <v>0.7</v>
      </c>
      <c r="P183" s="179">
        <v>13.209099999999999</v>
      </c>
      <c r="Q183" s="176"/>
      <c r="R183" s="176" t="s">
        <v>3122</v>
      </c>
      <c r="S183" s="176" t="s">
        <v>2907</v>
      </c>
      <c r="T183" s="180">
        <v>46193.698854166665</v>
      </c>
      <c r="U183" s="176" t="s">
        <v>2716</v>
      </c>
      <c r="V183" s="176" t="s">
        <v>2754</v>
      </c>
    </row>
    <row r="184" spans="1:22">
      <c r="A184" s="175">
        <v>46193</v>
      </c>
      <c r="B184" s="176" t="s">
        <v>3120</v>
      </c>
      <c r="C184" s="176" t="s">
        <v>2734</v>
      </c>
      <c r="D184" s="176"/>
      <c r="E184" s="176" t="s">
        <v>2834</v>
      </c>
      <c r="F184" s="177"/>
      <c r="G184" s="177" t="s">
        <v>2735</v>
      </c>
      <c r="H184" s="176" t="s">
        <v>2735</v>
      </c>
      <c r="I184" s="178">
        <v>0.91600000000000004</v>
      </c>
      <c r="J184" s="176" t="s">
        <v>3121</v>
      </c>
      <c r="K184" s="176" t="s">
        <v>250</v>
      </c>
      <c r="L184" s="176" t="s">
        <v>2856</v>
      </c>
      <c r="M184" s="179">
        <v>16.744</v>
      </c>
      <c r="N184" s="179">
        <v>15.3375</v>
      </c>
      <c r="O184" s="179">
        <v>0.7</v>
      </c>
      <c r="P184" s="179">
        <v>15.454700000000001</v>
      </c>
      <c r="Q184" s="176"/>
      <c r="R184" s="176" t="s">
        <v>3122</v>
      </c>
      <c r="S184" s="176" t="s">
        <v>2907</v>
      </c>
      <c r="T184" s="180">
        <v>46193.698854166665</v>
      </c>
      <c r="U184" s="176" t="s">
        <v>2716</v>
      </c>
      <c r="V184" s="176" t="s">
        <v>2754</v>
      </c>
    </row>
    <row r="185" spans="1:22">
      <c r="A185" s="175">
        <v>46193</v>
      </c>
      <c r="B185" s="176" t="s">
        <v>3120</v>
      </c>
      <c r="C185" s="176" t="s">
        <v>2734</v>
      </c>
      <c r="D185" s="176"/>
      <c r="E185" s="176" t="s">
        <v>2834</v>
      </c>
      <c r="F185" s="177"/>
      <c r="G185" s="177" t="s">
        <v>2735</v>
      </c>
      <c r="H185" s="176" t="s">
        <v>2735</v>
      </c>
      <c r="I185" s="178">
        <v>0.91600000000000004</v>
      </c>
      <c r="J185" s="176" t="s">
        <v>3121</v>
      </c>
      <c r="K185" s="176" t="s">
        <v>250</v>
      </c>
      <c r="L185" s="176" t="s">
        <v>2856</v>
      </c>
      <c r="M185" s="179">
        <v>14.273999999999999</v>
      </c>
      <c r="N185" s="179">
        <v>13.074999999999999</v>
      </c>
      <c r="O185" s="179">
        <v>0.7</v>
      </c>
      <c r="P185" s="179">
        <v>13.174899999999999</v>
      </c>
      <c r="Q185" s="176"/>
      <c r="R185" s="176" t="s">
        <v>3122</v>
      </c>
      <c r="S185" s="176" t="s">
        <v>2907</v>
      </c>
      <c r="T185" s="180">
        <v>46193.698854166665</v>
      </c>
      <c r="U185" s="176" t="s">
        <v>2716</v>
      </c>
      <c r="V185" s="176" t="s">
        <v>2754</v>
      </c>
    </row>
    <row r="186" spans="1:22">
      <c r="A186" s="175">
        <v>46193</v>
      </c>
      <c r="B186" s="176" t="s">
        <v>3120</v>
      </c>
      <c r="C186" s="176" t="s">
        <v>2734</v>
      </c>
      <c r="D186" s="176"/>
      <c r="E186" s="176" t="s">
        <v>2834</v>
      </c>
      <c r="F186" s="177"/>
      <c r="G186" s="177" t="s">
        <v>2735</v>
      </c>
      <c r="H186" s="176" t="s">
        <v>2735</v>
      </c>
      <c r="I186" s="178">
        <v>0.91600000000000004</v>
      </c>
      <c r="J186" s="176" t="s">
        <v>3121</v>
      </c>
      <c r="K186" s="176" t="s">
        <v>250</v>
      </c>
      <c r="L186" s="176" t="s">
        <v>2856</v>
      </c>
      <c r="M186" s="179">
        <v>14.318</v>
      </c>
      <c r="N186" s="179">
        <v>13.1153</v>
      </c>
      <c r="O186" s="179">
        <v>0.7</v>
      </c>
      <c r="P186" s="179">
        <v>13.2155</v>
      </c>
      <c r="Q186" s="176"/>
      <c r="R186" s="176" t="s">
        <v>3122</v>
      </c>
      <c r="S186" s="176" t="s">
        <v>2907</v>
      </c>
      <c r="T186" s="180">
        <v>46193.698854166665</v>
      </c>
      <c r="U186" s="176" t="s">
        <v>2716</v>
      </c>
      <c r="V186" s="176" t="s">
        <v>2754</v>
      </c>
    </row>
    <row r="187" spans="1:22">
      <c r="A187" s="175">
        <v>46193</v>
      </c>
      <c r="B187" s="176" t="s">
        <v>3120</v>
      </c>
      <c r="C187" s="176" t="s">
        <v>2734</v>
      </c>
      <c r="D187" s="176"/>
      <c r="E187" s="176" t="s">
        <v>2834</v>
      </c>
      <c r="F187" s="177"/>
      <c r="G187" s="177" t="s">
        <v>2735</v>
      </c>
      <c r="H187" s="176" t="s">
        <v>2735</v>
      </c>
      <c r="I187" s="178">
        <v>0.91600000000000004</v>
      </c>
      <c r="J187" s="176" t="s">
        <v>3121</v>
      </c>
      <c r="K187" s="176" t="s">
        <v>250</v>
      </c>
      <c r="L187" s="176" t="s">
        <v>2856</v>
      </c>
      <c r="M187" s="179">
        <v>14.064</v>
      </c>
      <c r="N187" s="179">
        <v>12.8826</v>
      </c>
      <c r="O187" s="179">
        <v>0.7</v>
      </c>
      <c r="P187" s="179">
        <v>12.9811</v>
      </c>
      <c r="Q187" s="176"/>
      <c r="R187" s="176" t="s">
        <v>3122</v>
      </c>
      <c r="S187" s="176" t="s">
        <v>2907</v>
      </c>
      <c r="T187" s="180">
        <v>46193.698854166665</v>
      </c>
      <c r="U187" s="176" t="s">
        <v>2716</v>
      </c>
      <c r="V187" s="176" t="s">
        <v>2754</v>
      </c>
    </row>
    <row r="188" spans="1:22">
      <c r="A188" s="175">
        <v>46193</v>
      </c>
      <c r="B188" s="176" t="s">
        <v>3120</v>
      </c>
      <c r="C188" s="176" t="s">
        <v>2734</v>
      </c>
      <c r="D188" s="176"/>
      <c r="E188" s="176" t="s">
        <v>2834</v>
      </c>
      <c r="F188" s="177"/>
      <c r="G188" s="177" t="s">
        <v>2735</v>
      </c>
      <c r="H188" s="176" t="s">
        <v>2735</v>
      </c>
      <c r="I188" s="178">
        <v>0.91600000000000004</v>
      </c>
      <c r="J188" s="176" t="s">
        <v>3121</v>
      </c>
      <c r="K188" s="176" t="s">
        <v>250</v>
      </c>
      <c r="L188" s="176" t="s">
        <v>2856</v>
      </c>
      <c r="M188" s="179">
        <v>13.912000000000001</v>
      </c>
      <c r="N188" s="179">
        <v>12.743399999999999</v>
      </c>
      <c r="O188" s="179">
        <v>0.7</v>
      </c>
      <c r="P188" s="179">
        <v>12.8408</v>
      </c>
      <c r="Q188" s="176"/>
      <c r="R188" s="176" t="s">
        <v>3122</v>
      </c>
      <c r="S188" s="176" t="s">
        <v>2907</v>
      </c>
      <c r="T188" s="180">
        <v>46193.698854166665</v>
      </c>
      <c r="U188" s="176" t="s">
        <v>2716</v>
      </c>
      <c r="V188" s="176" t="s">
        <v>2754</v>
      </c>
    </row>
    <row r="189" spans="1:22">
      <c r="A189" s="175">
        <v>46193</v>
      </c>
      <c r="B189" s="176" t="s">
        <v>3120</v>
      </c>
      <c r="C189" s="176" t="s">
        <v>2734</v>
      </c>
      <c r="D189" s="176"/>
      <c r="E189" s="176" t="s">
        <v>2834</v>
      </c>
      <c r="F189" s="177"/>
      <c r="G189" s="177" t="s">
        <v>2735</v>
      </c>
      <c r="H189" s="176" t="s">
        <v>2735</v>
      </c>
      <c r="I189" s="178">
        <v>0.91600000000000004</v>
      </c>
      <c r="J189" s="176" t="s">
        <v>3123</v>
      </c>
      <c r="K189" s="176" t="s">
        <v>250</v>
      </c>
      <c r="L189" s="176" t="s">
        <v>2856</v>
      </c>
      <c r="M189" s="179">
        <v>22.558</v>
      </c>
      <c r="N189" s="179">
        <v>20.6631</v>
      </c>
      <c r="O189" s="179">
        <v>0.7</v>
      </c>
      <c r="P189" s="179">
        <v>20.821000000000002</v>
      </c>
      <c r="Q189" s="176"/>
      <c r="R189" s="176" t="s">
        <v>3122</v>
      </c>
      <c r="S189" s="176" t="s">
        <v>2907</v>
      </c>
      <c r="T189" s="180">
        <v>46193.698854166665</v>
      </c>
      <c r="U189" s="176" t="s">
        <v>2716</v>
      </c>
      <c r="V189" s="176" t="s">
        <v>2754</v>
      </c>
    </row>
    <row r="190" spans="1:22">
      <c r="A190" s="175">
        <v>46193</v>
      </c>
      <c r="B190" s="176" t="s">
        <v>3120</v>
      </c>
      <c r="C190" s="176" t="s">
        <v>2734</v>
      </c>
      <c r="D190" s="176"/>
      <c r="E190" s="176" t="s">
        <v>2834</v>
      </c>
      <c r="F190" s="177"/>
      <c r="G190" s="177" t="s">
        <v>2735</v>
      </c>
      <c r="H190" s="176" t="s">
        <v>2735</v>
      </c>
      <c r="I190" s="178">
        <v>0.91600000000000004</v>
      </c>
      <c r="J190" s="176" t="s">
        <v>2874</v>
      </c>
      <c r="K190" s="176" t="s">
        <v>250</v>
      </c>
      <c r="L190" s="176" t="s">
        <v>2856</v>
      </c>
      <c r="M190" s="179">
        <v>30.018999999999998</v>
      </c>
      <c r="N190" s="179">
        <v>27.497399999999999</v>
      </c>
      <c r="O190" s="179">
        <v>0.7</v>
      </c>
      <c r="P190" s="179">
        <v>27.7075</v>
      </c>
      <c r="Q190" s="176"/>
      <c r="R190" s="176" t="s">
        <v>3122</v>
      </c>
      <c r="S190" s="176" t="s">
        <v>2907</v>
      </c>
      <c r="T190" s="180">
        <v>46193.698854166665</v>
      </c>
      <c r="U190" s="176" t="s">
        <v>2829</v>
      </c>
      <c r="V190" s="176" t="s">
        <v>2830</v>
      </c>
    </row>
    <row r="191" spans="1:22">
      <c r="A191" s="175">
        <v>46193</v>
      </c>
      <c r="B191" s="176" t="s">
        <v>3120</v>
      </c>
      <c r="C191" s="176" t="s">
        <v>2734</v>
      </c>
      <c r="D191" s="176"/>
      <c r="E191" s="176" t="s">
        <v>2834</v>
      </c>
      <c r="F191" s="177"/>
      <c r="G191" s="177" t="s">
        <v>2735</v>
      </c>
      <c r="H191" s="176" t="s">
        <v>2735</v>
      </c>
      <c r="I191" s="178">
        <v>0.91600000000000004</v>
      </c>
      <c r="J191" s="176" t="s">
        <v>3121</v>
      </c>
      <c r="K191" s="176" t="s">
        <v>250</v>
      </c>
      <c r="L191" s="176" t="s">
        <v>2856</v>
      </c>
      <c r="M191" s="179">
        <v>14.221</v>
      </c>
      <c r="N191" s="179">
        <v>13.026400000000001</v>
      </c>
      <c r="O191" s="179">
        <v>0.7</v>
      </c>
      <c r="P191" s="179">
        <v>13.125999999999999</v>
      </c>
      <c r="Q191" s="176"/>
      <c r="R191" s="176" t="s">
        <v>3122</v>
      </c>
      <c r="S191" s="176" t="s">
        <v>2907</v>
      </c>
      <c r="T191" s="180">
        <v>46193.698854166665</v>
      </c>
      <c r="U191" s="176" t="s">
        <v>2716</v>
      </c>
      <c r="V191" s="176" t="s">
        <v>2754</v>
      </c>
    </row>
    <row r="192" spans="1:22">
      <c r="A192" s="175">
        <v>46193</v>
      </c>
      <c r="B192" s="176" t="s">
        <v>3120</v>
      </c>
      <c r="C192" s="176" t="s">
        <v>2734</v>
      </c>
      <c r="D192" s="176"/>
      <c r="E192" s="176" t="s">
        <v>2834</v>
      </c>
      <c r="F192" s="177"/>
      <c r="G192" s="177" t="s">
        <v>2735</v>
      </c>
      <c r="H192" s="176" t="s">
        <v>2735</v>
      </c>
      <c r="I192" s="178">
        <v>0.91600000000000004</v>
      </c>
      <c r="J192" s="176" t="s">
        <v>2874</v>
      </c>
      <c r="K192" s="176" t="s">
        <v>250</v>
      </c>
      <c r="L192" s="176" t="s">
        <v>2856</v>
      </c>
      <c r="M192" s="179">
        <v>30.106999999999999</v>
      </c>
      <c r="N192" s="179">
        <v>27.577999999999999</v>
      </c>
      <c r="O192" s="179">
        <v>0.7</v>
      </c>
      <c r="P192" s="179">
        <v>27.788799999999998</v>
      </c>
      <c r="Q192" s="176"/>
      <c r="R192" s="176" t="s">
        <v>3122</v>
      </c>
      <c r="S192" s="176" t="s">
        <v>2907</v>
      </c>
      <c r="T192" s="180">
        <v>46193.698854166665</v>
      </c>
      <c r="U192" s="176" t="s">
        <v>2829</v>
      </c>
      <c r="V192" s="176" t="s">
        <v>2830</v>
      </c>
    </row>
    <row r="193" spans="1:22">
      <c r="A193" s="175">
        <v>46193</v>
      </c>
      <c r="B193" s="176" t="s">
        <v>3120</v>
      </c>
      <c r="C193" s="176" t="s">
        <v>2734</v>
      </c>
      <c r="D193" s="176"/>
      <c r="E193" s="176" t="s">
        <v>2834</v>
      </c>
      <c r="F193" s="177"/>
      <c r="G193" s="177" t="s">
        <v>2735</v>
      </c>
      <c r="H193" s="176" t="s">
        <v>2735</v>
      </c>
      <c r="I193" s="178">
        <v>0.91600000000000004</v>
      </c>
      <c r="J193" s="176" t="s">
        <v>2874</v>
      </c>
      <c r="K193" s="176" t="s">
        <v>250</v>
      </c>
      <c r="L193" s="176" t="s">
        <v>2856</v>
      </c>
      <c r="M193" s="179">
        <v>30.111000000000001</v>
      </c>
      <c r="N193" s="179">
        <v>27.581700000000001</v>
      </c>
      <c r="O193" s="179">
        <v>0.7</v>
      </c>
      <c r="P193" s="179">
        <v>27.7925</v>
      </c>
      <c r="Q193" s="176"/>
      <c r="R193" s="176" t="s">
        <v>3122</v>
      </c>
      <c r="S193" s="176" t="s">
        <v>2907</v>
      </c>
      <c r="T193" s="180">
        <v>46193.698854166665</v>
      </c>
      <c r="U193" s="176" t="s">
        <v>2829</v>
      </c>
      <c r="V193" s="176" t="s">
        <v>2830</v>
      </c>
    </row>
    <row r="194" spans="1:22">
      <c r="A194" s="175">
        <v>46193</v>
      </c>
      <c r="B194" s="176" t="s">
        <v>3120</v>
      </c>
      <c r="C194" s="176" t="s">
        <v>2734</v>
      </c>
      <c r="D194" s="176"/>
      <c r="E194" s="176" t="s">
        <v>2834</v>
      </c>
      <c r="F194" s="177"/>
      <c r="G194" s="177" t="s">
        <v>2735</v>
      </c>
      <c r="H194" s="176" t="s">
        <v>2735</v>
      </c>
      <c r="I194" s="178">
        <v>0.91600000000000004</v>
      </c>
      <c r="J194" s="176" t="s">
        <v>2874</v>
      </c>
      <c r="K194" s="176" t="s">
        <v>250</v>
      </c>
      <c r="L194" s="176" t="s">
        <v>2856</v>
      </c>
      <c r="M194" s="179">
        <v>30.119</v>
      </c>
      <c r="N194" s="179">
        <v>27.588999999999999</v>
      </c>
      <c r="O194" s="179">
        <v>0.7</v>
      </c>
      <c r="P194" s="179">
        <v>27.799800000000001</v>
      </c>
      <c r="Q194" s="176"/>
      <c r="R194" s="176" t="s">
        <v>3122</v>
      </c>
      <c r="S194" s="176" t="s">
        <v>2907</v>
      </c>
      <c r="T194" s="180">
        <v>46193.698854166665</v>
      </c>
      <c r="U194" s="176" t="s">
        <v>2829</v>
      </c>
      <c r="V194" s="176" t="s">
        <v>2830</v>
      </c>
    </row>
    <row r="195" spans="1:22">
      <c r="A195" s="175">
        <v>46193</v>
      </c>
      <c r="B195" s="176" t="s">
        <v>3120</v>
      </c>
      <c r="C195" s="176" t="s">
        <v>2734</v>
      </c>
      <c r="D195" s="176"/>
      <c r="E195" s="176" t="s">
        <v>2834</v>
      </c>
      <c r="F195" s="177"/>
      <c r="G195" s="177" t="s">
        <v>2735</v>
      </c>
      <c r="H195" s="176" t="s">
        <v>2735</v>
      </c>
      <c r="I195" s="178">
        <v>0.91600000000000004</v>
      </c>
      <c r="J195" s="176" t="s">
        <v>3121</v>
      </c>
      <c r="K195" s="176" t="s">
        <v>250</v>
      </c>
      <c r="L195" s="176" t="s">
        <v>2856</v>
      </c>
      <c r="M195" s="179">
        <v>14.102</v>
      </c>
      <c r="N195" s="179">
        <v>12.917400000000001</v>
      </c>
      <c r="O195" s="179">
        <v>0.7</v>
      </c>
      <c r="P195" s="179">
        <v>13.0161</v>
      </c>
      <c r="Q195" s="176"/>
      <c r="R195" s="176" t="s">
        <v>3122</v>
      </c>
      <c r="S195" s="176" t="s">
        <v>2907</v>
      </c>
      <c r="T195" s="180">
        <v>46193.698854166665</v>
      </c>
      <c r="U195" s="176" t="s">
        <v>2716</v>
      </c>
      <c r="V195" s="176" t="s">
        <v>2754</v>
      </c>
    </row>
    <row r="196" spans="1:22">
      <c r="A196" s="175">
        <v>46193</v>
      </c>
      <c r="B196" s="176" t="s">
        <v>3120</v>
      </c>
      <c r="C196" s="176" t="s">
        <v>2734</v>
      </c>
      <c r="D196" s="176"/>
      <c r="E196" s="176" t="s">
        <v>2834</v>
      </c>
      <c r="F196" s="177"/>
      <c r="G196" s="177" t="s">
        <v>2735</v>
      </c>
      <c r="H196" s="176" t="s">
        <v>2735</v>
      </c>
      <c r="I196" s="178">
        <v>0.91600000000000004</v>
      </c>
      <c r="J196" s="176" t="s">
        <v>3121</v>
      </c>
      <c r="K196" s="176" t="s">
        <v>250</v>
      </c>
      <c r="L196" s="176" t="s">
        <v>2856</v>
      </c>
      <c r="M196" s="179">
        <v>14.266</v>
      </c>
      <c r="N196" s="179">
        <v>13.0677</v>
      </c>
      <c r="O196" s="179">
        <v>0.7</v>
      </c>
      <c r="P196" s="179">
        <v>13.1675</v>
      </c>
      <c r="Q196" s="176"/>
      <c r="R196" s="176" t="s">
        <v>3122</v>
      </c>
      <c r="S196" s="176" t="s">
        <v>2907</v>
      </c>
      <c r="T196" s="180">
        <v>46193.698854166665</v>
      </c>
      <c r="U196" s="176" t="s">
        <v>2716</v>
      </c>
      <c r="V196" s="176" t="s">
        <v>2754</v>
      </c>
    </row>
    <row r="197" spans="1:22">
      <c r="A197" s="175">
        <v>46193</v>
      </c>
      <c r="B197" s="176" t="s">
        <v>3120</v>
      </c>
      <c r="C197" s="176" t="s">
        <v>2734</v>
      </c>
      <c r="D197" s="176"/>
      <c r="E197" s="176" t="s">
        <v>2834</v>
      </c>
      <c r="F197" s="177"/>
      <c r="G197" s="177" t="s">
        <v>2735</v>
      </c>
      <c r="H197" s="176" t="s">
        <v>2735</v>
      </c>
      <c r="I197" s="178">
        <v>0.91600000000000004</v>
      </c>
      <c r="J197" s="176" t="s">
        <v>3121</v>
      </c>
      <c r="K197" s="176" t="s">
        <v>250</v>
      </c>
      <c r="L197" s="176" t="s">
        <v>2856</v>
      </c>
      <c r="M197" s="179">
        <v>14.074999999999999</v>
      </c>
      <c r="N197" s="179">
        <v>12.8927</v>
      </c>
      <c r="O197" s="179">
        <v>0.7</v>
      </c>
      <c r="P197" s="179">
        <v>12.991199999999999</v>
      </c>
      <c r="Q197" s="176"/>
      <c r="R197" s="176" t="s">
        <v>3122</v>
      </c>
      <c r="S197" s="176" t="s">
        <v>2907</v>
      </c>
      <c r="T197" s="180">
        <v>46193.698854166665</v>
      </c>
      <c r="U197" s="176" t="s">
        <v>2716</v>
      </c>
      <c r="V197" s="176" t="s">
        <v>2754</v>
      </c>
    </row>
    <row r="198" spans="1:22">
      <c r="A198" s="175">
        <v>46193</v>
      </c>
      <c r="B198" s="176" t="s">
        <v>3120</v>
      </c>
      <c r="C198" s="176" t="s">
        <v>2734</v>
      </c>
      <c r="D198" s="176"/>
      <c r="E198" s="176" t="s">
        <v>2834</v>
      </c>
      <c r="F198" s="177"/>
      <c r="G198" s="177" t="s">
        <v>2735</v>
      </c>
      <c r="H198" s="176" t="s">
        <v>2735</v>
      </c>
      <c r="I198" s="178">
        <v>0.91600000000000004</v>
      </c>
      <c r="J198" s="176" t="s">
        <v>3121</v>
      </c>
      <c r="K198" s="176" t="s">
        <v>250</v>
      </c>
      <c r="L198" s="176" t="s">
        <v>2856</v>
      </c>
      <c r="M198" s="179">
        <v>14.045999999999999</v>
      </c>
      <c r="N198" s="179">
        <v>12.866099999999999</v>
      </c>
      <c r="O198" s="179">
        <v>0.7</v>
      </c>
      <c r="P198" s="179">
        <v>12.964499999999999</v>
      </c>
      <c r="Q198" s="176"/>
      <c r="R198" s="176" t="s">
        <v>3122</v>
      </c>
      <c r="S198" s="176" t="s">
        <v>2907</v>
      </c>
      <c r="T198" s="180">
        <v>46193.698854166665</v>
      </c>
      <c r="U198" s="176" t="s">
        <v>2716</v>
      </c>
      <c r="V198" s="176" t="s">
        <v>2754</v>
      </c>
    </row>
    <row r="199" spans="1:22">
      <c r="A199" s="175">
        <v>46193</v>
      </c>
      <c r="B199" s="176" t="s">
        <v>3120</v>
      </c>
      <c r="C199" s="176" t="s">
        <v>2734</v>
      </c>
      <c r="D199" s="176"/>
      <c r="E199" s="176" t="s">
        <v>2834</v>
      </c>
      <c r="F199" s="177"/>
      <c r="G199" s="177" t="s">
        <v>2735</v>
      </c>
      <c r="H199" s="176" t="s">
        <v>2735</v>
      </c>
      <c r="I199" s="178">
        <v>0.91600000000000004</v>
      </c>
      <c r="J199" s="176" t="s">
        <v>3121</v>
      </c>
      <c r="K199" s="176" t="s">
        <v>250</v>
      </c>
      <c r="L199" s="176" t="s">
        <v>2856</v>
      </c>
      <c r="M199" s="179">
        <v>14.314</v>
      </c>
      <c r="N199" s="179">
        <v>13.111599999999999</v>
      </c>
      <c r="O199" s="179">
        <v>0.7</v>
      </c>
      <c r="P199" s="179">
        <v>13.2118</v>
      </c>
      <c r="Q199" s="176"/>
      <c r="R199" s="176" t="s">
        <v>3122</v>
      </c>
      <c r="S199" s="176" t="s">
        <v>2907</v>
      </c>
      <c r="T199" s="180">
        <v>46193.698854166665</v>
      </c>
      <c r="U199" s="176" t="s">
        <v>2716</v>
      </c>
      <c r="V199" s="176" t="s">
        <v>2754</v>
      </c>
    </row>
    <row r="200" spans="1:22">
      <c r="A200" s="175">
        <v>46193</v>
      </c>
      <c r="B200" s="176" t="s">
        <v>3124</v>
      </c>
      <c r="C200" s="176" t="s">
        <v>2734</v>
      </c>
      <c r="D200" s="176"/>
      <c r="E200" s="176" t="s">
        <v>258</v>
      </c>
      <c r="F200" s="177"/>
      <c r="G200" s="177" t="s">
        <v>2735</v>
      </c>
      <c r="H200" s="176" t="s">
        <v>2735</v>
      </c>
      <c r="I200" s="178">
        <v>0.91800000000000004</v>
      </c>
      <c r="J200" s="176" t="s">
        <v>3125</v>
      </c>
      <c r="K200" s="176" t="s">
        <v>250</v>
      </c>
      <c r="L200" s="176" t="s">
        <v>2804</v>
      </c>
      <c r="M200" s="179">
        <v>14.291</v>
      </c>
      <c r="N200" s="179">
        <v>13.1191</v>
      </c>
      <c r="O200" s="179">
        <v>0</v>
      </c>
      <c r="P200" s="179">
        <v>13.1191</v>
      </c>
      <c r="Q200" s="176" t="s">
        <v>3126</v>
      </c>
      <c r="R200" s="176" t="s">
        <v>3126</v>
      </c>
      <c r="S200" s="176" t="s">
        <v>2841</v>
      </c>
      <c r="T200" s="180">
        <v>46193.643368055556</v>
      </c>
      <c r="U200" s="176" t="s">
        <v>2766</v>
      </c>
      <c r="V200" s="176" t="s">
        <v>2801</v>
      </c>
    </row>
    <row r="201" spans="1:22">
      <c r="A201" s="175">
        <v>46193</v>
      </c>
      <c r="B201" s="176" t="s">
        <v>3124</v>
      </c>
      <c r="C201" s="176" t="s">
        <v>2734</v>
      </c>
      <c r="D201" s="176"/>
      <c r="E201" s="176" t="s">
        <v>258</v>
      </c>
      <c r="F201" s="177"/>
      <c r="G201" s="177" t="s">
        <v>2735</v>
      </c>
      <c r="H201" s="176" t="s">
        <v>2735</v>
      </c>
      <c r="I201" s="178">
        <v>0.91800000000000004</v>
      </c>
      <c r="J201" s="176" t="s">
        <v>3127</v>
      </c>
      <c r="K201" s="176" t="s">
        <v>250</v>
      </c>
      <c r="L201" s="176" t="s">
        <v>2804</v>
      </c>
      <c r="M201" s="179">
        <v>13.51</v>
      </c>
      <c r="N201" s="179">
        <v>12.402200000000001</v>
      </c>
      <c r="O201" s="179">
        <v>0</v>
      </c>
      <c r="P201" s="179">
        <v>12.402200000000001</v>
      </c>
      <c r="Q201" s="176" t="s">
        <v>3128</v>
      </c>
      <c r="R201" s="176" t="s">
        <v>3128</v>
      </c>
      <c r="S201" s="176" t="s">
        <v>2841</v>
      </c>
      <c r="T201" s="180">
        <v>46193.643368055556</v>
      </c>
      <c r="U201" s="176" t="s">
        <v>2766</v>
      </c>
      <c r="V201" s="176" t="s">
        <v>2948</v>
      </c>
    </row>
    <row r="202" spans="1:22">
      <c r="A202" s="175">
        <v>46193</v>
      </c>
      <c r="B202" s="176" t="s">
        <v>3129</v>
      </c>
      <c r="C202" s="176" t="s">
        <v>2734</v>
      </c>
      <c r="D202" s="176"/>
      <c r="E202" s="176" t="s">
        <v>257</v>
      </c>
      <c r="F202" s="177"/>
      <c r="G202" s="177" t="s">
        <v>2735</v>
      </c>
      <c r="H202" s="176" t="s">
        <v>2735</v>
      </c>
      <c r="I202" s="178">
        <v>0.91800000000000004</v>
      </c>
      <c r="J202" s="176" t="s">
        <v>3130</v>
      </c>
      <c r="K202" s="176" t="s">
        <v>250</v>
      </c>
      <c r="L202" s="176" t="s">
        <v>2804</v>
      </c>
      <c r="M202" s="179">
        <v>8.1489999999999991</v>
      </c>
      <c r="N202" s="179">
        <v>7.4808000000000003</v>
      </c>
      <c r="O202" s="179">
        <v>0</v>
      </c>
      <c r="P202" s="179">
        <v>7.4808000000000003</v>
      </c>
      <c r="Q202" s="176"/>
      <c r="R202" s="176" t="s">
        <v>3131</v>
      </c>
      <c r="S202" s="176" t="s">
        <v>2841</v>
      </c>
      <c r="T202" s="180">
        <v>46193.640960648147</v>
      </c>
      <c r="U202" s="176" t="s">
        <v>2846</v>
      </c>
      <c r="V202" s="176" t="s">
        <v>2859</v>
      </c>
    </row>
    <row r="203" spans="1:22">
      <c r="A203" s="175">
        <v>46193</v>
      </c>
      <c r="B203" s="176" t="s">
        <v>3129</v>
      </c>
      <c r="C203" s="176" t="s">
        <v>2734</v>
      </c>
      <c r="D203" s="176"/>
      <c r="E203" s="176" t="s">
        <v>257</v>
      </c>
      <c r="F203" s="177"/>
      <c r="G203" s="177" t="s">
        <v>2735</v>
      </c>
      <c r="H203" s="176" t="s">
        <v>2735</v>
      </c>
      <c r="I203" s="178">
        <v>0.91800000000000004</v>
      </c>
      <c r="J203" s="176" t="s">
        <v>2867</v>
      </c>
      <c r="K203" s="176" t="s">
        <v>250</v>
      </c>
      <c r="L203" s="176" t="s">
        <v>2804</v>
      </c>
      <c r="M203" s="179">
        <v>7.95</v>
      </c>
      <c r="N203" s="179">
        <v>7.2980999999999998</v>
      </c>
      <c r="O203" s="179">
        <v>0</v>
      </c>
      <c r="P203" s="179">
        <v>7.2980999999999998</v>
      </c>
      <c r="Q203" s="176" t="s">
        <v>3131</v>
      </c>
      <c r="R203" s="176" t="s">
        <v>3131</v>
      </c>
      <c r="S203" s="176" t="s">
        <v>2841</v>
      </c>
      <c r="T203" s="180">
        <v>46193.640960648147</v>
      </c>
      <c r="U203" s="176" t="s">
        <v>2798</v>
      </c>
      <c r="V203" s="176" t="s">
        <v>2799</v>
      </c>
    </row>
    <row r="204" spans="1:22">
      <c r="A204" s="175">
        <v>46193</v>
      </c>
      <c r="B204" s="176" t="s">
        <v>3129</v>
      </c>
      <c r="C204" s="176" t="s">
        <v>2734</v>
      </c>
      <c r="D204" s="176"/>
      <c r="E204" s="176" t="s">
        <v>257</v>
      </c>
      <c r="F204" s="177"/>
      <c r="G204" s="177" t="s">
        <v>2735</v>
      </c>
      <c r="H204" s="176" t="s">
        <v>2735</v>
      </c>
      <c r="I204" s="178">
        <v>0.91800000000000004</v>
      </c>
      <c r="J204" s="176" t="s">
        <v>3132</v>
      </c>
      <c r="K204" s="176" t="s">
        <v>250</v>
      </c>
      <c r="L204" s="176" t="s">
        <v>2804</v>
      </c>
      <c r="M204" s="179">
        <v>7.55</v>
      </c>
      <c r="N204" s="179">
        <v>6.9309000000000003</v>
      </c>
      <c r="O204" s="179">
        <v>0</v>
      </c>
      <c r="P204" s="179">
        <v>6.9309000000000003</v>
      </c>
      <c r="Q204" s="176" t="s">
        <v>3131</v>
      </c>
      <c r="R204" s="176" t="s">
        <v>3131</v>
      </c>
      <c r="S204" s="176" t="s">
        <v>2841</v>
      </c>
      <c r="T204" s="180">
        <v>46193.640960648147</v>
      </c>
      <c r="U204" s="176" t="s">
        <v>2846</v>
      </c>
      <c r="V204" s="176" t="s">
        <v>2859</v>
      </c>
    </row>
    <row r="205" spans="1:22">
      <c r="A205" s="175">
        <v>46193</v>
      </c>
      <c r="B205" s="176" t="s">
        <v>3129</v>
      </c>
      <c r="C205" s="176" t="s">
        <v>2734</v>
      </c>
      <c r="D205" s="176"/>
      <c r="E205" s="176" t="s">
        <v>257</v>
      </c>
      <c r="F205" s="177"/>
      <c r="G205" s="177" t="s">
        <v>2735</v>
      </c>
      <c r="H205" s="176" t="s">
        <v>2735</v>
      </c>
      <c r="I205" s="178">
        <v>0.91800000000000004</v>
      </c>
      <c r="J205" s="176" t="s">
        <v>2867</v>
      </c>
      <c r="K205" s="176" t="s">
        <v>250</v>
      </c>
      <c r="L205" s="176" t="s">
        <v>2804</v>
      </c>
      <c r="M205" s="179">
        <v>14.013</v>
      </c>
      <c r="N205" s="179">
        <v>12.863899999999999</v>
      </c>
      <c r="O205" s="179">
        <v>0</v>
      </c>
      <c r="P205" s="179">
        <v>12.863899999999999</v>
      </c>
      <c r="Q205" s="176" t="s">
        <v>3131</v>
      </c>
      <c r="R205" s="176" t="s">
        <v>3131</v>
      </c>
      <c r="S205" s="176" t="s">
        <v>2841</v>
      </c>
      <c r="T205" s="180">
        <v>46193.640960648147</v>
      </c>
      <c r="U205" s="176" t="s">
        <v>2798</v>
      </c>
      <c r="V205" s="176" t="s">
        <v>2799</v>
      </c>
    </row>
    <row r="206" spans="1:22">
      <c r="A206" s="175">
        <v>46193</v>
      </c>
      <c r="B206" s="176" t="s">
        <v>3133</v>
      </c>
      <c r="C206" s="176" t="s">
        <v>2734</v>
      </c>
      <c r="D206" s="176"/>
      <c r="E206" s="176" t="s">
        <v>276</v>
      </c>
      <c r="F206" s="177"/>
      <c r="G206" s="177" t="s">
        <v>2735</v>
      </c>
      <c r="H206" s="176" t="s">
        <v>2735</v>
      </c>
      <c r="I206" s="178">
        <v>0.75</v>
      </c>
      <c r="J206" s="176" t="s">
        <v>3134</v>
      </c>
      <c r="K206" s="176" t="s">
        <v>253</v>
      </c>
      <c r="L206" s="176" t="s">
        <v>282</v>
      </c>
      <c r="M206" s="179">
        <v>17.666</v>
      </c>
      <c r="N206" s="179">
        <v>13.249499999999999</v>
      </c>
      <c r="O206" s="179">
        <v>0</v>
      </c>
      <c r="P206" s="179">
        <v>13.249499999999999</v>
      </c>
      <c r="Q206" s="176"/>
      <c r="R206" s="176" t="s">
        <v>3135</v>
      </c>
      <c r="S206" s="176" t="s">
        <v>2907</v>
      </c>
      <c r="T206" s="180">
        <v>46193.640844907408</v>
      </c>
      <c r="U206" s="176" t="s">
        <v>2800</v>
      </c>
      <c r="V206" s="176" t="s">
        <v>2797</v>
      </c>
    </row>
    <row r="207" spans="1:22">
      <c r="A207" s="175">
        <v>46193</v>
      </c>
      <c r="B207" s="176" t="s">
        <v>3133</v>
      </c>
      <c r="C207" s="176" t="s">
        <v>2734</v>
      </c>
      <c r="D207" s="176"/>
      <c r="E207" s="176" t="s">
        <v>276</v>
      </c>
      <c r="F207" s="177"/>
      <c r="G207" s="177" t="s">
        <v>2735</v>
      </c>
      <c r="H207" s="176" t="s">
        <v>2735</v>
      </c>
      <c r="I207" s="178">
        <v>0.75</v>
      </c>
      <c r="J207" s="176" t="s">
        <v>3136</v>
      </c>
      <c r="K207" s="176" t="s">
        <v>253</v>
      </c>
      <c r="L207" s="176" t="s">
        <v>282</v>
      </c>
      <c r="M207" s="179">
        <v>19.207999999999998</v>
      </c>
      <c r="N207" s="179">
        <v>14.406000000000001</v>
      </c>
      <c r="O207" s="179">
        <v>0</v>
      </c>
      <c r="P207" s="179">
        <v>14.406000000000001</v>
      </c>
      <c r="Q207" s="176"/>
      <c r="R207" s="176" t="s">
        <v>3135</v>
      </c>
      <c r="S207" s="176" t="s">
        <v>2907</v>
      </c>
      <c r="T207" s="180">
        <v>46193.640844907408</v>
      </c>
      <c r="U207" s="176" t="s">
        <v>2800</v>
      </c>
      <c r="V207" s="176" t="s">
        <v>2797</v>
      </c>
    </row>
    <row r="208" spans="1:22">
      <c r="A208" s="175">
        <v>46193</v>
      </c>
      <c r="B208" s="176" t="s">
        <v>3133</v>
      </c>
      <c r="C208" s="176" t="s">
        <v>2734</v>
      </c>
      <c r="D208" s="176"/>
      <c r="E208" s="176" t="s">
        <v>276</v>
      </c>
      <c r="F208" s="177"/>
      <c r="G208" s="177" t="s">
        <v>2735</v>
      </c>
      <c r="H208" s="176" t="s">
        <v>2735</v>
      </c>
      <c r="I208" s="178">
        <v>0.75</v>
      </c>
      <c r="J208" s="176" t="s">
        <v>3137</v>
      </c>
      <c r="K208" s="176" t="s">
        <v>253</v>
      </c>
      <c r="L208" s="176" t="s">
        <v>282</v>
      </c>
      <c r="M208" s="179">
        <v>15.148999999999999</v>
      </c>
      <c r="N208" s="179">
        <v>11.361800000000001</v>
      </c>
      <c r="O208" s="179">
        <v>0</v>
      </c>
      <c r="P208" s="179">
        <v>11.361800000000001</v>
      </c>
      <c r="Q208" s="176"/>
      <c r="R208" s="176" t="s">
        <v>3135</v>
      </c>
      <c r="S208" s="176" t="s">
        <v>2907</v>
      </c>
      <c r="T208" s="180">
        <v>46193.640844907408</v>
      </c>
      <c r="U208" s="176" t="s">
        <v>2800</v>
      </c>
      <c r="V208" s="176" t="s">
        <v>2797</v>
      </c>
    </row>
    <row r="209" spans="1:22">
      <c r="A209" s="175">
        <v>46193</v>
      </c>
      <c r="B209" s="176" t="s">
        <v>3133</v>
      </c>
      <c r="C209" s="176" t="s">
        <v>2734</v>
      </c>
      <c r="D209" s="176"/>
      <c r="E209" s="176" t="s">
        <v>276</v>
      </c>
      <c r="F209" s="177"/>
      <c r="G209" s="177" t="s">
        <v>2735</v>
      </c>
      <c r="H209" s="176" t="s">
        <v>2735</v>
      </c>
      <c r="I209" s="178">
        <v>0.75</v>
      </c>
      <c r="J209" s="176" t="s">
        <v>3138</v>
      </c>
      <c r="K209" s="176" t="s">
        <v>253</v>
      </c>
      <c r="L209" s="176" t="s">
        <v>282</v>
      </c>
      <c r="M209" s="179">
        <v>29.745999999999999</v>
      </c>
      <c r="N209" s="179">
        <v>22.3095</v>
      </c>
      <c r="O209" s="179">
        <v>0</v>
      </c>
      <c r="P209" s="179">
        <v>22.3095</v>
      </c>
      <c r="Q209" s="176"/>
      <c r="R209" s="176" t="s">
        <v>3135</v>
      </c>
      <c r="S209" s="176" t="s">
        <v>2907</v>
      </c>
      <c r="T209" s="180">
        <v>46193.640844907408</v>
      </c>
      <c r="U209" s="176" t="s">
        <v>2800</v>
      </c>
      <c r="V209" s="176" t="s">
        <v>2797</v>
      </c>
    </row>
    <row r="210" spans="1:22">
      <c r="A210" s="175">
        <v>46193</v>
      </c>
      <c r="B210" s="176" t="s">
        <v>3133</v>
      </c>
      <c r="C210" s="176" t="s">
        <v>2734</v>
      </c>
      <c r="D210" s="176"/>
      <c r="E210" s="176" t="s">
        <v>276</v>
      </c>
      <c r="F210" s="177"/>
      <c r="G210" s="177" t="s">
        <v>2735</v>
      </c>
      <c r="H210" s="176" t="s">
        <v>2735</v>
      </c>
      <c r="I210" s="178">
        <v>0.75</v>
      </c>
      <c r="J210" s="176" t="s">
        <v>3139</v>
      </c>
      <c r="K210" s="176" t="s">
        <v>253</v>
      </c>
      <c r="L210" s="176" t="s">
        <v>282</v>
      </c>
      <c r="M210" s="179">
        <v>19.593</v>
      </c>
      <c r="N210" s="179">
        <v>14.694800000000001</v>
      </c>
      <c r="O210" s="179">
        <v>0</v>
      </c>
      <c r="P210" s="179">
        <v>14.694800000000001</v>
      </c>
      <c r="Q210" s="176"/>
      <c r="R210" s="176" t="s">
        <v>3135</v>
      </c>
      <c r="S210" s="176" t="s">
        <v>2907</v>
      </c>
      <c r="T210" s="180">
        <v>46193.640844907408</v>
      </c>
      <c r="U210" s="176" t="s">
        <v>2800</v>
      </c>
      <c r="V210" s="176" t="s">
        <v>2797</v>
      </c>
    </row>
    <row r="211" spans="1:22">
      <c r="A211" s="175">
        <v>46193</v>
      </c>
      <c r="B211" s="176" t="s">
        <v>3140</v>
      </c>
      <c r="C211" s="176" t="s">
        <v>2734</v>
      </c>
      <c r="D211" s="176"/>
      <c r="E211" s="176" t="s">
        <v>257</v>
      </c>
      <c r="F211" s="177"/>
      <c r="G211" s="177" t="s">
        <v>2735</v>
      </c>
      <c r="H211" s="176" t="s">
        <v>2735</v>
      </c>
      <c r="I211" s="178">
        <v>0.91800000000000004</v>
      </c>
      <c r="J211" s="176" t="s">
        <v>2926</v>
      </c>
      <c r="K211" s="176" t="s">
        <v>250</v>
      </c>
      <c r="L211" s="176" t="s">
        <v>2804</v>
      </c>
      <c r="M211" s="179">
        <v>35.209000000000003</v>
      </c>
      <c r="N211" s="179">
        <v>32.321899999999999</v>
      </c>
      <c r="O211" s="179">
        <v>0</v>
      </c>
      <c r="P211" s="179">
        <v>32.321899999999999</v>
      </c>
      <c r="Q211" s="176"/>
      <c r="R211" s="176" t="s">
        <v>3141</v>
      </c>
      <c r="S211" s="176" t="s">
        <v>2841</v>
      </c>
      <c r="T211" s="180">
        <v>46193.636979166666</v>
      </c>
      <c r="U211" s="176" t="s">
        <v>2766</v>
      </c>
      <c r="V211" s="176" t="s">
        <v>2797</v>
      </c>
    </row>
    <row r="212" spans="1:22">
      <c r="A212" s="175">
        <v>46193</v>
      </c>
      <c r="B212" s="176" t="s">
        <v>3140</v>
      </c>
      <c r="C212" s="176" t="s">
        <v>2734</v>
      </c>
      <c r="D212" s="176"/>
      <c r="E212" s="176" t="s">
        <v>257</v>
      </c>
      <c r="F212" s="177"/>
      <c r="G212" s="177" t="s">
        <v>2735</v>
      </c>
      <c r="H212" s="176" t="s">
        <v>2735</v>
      </c>
      <c r="I212" s="178">
        <v>0.91800000000000004</v>
      </c>
      <c r="J212" s="176" t="s">
        <v>3142</v>
      </c>
      <c r="K212" s="176" t="s">
        <v>250</v>
      </c>
      <c r="L212" s="176" t="s">
        <v>2804</v>
      </c>
      <c r="M212" s="179">
        <v>50.731999999999999</v>
      </c>
      <c r="N212" s="179">
        <v>46.572000000000003</v>
      </c>
      <c r="O212" s="179">
        <v>0</v>
      </c>
      <c r="P212" s="179">
        <v>46.572000000000003</v>
      </c>
      <c r="Q212" s="176" t="s">
        <v>3143</v>
      </c>
      <c r="R212" s="176" t="s">
        <v>3143</v>
      </c>
      <c r="S212" s="176" t="s">
        <v>2841</v>
      </c>
      <c r="T212" s="180">
        <v>46193.636979166666</v>
      </c>
      <c r="U212" s="176" t="s">
        <v>2850</v>
      </c>
      <c r="V212" s="176" t="s">
        <v>2797</v>
      </c>
    </row>
    <row r="213" spans="1:22">
      <c r="A213" s="175">
        <v>46193</v>
      </c>
      <c r="B213" s="176" t="s">
        <v>3140</v>
      </c>
      <c r="C213" s="176" t="s">
        <v>2734</v>
      </c>
      <c r="D213" s="176"/>
      <c r="E213" s="176" t="s">
        <v>257</v>
      </c>
      <c r="F213" s="177"/>
      <c r="G213" s="177" t="s">
        <v>2735</v>
      </c>
      <c r="H213" s="176" t="s">
        <v>2735</v>
      </c>
      <c r="I213" s="178">
        <v>0.91800000000000004</v>
      </c>
      <c r="J213" s="176" t="s">
        <v>2822</v>
      </c>
      <c r="K213" s="176" t="s">
        <v>250</v>
      </c>
      <c r="L213" s="176" t="s">
        <v>2804</v>
      </c>
      <c r="M213" s="179">
        <v>14.736000000000001</v>
      </c>
      <c r="N213" s="179">
        <v>13.5276</v>
      </c>
      <c r="O213" s="179">
        <v>0</v>
      </c>
      <c r="P213" s="179">
        <v>13.5276</v>
      </c>
      <c r="Q213" s="176" t="s">
        <v>3143</v>
      </c>
      <c r="R213" s="176" t="s">
        <v>3143</v>
      </c>
      <c r="S213" s="176" t="s">
        <v>2841</v>
      </c>
      <c r="T213" s="180">
        <v>46193.636979166666</v>
      </c>
      <c r="U213" s="176" t="s">
        <v>2827</v>
      </c>
      <c r="V213" s="176" t="s">
        <v>2754</v>
      </c>
    </row>
    <row r="214" spans="1:22">
      <c r="A214" s="175">
        <v>46193</v>
      </c>
      <c r="B214" s="176" t="s">
        <v>3140</v>
      </c>
      <c r="C214" s="176" t="s">
        <v>2734</v>
      </c>
      <c r="D214" s="176"/>
      <c r="E214" s="176" t="s">
        <v>257</v>
      </c>
      <c r="F214" s="177"/>
      <c r="G214" s="177" t="s">
        <v>2735</v>
      </c>
      <c r="H214" s="176" t="s">
        <v>2735</v>
      </c>
      <c r="I214" s="178">
        <v>0.91800000000000004</v>
      </c>
      <c r="J214" s="176" t="s">
        <v>2895</v>
      </c>
      <c r="K214" s="176" t="s">
        <v>250</v>
      </c>
      <c r="L214" s="176" t="s">
        <v>2804</v>
      </c>
      <c r="M214" s="179">
        <v>8.8840000000000003</v>
      </c>
      <c r="N214" s="179">
        <v>8.1555</v>
      </c>
      <c r="O214" s="179">
        <v>0</v>
      </c>
      <c r="P214" s="179">
        <v>8.1555</v>
      </c>
      <c r="Q214" s="176" t="s">
        <v>3144</v>
      </c>
      <c r="R214" s="176" t="s">
        <v>3144</v>
      </c>
      <c r="S214" s="176" t="s">
        <v>2841</v>
      </c>
      <c r="T214" s="180">
        <v>46193.636979166666</v>
      </c>
      <c r="U214" s="176" t="s">
        <v>2842</v>
      </c>
      <c r="V214" s="176" t="s">
        <v>2843</v>
      </c>
    </row>
    <row r="215" spans="1:22">
      <c r="A215" s="175">
        <v>46193</v>
      </c>
      <c r="B215" s="176" t="s">
        <v>3140</v>
      </c>
      <c r="C215" s="176" t="s">
        <v>2734</v>
      </c>
      <c r="D215" s="176"/>
      <c r="E215" s="176" t="s">
        <v>257</v>
      </c>
      <c r="F215" s="177"/>
      <c r="G215" s="177" t="s">
        <v>2735</v>
      </c>
      <c r="H215" s="176" t="s">
        <v>2735</v>
      </c>
      <c r="I215" s="178">
        <v>0.91800000000000004</v>
      </c>
      <c r="J215" s="176" t="s">
        <v>2822</v>
      </c>
      <c r="K215" s="176" t="s">
        <v>250</v>
      </c>
      <c r="L215" s="176" t="s">
        <v>2804</v>
      </c>
      <c r="M215" s="179">
        <v>21.295999999999999</v>
      </c>
      <c r="N215" s="179">
        <v>19.549700000000001</v>
      </c>
      <c r="O215" s="179">
        <v>0</v>
      </c>
      <c r="P215" s="179">
        <v>19.549700000000001</v>
      </c>
      <c r="Q215" s="176" t="s">
        <v>3143</v>
      </c>
      <c r="R215" s="176" t="s">
        <v>3143</v>
      </c>
      <c r="S215" s="176" t="s">
        <v>2841</v>
      </c>
      <c r="T215" s="180">
        <v>46193.636979166666</v>
      </c>
      <c r="U215" s="176" t="s">
        <v>2827</v>
      </c>
      <c r="V215" s="176" t="s">
        <v>2754</v>
      </c>
    </row>
    <row r="216" spans="1:22">
      <c r="A216" s="175">
        <v>46193</v>
      </c>
      <c r="B216" s="176" t="s">
        <v>3140</v>
      </c>
      <c r="C216" s="176" t="s">
        <v>2734</v>
      </c>
      <c r="D216" s="176"/>
      <c r="E216" s="176" t="s">
        <v>257</v>
      </c>
      <c r="F216" s="177"/>
      <c r="G216" s="177" t="s">
        <v>2735</v>
      </c>
      <c r="H216" s="176" t="s">
        <v>2735</v>
      </c>
      <c r="I216" s="178">
        <v>0.91800000000000004</v>
      </c>
      <c r="J216" s="176" t="s">
        <v>3145</v>
      </c>
      <c r="K216" s="176" t="s">
        <v>250</v>
      </c>
      <c r="L216" s="176" t="s">
        <v>2804</v>
      </c>
      <c r="M216" s="179">
        <v>48.677</v>
      </c>
      <c r="N216" s="179">
        <v>44.685499999999998</v>
      </c>
      <c r="O216" s="179">
        <v>0</v>
      </c>
      <c r="P216" s="179">
        <v>44.685499999999998</v>
      </c>
      <c r="Q216" s="176" t="s">
        <v>3143</v>
      </c>
      <c r="R216" s="176" t="s">
        <v>3143</v>
      </c>
      <c r="S216" s="176" t="s">
        <v>2841</v>
      </c>
      <c r="T216" s="180">
        <v>46193.636979166666</v>
      </c>
      <c r="U216" s="176" t="s">
        <v>2800</v>
      </c>
      <c r="V216" s="176" t="s">
        <v>2797</v>
      </c>
    </row>
    <row r="217" spans="1:22">
      <c r="A217" s="175">
        <v>46193</v>
      </c>
      <c r="B217" s="176" t="s">
        <v>3140</v>
      </c>
      <c r="C217" s="176" t="s">
        <v>2734</v>
      </c>
      <c r="D217" s="176"/>
      <c r="E217" s="176" t="s">
        <v>257</v>
      </c>
      <c r="F217" s="177"/>
      <c r="G217" s="177" t="s">
        <v>2735</v>
      </c>
      <c r="H217" s="176" t="s">
        <v>2735</v>
      </c>
      <c r="I217" s="178">
        <v>0.91800000000000004</v>
      </c>
      <c r="J217" s="176" t="s">
        <v>3146</v>
      </c>
      <c r="K217" s="176" t="s">
        <v>250</v>
      </c>
      <c r="L217" s="176" t="s">
        <v>2804</v>
      </c>
      <c r="M217" s="179">
        <v>63.314</v>
      </c>
      <c r="N217" s="179">
        <v>58.122300000000003</v>
      </c>
      <c r="O217" s="179">
        <v>0</v>
      </c>
      <c r="P217" s="179">
        <v>58.122300000000003</v>
      </c>
      <c r="Q217" s="176" t="s">
        <v>3143</v>
      </c>
      <c r="R217" s="176" t="s">
        <v>3143</v>
      </c>
      <c r="S217" s="176" t="s">
        <v>2841</v>
      </c>
      <c r="T217" s="180">
        <v>46193.636979166666</v>
      </c>
      <c r="U217" s="176" t="s">
        <v>2837</v>
      </c>
      <c r="V217" s="176" t="s">
        <v>2797</v>
      </c>
    </row>
    <row r="218" spans="1:22">
      <c r="A218" s="175">
        <v>46193</v>
      </c>
      <c r="B218" s="176" t="s">
        <v>3140</v>
      </c>
      <c r="C218" s="176" t="s">
        <v>2734</v>
      </c>
      <c r="D218" s="176"/>
      <c r="E218" s="176" t="s">
        <v>257</v>
      </c>
      <c r="F218" s="177"/>
      <c r="G218" s="177" t="s">
        <v>2735</v>
      </c>
      <c r="H218" s="176" t="s">
        <v>2735</v>
      </c>
      <c r="I218" s="178">
        <v>0.91800000000000004</v>
      </c>
      <c r="J218" s="176" t="s">
        <v>2822</v>
      </c>
      <c r="K218" s="176" t="s">
        <v>250</v>
      </c>
      <c r="L218" s="176" t="s">
        <v>2804</v>
      </c>
      <c r="M218" s="179">
        <v>18.010999999999999</v>
      </c>
      <c r="N218" s="179">
        <v>16.534099999999999</v>
      </c>
      <c r="O218" s="179">
        <v>0</v>
      </c>
      <c r="P218" s="179">
        <v>16.534099999999999</v>
      </c>
      <c r="Q218" s="176" t="s">
        <v>3143</v>
      </c>
      <c r="R218" s="176" t="s">
        <v>3143</v>
      </c>
      <c r="S218" s="176" t="s">
        <v>2841</v>
      </c>
      <c r="T218" s="180">
        <v>46193.636979166666</v>
      </c>
      <c r="U218" s="176" t="s">
        <v>2827</v>
      </c>
      <c r="V218" s="176" t="s">
        <v>2754</v>
      </c>
    </row>
    <row r="219" spans="1:22">
      <c r="A219" s="175">
        <v>46193</v>
      </c>
      <c r="B219" s="176" t="s">
        <v>3140</v>
      </c>
      <c r="C219" s="176" t="s">
        <v>2734</v>
      </c>
      <c r="D219" s="176"/>
      <c r="E219" s="176" t="s">
        <v>257</v>
      </c>
      <c r="F219" s="177"/>
      <c r="G219" s="177" t="s">
        <v>2735</v>
      </c>
      <c r="H219" s="176" t="s">
        <v>2735</v>
      </c>
      <c r="I219" s="178">
        <v>0.91800000000000004</v>
      </c>
      <c r="J219" s="176" t="s">
        <v>3147</v>
      </c>
      <c r="K219" s="176" t="s">
        <v>250</v>
      </c>
      <c r="L219" s="176" t="s">
        <v>2804</v>
      </c>
      <c r="M219" s="179">
        <v>17.404</v>
      </c>
      <c r="N219" s="179">
        <v>15.976900000000001</v>
      </c>
      <c r="O219" s="179">
        <v>0</v>
      </c>
      <c r="P219" s="179">
        <v>15.976900000000001</v>
      </c>
      <c r="Q219" s="176" t="s">
        <v>3143</v>
      </c>
      <c r="R219" s="176" t="s">
        <v>3143</v>
      </c>
      <c r="S219" s="176" t="s">
        <v>2841</v>
      </c>
      <c r="T219" s="180">
        <v>46193.636979166666</v>
      </c>
      <c r="U219" s="176" t="s">
        <v>2800</v>
      </c>
      <c r="V219" s="176" t="s">
        <v>2797</v>
      </c>
    </row>
    <row r="220" spans="1:22">
      <c r="A220" s="175">
        <v>46193</v>
      </c>
      <c r="B220" s="176" t="s">
        <v>3140</v>
      </c>
      <c r="C220" s="176" t="s">
        <v>2734</v>
      </c>
      <c r="D220" s="176"/>
      <c r="E220" s="176" t="s">
        <v>257</v>
      </c>
      <c r="F220" s="177"/>
      <c r="G220" s="177" t="s">
        <v>2735</v>
      </c>
      <c r="H220" s="176" t="s">
        <v>2735</v>
      </c>
      <c r="I220" s="178">
        <v>0.91800000000000004</v>
      </c>
      <c r="J220" s="176" t="s">
        <v>3148</v>
      </c>
      <c r="K220" s="176" t="s">
        <v>250</v>
      </c>
      <c r="L220" s="176" t="s">
        <v>2804</v>
      </c>
      <c r="M220" s="179">
        <v>11.43</v>
      </c>
      <c r="N220" s="179">
        <v>10.492699999999999</v>
      </c>
      <c r="O220" s="179">
        <v>0</v>
      </c>
      <c r="P220" s="179">
        <v>10.492699999999999</v>
      </c>
      <c r="Q220" s="176" t="s">
        <v>3144</v>
      </c>
      <c r="R220" s="176" t="s">
        <v>3144</v>
      </c>
      <c r="S220" s="176" t="s">
        <v>2841</v>
      </c>
      <c r="T220" s="180">
        <v>46193.636979166666</v>
      </c>
      <c r="U220" s="176" t="s">
        <v>2842</v>
      </c>
      <c r="V220" s="176" t="s">
        <v>2843</v>
      </c>
    </row>
    <row r="221" spans="1:22">
      <c r="A221" s="175">
        <v>46193</v>
      </c>
      <c r="B221" s="176" t="s">
        <v>3140</v>
      </c>
      <c r="C221" s="176" t="s">
        <v>2734</v>
      </c>
      <c r="D221" s="176"/>
      <c r="E221" s="176" t="s">
        <v>257</v>
      </c>
      <c r="F221" s="177"/>
      <c r="G221" s="177" t="s">
        <v>2735</v>
      </c>
      <c r="H221" s="176" t="s">
        <v>2735</v>
      </c>
      <c r="I221" s="178">
        <v>0.91800000000000004</v>
      </c>
      <c r="J221" s="176" t="s">
        <v>3149</v>
      </c>
      <c r="K221" s="176" t="s">
        <v>250</v>
      </c>
      <c r="L221" s="176" t="s">
        <v>2804</v>
      </c>
      <c r="M221" s="179">
        <v>17.050999999999998</v>
      </c>
      <c r="N221" s="179">
        <v>15.652799999999999</v>
      </c>
      <c r="O221" s="179">
        <v>0</v>
      </c>
      <c r="P221" s="179">
        <v>15.652799999999999</v>
      </c>
      <c r="Q221" s="176" t="s">
        <v>3143</v>
      </c>
      <c r="R221" s="176" t="s">
        <v>3143</v>
      </c>
      <c r="S221" s="176" t="s">
        <v>2841</v>
      </c>
      <c r="T221" s="180">
        <v>46193.636979166666</v>
      </c>
      <c r="U221" s="176" t="s">
        <v>2800</v>
      </c>
      <c r="V221" s="176" t="s">
        <v>2797</v>
      </c>
    </row>
    <row r="222" spans="1:22">
      <c r="A222" s="175">
        <v>46193</v>
      </c>
      <c r="B222" s="176" t="s">
        <v>3140</v>
      </c>
      <c r="C222" s="176" t="s">
        <v>2734</v>
      </c>
      <c r="D222" s="176"/>
      <c r="E222" s="176" t="s">
        <v>257</v>
      </c>
      <c r="F222" s="177"/>
      <c r="G222" s="177" t="s">
        <v>2735</v>
      </c>
      <c r="H222" s="176" t="s">
        <v>2735</v>
      </c>
      <c r="I222" s="178">
        <v>0.91800000000000004</v>
      </c>
      <c r="J222" s="176" t="s">
        <v>3150</v>
      </c>
      <c r="K222" s="176" t="s">
        <v>250</v>
      </c>
      <c r="L222" s="176" t="s">
        <v>2804</v>
      </c>
      <c r="M222" s="179">
        <v>8.9969999999999999</v>
      </c>
      <c r="N222" s="179">
        <v>8.2591999999999999</v>
      </c>
      <c r="O222" s="179">
        <v>0</v>
      </c>
      <c r="P222" s="179">
        <v>8.2591999999999999</v>
      </c>
      <c r="Q222" s="176" t="s">
        <v>3144</v>
      </c>
      <c r="R222" s="176" t="s">
        <v>3144</v>
      </c>
      <c r="S222" s="176" t="s">
        <v>2841</v>
      </c>
      <c r="T222" s="180">
        <v>46193.636979166666</v>
      </c>
      <c r="U222" s="176" t="s">
        <v>2842</v>
      </c>
      <c r="V222" s="176" t="s">
        <v>2843</v>
      </c>
    </row>
    <row r="223" spans="1:22">
      <c r="A223" s="175">
        <v>46193</v>
      </c>
      <c r="B223" s="176" t="s">
        <v>3140</v>
      </c>
      <c r="C223" s="176" t="s">
        <v>2734</v>
      </c>
      <c r="D223" s="176"/>
      <c r="E223" s="176" t="s">
        <v>257</v>
      </c>
      <c r="F223" s="177"/>
      <c r="G223" s="177" t="s">
        <v>2735</v>
      </c>
      <c r="H223" s="176" t="s">
        <v>2735</v>
      </c>
      <c r="I223" s="178">
        <v>0.91800000000000004</v>
      </c>
      <c r="J223" s="176" t="s">
        <v>2925</v>
      </c>
      <c r="K223" s="176" t="s">
        <v>250</v>
      </c>
      <c r="L223" s="176" t="s">
        <v>2804</v>
      </c>
      <c r="M223" s="179">
        <v>11.5</v>
      </c>
      <c r="N223" s="179">
        <v>10.557</v>
      </c>
      <c r="O223" s="179">
        <v>0</v>
      </c>
      <c r="P223" s="179">
        <v>10.557</v>
      </c>
      <c r="Q223" s="176"/>
      <c r="R223" s="176" t="s">
        <v>3141</v>
      </c>
      <c r="S223" s="176" t="s">
        <v>2841</v>
      </c>
      <c r="T223" s="180">
        <v>46193.636979166666</v>
      </c>
      <c r="U223" s="176" t="s">
        <v>2766</v>
      </c>
      <c r="V223" s="176" t="s">
        <v>2801</v>
      </c>
    </row>
    <row r="224" spans="1:22">
      <c r="A224" s="175">
        <v>46193</v>
      </c>
      <c r="B224" s="176" t="s">
        <v>3140</v>
      </c>
      <c r="C224" s="176" t="s">
        <v>2734</v>
      </c>
      <c r="D224" s="176"/>
      <c r="E224" s="176" t="s">
        <v>257</v>
      </c>
      <c r="F224" s="177"/>
      <c r="G224" s="177" t="s">
        <v>2735</v>
      </c>
      <c r="H224" s="176" t="s">
        <v>2735</v>
      </c>
      <c r="I224" s="178">
        <v>0.91800000000000004</v>
      </c>
      <c r="J224" s="176" t="s">
        <v>2936</v>
      </c>
      <c r="K224" s="176" t="s">
        <v>250</v>
      </c>
      <c r="L224" s="176" t="s">
        <v>2804</v>
      </c>
      <c r="M224" s="179">
        <v>24.41</v>
      </c>
      <c r="N224" s="179">
        <v>22.4084</v>
      </c>
      <c r="O224" s="179">
        <v>0</v>
      </c>
      <c r="P224" s="179">
        <v>22.4084</v>
      </c>
      <c r="Q224" s="176"/>
      <c r="R224" s="176" t="s">
        <v>3141</v>
      </c>
      <c r="S224" s="176" t="s">
        <v>2841</v>
      </c>
      <c r="T224" s="180">
        <v>46193.636979166666</v>
      </c>
      <c r="U224" s="176" t="s">
        <v>2766</v>
      </c>
      <c r="V224" s="176" t="s">
        <v>2797</v>
      </c>
    </row>
    <row r="225" spans="1:22">
      <c r="A225" s="175">
        <v>46193</v>
      </c>
      <c r="B225" s="176" t="s">
        <v>3140</v>
      </c>
      <c r="C225" s="176" t="s">
        <v>2734</v>
      </c>
      <c r="D225" s="176"/>
      <c r="E225" s="176" t="s">
        <v>257</v>
      </c>
      <c r="F225" s="177"/>
      <c r="G225" s="177" t="s">
        <v>2735</v>
      </c>
      <c r="H225" s="176" t="s">
        <v>2735</v>
      </c>
      <c r="I225" s="178">
        <v>0.91800000000000004</v>
      </c>
      <c r="J225" s="176" t="s">
        <v>2892</v>
      </c>
      <c r="K225" s="176" t="s">
        <v>250</v>
      </c>
      <c r="L225" s="176" t="s">
        <v>2804</v>
      </c>
      <c r="M225" s="179">
        <v>26.96</v>
      </c>
      <c r="N225" s="179">
        <v>24.749300000000002</v>
      </c>
      <c r="O225" s="179">
        <v>0</v>
      </c>
      <c r="P225" s="179">
        <v>24.749300000000002</v>
      </c>
      <c r="Q225" s="176"/>
      <c r="R225" s="176" t="s">
        <v>3141</v>
      </c>
      <c r="S225" s="176" t="s">
        <v>2841</v>
      </c>
      <c r="T225" s="180">
        <v>46193.636979166666</v>
      </c>
      <c r="U225" s="176" t="s">
        <v>2766</v>
      </c>
      <c r="V225" s="176" t="s">
        <v>2797</v>
      </c>
    </row>
    <row r="226" spans="1:22">
      <c r="A226" s="175">
        <v>46193</v>
      </c>
      <c r="B226" s="176" t="s">
        <v>3140</v>
      </c>
      <c r="C226" s="176" t="s">
        <v>2734</v>
      </c>
      <c r="D226" s="176"/>
      <c r="E226" s="176" t="s">
        <v>257</v>
      </c>
      <c r="F226" s="177"/>
      <c r="G226" s="177" t="s">
        <v>2735</v>
      </c>
      <c r="H226" s="176" t="s">
        <v>2735</v>
      </c>
      <c r="I226" s="178">
        <v>0.91800000000000004</v>
      </c>
      <c r="J226" s="176" t="s">
        <v>2924</v>
      </c>
      <c r="K226" s="176" t="s">
        <v>250</v>
      </c>
      <c r="L226" s="176" t="s">
        <v>2804</v>
      </c>
      <c r="M226" s="179">
        <v>39.744999999999997</v>
      </c>
      <c r="N226" s="179">
        <v>36.485900000000001</v>
      </c>
      <c r="O226" s="179">
        <v>0</v>
      </c>
      <c r="P226" s="179">
        <v>36.485900000000001</v>
      </c>
      <c r="Q226" s="176"/>
      <c r="R226" s="176" t="s">
        <v>3141</v>
      </c>
      <c r="S226" s="176" t="s">
        <v>2841</v>
      </c>
      <c r="T226" s="180">
        <v>46193.636979166666</v>
      </c>
      <c r="U226" s="176" t="s">
        <v>2766</v>
      </c>
      <c r="V226" s="176" t="s">
        <v>2950</v>
      </c>
    </row>
    <row r="227" spans="1:22">
      <c r="A227" s="175">
        <v>46193</v>
      </c>
      <c r="B227" s="176" t="s">
        <v>3140</v>
      </c>
      <c r="C227" s="176" t="s">
        <v>2734</v>
      </c>
      <c r="D227" s="176"/>
      <c r="E227" s="176" t="s">
        <v>257</v>
      </c>
      <c r="F227" s="177"/>
      <c r="G227" s="177" t="s">
        <v>2735</v>
      </c>
      <c r="H227" s="176" t="s">
        <v>2735</v>
      </c>
      <c r="I227" s="178">
        <v>0.91800000000000004</v>
      </c>
      <c r="J227" s="176" t="s">
        <v>2929</v>
      </c>
      <c r="K227" s="176" t="s">
        <v>250</v>
      </c>
      <c r="L227" s="176" t="s">
        <v>2804</v>
      </c>
      <c r="M227" s="179">
        <v>29.754999999999999</v>
      </c>
      <c r="N227" s="179">
        <v>27.315100000000001</v>
      </c>
      <c r="O227" s="179">
        <v>0</v>
      </c>
      <c r="P227" s="179">
        <v>27.315100000000001</v>
      </c>
      <c r="Q227" s="176"/>
      <c r="R227" s="176" t="s">
        <v>3141</v>
      </c>
      <c r="S227" s="176" t="s">
        <v>2841</v>
      </c>
      <c r="T227" s="180">
        <v>46193.636979166666</v>
      </c>
      <c r="U227" s="176" t="s">
        <v>2766</v>
      </c>
      <c r="V227" s="176" t="s">
        <v>2797</v>
      </c>
    </row>
    <row r="228" spans="1:22">
      <c r="A228" s="175">
        <v>46193</v>
      </c>
      <c r="B228" s="176" t="s">
        <v>3140</v>
      </c>
      <c r="C228" s="176" t="s">
        <v>2734</v>
      </c>
      <c r="D228" s="176"/>
      <c r="E228" s="176" t="s">
        <v>257</v>
      </c>
      <c r="F228" s="177"/>
      <c r="G228" s="177" t="s">
        <v>2735</v>
      </c>
      <c r="H228" s="176" t="s">
        <v>2735</v>
      </c>
      <c r="I228" s="178">
        <v>0.91800000000000004</v>
      </c>
      <c r="J228" s="176" t="s">
        <v>2934</v>
      </c>
      <c r="K228" s="176" t="s">
        <v>250</v>
      </c>
      <c r="L228" s="176" t="s">
        <v>2804</v>
      </c>
      <c r="M228" s="179">
        <v>16.957999999999998</v>
      </c>
      <c r="N228" s="179">
        <v>15.567399999999999</v>
      </c>
      <c r="O228" s="179">
        <v>0</v>
      </c>
      <c r="P228" s="179">
        <v>15.567399999999999</v>
      </c>
      <c r="Q228" s="176"/>
      <c r="R228" s="176" t="s">
        <v>3141</v>
      </c>
      <c r="S228" s="176" t="s">
        <v>2841</v>
      </c>
      <c r="T228" s="180">
        <v>46193.636979166666</v>
      </c>
      <c r="U228" s="176" t="s">
        <v>2766</v>
      </c>
      <c r="V228" s="176" t="s">
        <v>2948</v>
      </c>
    </row>
    <row r="229" spans="1:22">
      <c r="A229" s="175">
        <v>46193</v>
      </c>
      <c r="B229" s="176" t="s">
        <v>3140</v>
      </c>
      <c r="C229" s="176" t="s">
        <v>2734</v>
      </c>
      <c r="D229" s="176"/>
      <c r="E229" s="176" t="s">
        <v>257</v>
      </c>
      <c r="F229" s="177"/>
      <c r="G229" s="177" t="s">
        <v>2735</v>
      </c>
      <c r="H229" s="176" t="s">
        <v>2735</v>
      </c>
      <c r="I229" s="178">
        <v>0.91800000000000004</v>
      </c>
      <c r="J229" s="176" t="s">
        <v>2937</v>
      </c>
      <c r="K229" s="176" t="s">
        <v>250</v>
      </c>
      <c r="L229" s="176" t="s">
        <v>2804</v>
      </c>
      <c r="M229" s="179">
        <v>16.568999999999999</v>
      </c>
      <c r="N229" s="179">
        <v>15.2103</v>
      </c>
      <c r="O229" s="179">
        <v>0</v>
      </c>
      <c r="P229" s="179">
        <v>15.2103</v>
      </c>
      <c r="Q229" s="176"/>
      <c r="R229" s="176" t="s">
        <v>3141</v>
      </c>
      <c r="S229" s="176" t="s">
        <v>2841</v>
      </c>
      <c r="T229" s="180">
        <v>46193.636979166666</v>
      </c>
      <c r="U229" s="176" t="s">
        <v>2766</v>
      </c>
      <c r="V229" s="176" t="s">
        <v>2950</v>
      </c>
    </row>
    <row r="230" spans="1:22">
      <c r="A230" s="175">
        <v>46193</v>
      </c>
      <c r="B230" s="176" t="s">
        <v>3140</v>
      </c>
      <c r="C230" s="176" t="s">
        <v>2734</v>
      </c>
      <c r="D230" s="176"/>
      <c r="E230" s="176" t="s">
        <v>257</v>
      </c>
      <c r="F230" s="177"/>
      <c r="G230" s="177" t="s">
        <v>2735</v>
      </c>
      <c r="H230" s="176" t="s">
        <v>2735</v>
      </c>
      <c r="I230" s="178">
        <v>0.91800000000000004</v>
      </c>
      <c r="J230" s="176" t="s">
        <v>2928</v>
      </c>
      <c r="K230" s="176" t="s">
        <v>250</v>
      </c>
      <c r="L230" s="176" t="s">
        <v>2804</v>
      </c>
      <c r="M230" s="179">
        <v>14.625999999999999</v>
      </c>
      <c r="N230" s="179">
        <v>13.4267</v>
      </c>
      <c r="O230" s="179">
        <v>0</v>
      </c>
      <c r="P230" s="179">
        <v>13.4267</v>
      </c>
      <c r="Q230" s="176"/>
      <c r="R230" s="176" t="s">
        <v>3141</v>
      </c>
      <c r="S230" s="176" t="s">
        <v>2841</v>
      </c>
      <c r="T230" s="180">
        <v>46193.636979166666</v>
      </c>
      <c r="U230" s="176" t="s">
        <v>2766</v>
      </c>
      <c r="V230" s="176" t="s">
        <v>2948</v>
      </c>
    </row>
    <row r="231" spans="1:22">
      <c r="A231" s="175">
        <v>46193</v>
      </c>
      <c r="B231" s="176" t="s">
        <v>3140</v>
      </c>
      <c r="C231" s="176" t="s">
        <v>2734</v>
      </c>
      <c r="D231" s="176"/>
      <c r="E231" s="176" t="s">
        <v>257</v>
      </c>
      <c r="F231" s="177"/>
      <c r="G231" s="177" t="s">
        <v>2735</v>
      </c>
      <c r="H231" s="176" t="s">
        <v>2735</v>
      </c>
      <c r="I231" s="178">
        <v>0.91800000000000004</v>
      </c>
      <c r="J231" s="176" t="s">
        <v>2935</v>
      </c>
      <c r="K231" s="176" t="s">
        <v>250</v>
      </c>
      <c r="L231" s="176" t="s">
        <v>2804</v>
      </c>
      <c r="M231" s="179">
        <v>17.623999999999999</v>
      </c>
      <c r="N231" s="179">
        <v>16.178799999999999</v>
      </c>
      <c r="O231" s="179">
        <v>0</v>
      </c>
      <c r="P231" s="179">
        <v>16.178799999999999</v>
      </c>
      <c r="Q231" s="176"/>
      <c r="R231" s="176" t="s">
        <v>3141</v>
      </c>
      <c r="S231" s="176" t="s">
        <v>2841</v>
      </c>
      <c r="T231" s="180">
        <v>46193.636979166666</v>
      </c>
      <c r="U231" s="176" t="s">
        <v>2766</v>
      </c>
      <c r="V231" s="176" t="s">
        <v>2801</v>
      </c>
    </row>
    <row r="232" spans="1:22">
      <c r="A232" s="175">
        <v>46193</v>
      </c>
      <c r="B232" s="176" t="s">
        <v>3140</v>
      </c>
      <c r="C232" s="176" t="s">
        <v>2734</v>
      </c>
      <c r="D232" s="176"/>
      <c r="E232" s="176" t="s">
        <v>257</v>
      </c>
      <c r="F232" s="177"/>
      <c r="G232" s="177" t="s">
        <v>2735</v>
      </c>
      <c r="H232" s="176" t="s">
        <v>2735</v>
      </c>
      <c r="I232" s="178">
        <v>0.91800000000000004</v>
      </c>
      <c r="J232" s="176" t="s">
        <v>2927</v>
      </c>
      <c r="K232" s="176" t="s">
        <v>250</v>
      </c>
      <c r="L232" s="176" t="s">
        <v>2804</v>
      </c>
      <c r="M232" s="179">
        <v>15.821</v>
      </c>
      <c r="N232" s="179">
        <v>14.5237</v>
      </c>
      <c r="O232" s="179">
        <v>0</v>
      </c>
      <c r="P232" s="179">
        <v>14.5237</v>
      </c>
      <c r="Q232" s="176"/>
      <c r="R232" s="176" t="s">
        <v>3141</v>
      </c>
      <c r="S232" s="176" t="s">
        <v>2841</v>
      </c>
      <c r="T232" s="180">
        <v>46193.636979166666</v>
      </c>
      <c r="U232" s="176" t="s">
        <v>2766</v>
      </c>
      <c r="V232" s="176" t="s">
        <v>2801</v>
      </c>
    </row>
    <row r="233" spans="1:22">
      <c r="A233" s="175">
        <v>46193</v>
      </c>
      <c r="B233" s="176" t="s">
        <v>3140</v>
      </c>
      <c r="C233" s="176" t="s">
        <v>2734</v>
      </c>
      <c r="D233" s="176"/>
      <c r="E233" s="176" t="s">
        <v>257</v>
      </c>
      <c r="F233" s="177"/>
      <c r="G233" s="177" t="s">
        <v>2735</v>
      </c>
      <c r="H233" s="176" t="s">
        <v>2735</v>
      </c>
      <c r="I233" s="178">
        <v>0.91800000000000004</v>
      </c>
      <c r="J233" s="176" t="s">
        <v>2930</v>
      </c>
      <c r="K233" s="176" t="s">
        <v>250</v>
      </c>
      <c r="L233" s="176" t="s">
        <v>2804</v>
      </c>
      <c r="M233" s="179">
        <v>27.041</v>
      </c>
      <c r="N233" s="179">
        <v>24.823599999999999</v>
      </c>
      <c r="O233" s="179">
        <v>0</v>
      </c>
      <c r="P233" s="179">
        <v>24.823599999999999</v>
      </c>
      <c r="Q233" s="176"/>
      <c r="R233" s="176" t="s">
        <v>3141</v>
      </c>
      <c r="S233" s="176" t="s">
        <v>2841</v>
      </c>
      <c r="T233" s="180">
        <v>46193.636979166666</v>
      </c>
      <c r="U233" s="176" t="s">
        <v>2766</v>
      </c>
      <c r="V233" s="176" t="s">
        <v>2948</v>
      </c>
    </row>
    <row r="234" spans="1:22">
      <c r="A234" s="175">
        <v>46193</v>
      </c>
      <c r="B234" s="176" t="s">
        <v>3140</v>
      </c>
      <c r="C234" s="176" t="s">
        <v>2734</v>
      </c>
      <c r="D234" s="176"/>
      <c r="E234" s="176" t="s">
        <v>257</v>
      </c>
      <c r="F234" s="177"/>
      <c r="G234" s="177" t="s">
        <v>2735</v>
      </c>
      <c r="H234" s="176" t="s">
        <v>2735</v>
      </c>
      <c r="I234" s="178">
        <v>0.91800000000000004</v>
      </c>
      <c r="J234" s="176" t="s">
        <v>2932</v>
      </c>
      <c r="K234" s="176" t="s">
        <v>250</v>
      </c>
      <c r="L234" s="176" t="s">
        <v>2804</v>
      </c>
      <c r="M234" s="179">
        <v>25.358000000000001</v>
      </c>
      <c r="N234" s="179">
        <v>23.278600000000001</v>
      </c>
      <c r="O234" s="179">
        <v>0</v>
      </c>
      <c r="P234" s="179">
        <v>23.278600000000001</v>
      </c>
      <c r="Q234" s="176"/>
      <c r="R234" s="176" t="s">
        <v>3141</v>
      </c>
      <c r="S234" s="176" t="s">
        <v>2841</v>
      </c>
      <c r="T234" s="180">
        <v>46193.636979166666</v>
      </c>
      <c r="U234" s="176" t="s">
        <v>2766</v>
      </c>
      <c r="V234" s="176" t="s">
        <v>2797</v>
      </c>
    </row>
    <row r="235" spans="1:22">
      <c r="A235" s="175">
        <v>46193</v>
      </c>
      <c r="B235" s="176" t="s">
        <v>3140</v>
      </c>
      <c r="C235" s="176" t="s">
        <v>2734</v>
      </c>
      <c r="D235" s="176"/>
      <c r="E235" s="176" t="s">
        <v>257</v>
      </c>
      <c r="F235" s="177"/>
      <c r="G235" s="177" t="s">
        <v>2735</v>
      </c>
      <c r="H235" s="176" t="s">
        <v>2735</v>
      </c>
      <c r="I235" s="178">
        <v>0.91800000000000004</v>
      </c>
      <c r="J235" s="176" t="s">
        <v>2939</v>
      </c>
      <c r="K235" s="176" t="s">
        <v>250</v>
      </c>
      <c r="L235" s="176" t="s">
        <v>2804</v>
      </c>
      <c r="M235" s="179">
        <v>19.547999999999998</v>
      </c>
      <c r="N235" s="179">
        <v>17.9451</v>
      </c>
      <c r="O235" s="179">
        <v>0</v>
      </c>
      <c r="P235" s="179">
        <v>17.9451</v>
      </c>
      <c r="Q235" s="176"/>
      <c r="R235" s="176" t="s">
        <v>3141</v>
      </c>
      <c r="S235" s="176" t="s">
        <v>2841</v>
      </c>
      <c r="T235" s="180">
        <v>46193.636979166666</v>
      </c>
      <c r="U235" s="176" t="s">
        <v>2766</v>
      </c>
      <c r="V235" s="176" t="s">
        <v>2801</v>
      </c>
    </row>
    <row r="236" spans="1:22">
      <c r="A236" s="175">
        <v>46193</v>
      </c>
      <c r="B236" s="176" t="s">
        <v>3140</v>
      </c>
      <c r="C236" s="176" t="s">
        <v>2734</v>
      </c>
      <c r="D236" s="176"/>
      <c r="E236" s="176" t="s">
        <v>257</v>
      </c>
      <c r="F236" s="177"/>
      <c r="G236" s="177" t="s">
        <v>2735</v>
      </c>
      <c r="H236" s="176" t="s">
        <v>2735</v>
      </c>
      <c r="I236" s="178">
        <v>0.91800000000000004</v>
      </c>
      <c r="J236" s="176" t="s">
        <v>2933</v>
      </c>
      <c r="K236" s="176" t="s">
        <v>250</v>
      </c>
      <c r="L236" s="176" t="s">
        <v>2804</v>
      </c>
      <c r="M236" s="179">
        <v>32.61</v>
      </c>
      <c r="N236" s="179">
        <v>29.936</v>
      </c>
      <c r="O236" s="179">
        <v>0</v>
      </c>
      <c r="P236" s="179">
        <v>29.936</v>
      </c>
      <c r="Q236" s="176"/>
      <c r="R236" s="176" t="s">
        <v>3141</v>
      </c>
      <c r="S236" s="176" t="s">
        <v>2841</v>
      </c>
      <c r="T236" s="180">
        <v>46193.636979166666</v>
      </c>
      <c r="U236" s="176" t="s">
        <v>2766</v>
      </c>
      <c r="V236" s="176" t="s">
        <v>2801</v>
      </c>
    </row>
    <row r="237" spans="1:22">
      <c r="A237" s="175">
        <v>46193</v>
      </c>
      <c r="B237" s="176" t="s">
        <v>3140</v>
      </c>
      <c r="C237" s="176" t="s">
        <v>2734</v>
      </c>
      <c r="D237" s="176"/>
      <c r="E237" s="176" t="s">
        <v>257</v>
      </c>
      <c r="F237" s="177"/>
      <c r="G237" s="177" t="s">
        <v>2735</v>
      </c>
      <c r="H237" s="176" t="s">
        <v>2735</v>
      </c>
      <c r="I237" s="178">
        <v>0.91800000000000004</v>
      </c>
      <c r="J237" s="176" t="s">
        <v>2893</v>
      </c>
      <c r="K237" s="176" t="s">
        <v>250</v>
      </c>
      <c r="L237" s="176" t="s">
        <v>2804</v>
      </c>
      <c r="M237" s="179">
        <v>25.76</v>
      </c>
      <c r="N237" s="179">
        <v>23.6477</v>
      </c>
      <c r="O237" s="179">
        <v>0</v>
      </c>
      <c r="P237" s="179">
        <v>23.6477</v>
      </c>
      <c r="Q237" s="176"/>
      <c r="R237" s="176" t="s">
        <v>3141</v>
      </c>
      <c r="S237" s="176" t="s">
        <v>2841</v>
      </c>
      <c r="T237" s="180">
        <v>46193.636979166666</v>
      </c>
      <c r="U237" s="176" t="s">
        <v>2766</v>
      </c>
      <c r="V237" s="176" t="s">
        <v>2797</v>
      </c>
    </row>
    <row r="238" spans="1:22">
      <c r="A238" s="175">
        <v>46193</v>
      </c>
      <c r="B238" s="176" t="s">
        <v>3140</v>
      </c>
      <c r="C238" s="176" t="s">
        <v>2734</v>
      </c>
      <c r="D238" s="176"/>
      <c r="E238" s="176" t="s">
        <v>257</v>
      </c>
      <c r="F238" s="177"/>
      <c r="G238" s="177" t="s">
        <v>2735</v>
      </c>
      <c r="H238" s="176" t="s">
        <v>2735</v>
      </c>
      <c r="I238" s="178">
        <v>0.91800000000000004</v>
      </c>
      <c r="J238" s="176" t="s">
        <v>2931</v>
      </c>
      <c r="K238" s="176" t="s">
        <v>250</v>
      </c>
      <c r="L238" s="176" t="s">
        <v>2804</v>
      </c>
      <c r="M238" s="179">
        <v>17.690000000000001</v>
      </c>
      <c r="N238" s="179">
        <v>16.2394</v>
      </c>
      <c r="O238" s="179">
        <v>0</v>
      </c>
      <c r="P238" s="179">
        <v>16.2394</v>
      </c>
      <c r="Q238" s="176"/>
      <c r="R238" s="176" t="s">
        <v>3141</v>
      </c>
      <c r="S238" s="176" t="s">
        <v>2841</v>
      </c>
      <c r="T238" s="180">
        <v>46193.636979166666</v>
      </c>
      <c r="U238" s="176" t="s">
        <v>2766</v>
      </c>
      <c r="V238" s="176" t="s">
        <v>2948</v>
      </c>
    </row>
    <row r="239" spans="1:22">
      <c r="A239" s="175">
        <v>46193</v>
      </c>
      <c r="B239" s="176" t="s">
        <v>3140</v>
      </c>
      <c r="C239" s="176" t="s">
        <v>2734</v>
      </c>
      <c r="D239" s="176"/>
      <c r="E239" s="176" t="s">
        <v>257</v>
      </c>
      <c r="F239" s="177"/>
      <c r="G239" s="177" t="s">
        <v>2735</v>
      </c>
      <c r="H239" s="176" t="s">
        <v>2735</v>
      </c>
      <c r="I239" s="178">
        <v>0.91800000000000004</v>
      </c>
      <c r="J239" s="176" t="s">
        <v>2938</v>
      </c>
      <c r="K239" s="176" t="s">
        <v>250</v>
      </c>
      <c r="L239" s="176" t="s">
        <v>2804</v>
      </c>
      <c r="M239" s="179">
        <v>37.25</v>
      </c>
      <c r="N239" s="179">
        <v>34.195500000000003</v>
      </c>
      <c r="O239" s="179">
        <v>0</v>
      </c>
      <c r="P239" s="179">
        <v>34.195500000000003</v>
      </c>
      <c r="Q239" s="176"/>
      <c r="R239" s="176" t="s">
        <v>3141</v>
      </c>
      <c r="S239" s="176" t="s">
        <v>2841</v>
      </c>
      <c r="T239" s="180">
        <v>46193.636979166666</v>
      </c>
      <c r="U239" s="176" t="s">
        <v>2766</v>
      </c>
      <c r="V239" s="176" t="s">
        <v>2797</v>
      </c>
    </row>
    <row r="240" spans="1:22">
      <c r="A240" s="175">
        <v>46193</v>
      </c>
      <c r="B240" s="176" t="s">
        <v>3151</v>
      </c>
      <c r="C240" s="176" t="s">
        <v>2734</v>
      </c>
      <c r="D240" s="176"/>
      <c r="E240" s="176" t="s">
        <v>276</v>
      </c>
      <c r="F240" s="177"/>
      <c r="G240" s="177" t="s">
        <v>2735</v>
      </c>
      <c r="H240" s="176" t="s">
        <v>2735</v>
      </c>
      <c r="I240" s="178">
        <v>0.91600000000000004</v>
      </c>
      <c r="J240" s="176" t="s">
        <v>3152</v>
      </c>
      <c r="K240" s="176" t="s">
        <v>250</v>
      </c>
      <c r="L240" s="176" t="s">
        <v>2856</v>
      </c>
      <c r="M240" s="179">
        <v>3.8976000000000002</v>
      </c>
      <c r="N240" s="179">
        <v>3.5701999999999998</v>
      </c>
      <c r="O240" s="179">
        <v>0</v>
      </c>
      <c r="P240" s="179">
        <v>3.5701999999999998</v>
      </c>
      <c r="Q240" s="176" t="s">
        <v>2956</v>
      </c>
      <c r="R240" s="176" t="s">
        <v>3153</v>
      </c>
      <c r="S240" s="176" t="s">
        <v>2907</v>
      </c>
      <c r="T240" s="180">
        <v>46193.632824074077</v>
      </c>
      <c r="U240" s="176" t="s">
        <v>3283</v>
      </c>
      <c r="V240" s="176" t="s">
        <v>2873</v>
      </c>
    </row>
    <row r="241" spans="1:22">
      <c r="A241" s="175">
        <v>46193</v>
      </c>
      <c r="B241" s="176" t="s">
        <v>3151</v>
      </c>
      <c r="C241" s="176" t="s">
        <v>2734</v>
      </c>
      <c r="D241" s="176"/>
      <c r="E241" s="176" t="s">
        <v>276</v>
      </c>
      <c r="F241" s="177"/>
      <c r="G241" s="177" t="s">
        <v>2735</v>
      </c>
      <c r="H241" s="176" t="s">
        <v>2735</v>
      </c>
      <c r="I241" s="178">
        <v>0.91600000000000004</v>
      </c>
      <c r="J241" s="176" t="s">
        <v>3152</v>
      </c>
      <c r="K241" s="176" t="s">
        <v>250</v>
      </c>
      <c r="L241" s="176" t="s">
        <v>2856</v>
      </c>
      <c r="M241" s="179">
        <v>2.2302</v>
      </c>
      <c r="N241" s="179">
        <v>2.0428999999999999</v>
      </c>
      <c r="O241" s="179">
        <v>0</v>
      </c>
      <c r="P241" s="179">
        <v>2.0428999999999999</v>
      </c>
      <c r="Q241" s="176" t="s">
        <v>2956</v>
      </c>
      <c r="R241" s="176" t="s">
        <v>3153</v>
      </c>
      <c r="S241" s="176" t="s">
        <v>2907</v>
      </c>
      <c r="T241" s="180">
        <v>46193.632824074077</v>
      </c>
      <c r="U241" s="176" t="s">
        <v>3283</v>
      </c>
      <c r="V241" s="176" t="s">
        <v>2873</v>
      </c>
    </row>
    <row r="242" spans="1:22">
      <c r="A242" s="175">
        <v>46193</v>
      </c>
      <c r="B242" s="176" t="s">
        <v>3151</v>
      </c>
      <c r="C242" s="176" t="s">
        <v>2734</v>
      </c>
      <c r="D242" s="176"/>
      <c r="E242" s="176" t="s">
        <v>276</v>
      </c>
      <c r="F242" s="177"/>
      <c r="G242" s="177" t="s">
        <v>2735</v>
      </c>
      <c r="H242" s="176" t="s">
        <v>2735</v>
      </c>
      <c r="I242" s="178">
        <v>0.91600000000000004</v>
      </c>
      <c r="J242" s="176" t="s">
        <v>3152</v>
      </c>
      <c r="K242" s="176" t="s">
        <v>250</v>
      </c>
      <c r="L242" s="176" t="s">
        <v>2856</v>
      </c>
      <c r="M242" s="179">
        <v>3.8317999999999999</v>
      </c>
      <c r="N242" s="179">
        <v>3.5099</v>
      </c>
      <c r="O242" s="179">
        <v>0</v>
      </c>
      <c r="P242" s="179">
        <v>3.5099</v>
      </c>
      <c r="Q242" s="176" t="s">
        <v>2956</v>
      </c>
      <c r="R242" s="176" t="s">
        <v>3153</v>
      </c>
      <c r="S242" s="176" t="s">
        <v>2907</v>
      </c>
      <c r="T242" s="180">
        <v>46193.632824074077</v>
      </c>
      <c r="U242" s="176" t="s">
        <v>3283</v>
      </c>
      <c r="V242" s="176" t="s">
        <v>2873</v>
      </c>
    </row>
    <row r="243" spans="1:22">
      <c r="A243" s="175">
        <v>46193</v>
      </c>
      <c r="B243" s="176" t="s">
        <v>3151</v>
      </c>
      <c r="C243" s="176" t="s">
        <v>2734</v>
      </c>
      <c r="D243" s="176"/>
      <c r="E243" s="176" t="s">
        <v>276</v>
      </c>
      <c r="F243" s="177"/>
      <c r="G243" s="177" t="s">
        <v>2735</v>
      </c>
      <c r="H243" s="176" t="s">
        <v>2735</v>
      </c>
      <c r="I243" s="178">
        <v>0.91600000000000004</v>
      </c>
      <c r="J243" s="176" t="s">
        <v>3154</v>
      </c>
      <c r="K243" s="176" t="s">
        <v>250</v>
      </c>
      <c r="L243" s="176" t="s">
        <v>2856</v>
      </c>
      <c r="M243" s="179">
        <v>2.0337000000000001</v>
      </c>
      <c r="N243" s="179">
        <v>1.8629</v>
      </c>
      <c r="O243" s="179">
        <v>0</v>
      </c>
      <c r="P243" s="179">
        <v>1.8629</v>
      </c>
      <c r="Q243" s="176" t="s">
        <v>2956</v>
      </c>
      <c r="R243" s="176" t="s">
        <v>3153</v>
      </c>
      <c r="S243" s="176" t="s">
        <v>2907</v>
      </c>
      <c r="T243" s="180">
        <v>46193.632824074077</v>
      </c>
      <c r="U243" s="176" t="s">
        <v>3283</v>
      </c>
      <c r="V243" s="176" t="s">
        <v>2873</v>
      </c>
    </row>
    <row r="244" spans="1:22">
      <c r="A244" s="175">
        <v>46193</v>
      </c>
      <c r="B244" s="176" t="s">
        <v>3151</v>
      </c>
      <c r="C244" s="176" t="s">
        <v>2734</v>
      </c>
      <c r="D244" s="176"/>
      <c r="E244" s="176" t="s">
        <v>276</v>
      </c>
      <c r="F244" s="177"/>
      <c r="G244" s="177" t="s">
        <v>2735</v>
      </c>
      <c r="H244" s="176" t="s">
        <v>2735</v>
      </c>
      <c r="I244" s="178">
        <v>0.91600000000000004</v>
      </c>
      <c r="J244" s="176" t="s">
        <v>3154</v>
      </c>
      <c r="K244" s="176" t="s">
        <v>250</v>
      </c>
      <c r="L244" s="176" t="s">
        <v>2856</v>
      </c>
      <c r="M244" s="179">
        <v>3.3542999999999998</v>
      </c>
      <c r="N244" s="179">
        <v>3.0724999999999998</v>
      </c>
      <c r="O244" s="179">
        <v>0</v>
      </c>
      <c r="P244" s="179">
        <v>3.0724999999999998</v>
      </c>
      <c r="Q244" s="176" t="s">
        <v>2956</v>
      </c>
      <c r="R244" s="176" t="s">
        <v>3153</v>
      </c>
      <c r="S244" s="176" t="s">
        <v>2907</v>
      </c>
      <c r="T244" s="180">
        <v>46193.632824074077</v>
      </c>
      <c r="U244" s="176" t="s">
        <v>3283</v>
      </c>
      <c r="V244" s="176" t="s">
        <v>2873</v>
      </c>
    </row>
    <row r="245" spans="1:22">
      <c r="A245" s="175">
        <v>46193</v>
      </c>
      <c r="B245" s="176" t="s">
        <v>3151</v>
      </c>
      <c r="C245" s="176" t="s">
        <v>2734</v>
      </c>
      <c r="D245" s="176"/>
      <c r="E245" s="176" t="s">
        <v>276</v>
      </c>
      <c r="F245" s="177"/>
      <c r="G245" s="177" t="s">
        <v>2735</v>
      </c>
      <c r="H245" s="176" t="s">
        <v>2735</v>
      </c>
      <c r="I245" s="178">
        <v>0.91600000000000004</v>
      </c>
      <c r="J245" s="176" t="s">
        <v>3152</v>
      </c>
      <c r="K245" s="176" t="s">
        <v>250</v>
      </c>
      <c r="L245" s="176" t="s">
        <v>2856</v>
      </c>
      <c r="M245" s="179">
        <v>2.2684000000000002</v>
      </c>
      <c r="N245" s="179">
        <v>2.0779000000000001</v>
      </c>
      <c r="O245" s="179">
        <v>0</v>
      </c>
      <c r="P245" s="179">
        <v>2.0779000000000001</v>
      </c>
      <c r="Q245" s="176" t="s">
        <v>2956</v>
      </c>
      <c r="R245" s="176" t="s">
        <v>3153</v>
      </c>
      <c r="S245" s="176" t="s">
        <v>2907</v>
      </c>
      <c r="T245" s="180">
        <v>46193.632824074077</v>
      </c>
      <c r="U245" s="176" t="s">
        <v>3283</v>
      </c>
      <c r="V245" s="176" t="s">
        <v>2873</v>
      </c>
    </row>
    <row r="246" spans="1:22">
      <c r="A246" s="175">
        <v>46193</v>
      </c>
      <c r="B246" s="176" t="s">
        <v>3155</v>
      </c>
      <c r="C246" s="176" t="s">
        <v>2734</v>
      </c>
      <c r="D246" s="176"/>
      <c r="E246" s="176" t="s">
        <v>258</v>
      </c>
      <c r="F246" s="177"/>
      <c r="G246" s="177" t="s">
        <v>2735</v>
      </c>
      <c r="H246" s="176" t="s">
        <v>2735</v>
      </c>
      <c r="I246" s="178">
        <v>0.91800000000000004</v>
      </c>
      <c r="J246" s="176" t="s">
        <v>3156</v>
      </c>
      <c r="K246" s="176" t="s">
        <v>250</v>
      </c>
      <c r="L246" s="176" t="s">
        <v>2804</v>
      </c>
      <c r="M246" s="179">
        <v>24.718</v>
      </c>
      <c r="N246" s="179">
        <v>22.691099999999999</v>
      </c>
      <c r="O246" s="179">
        <v>0</v>
      </c>
      <c r="P246" s="179">
        <v>22.691099999999999</v>
      </c>
      <c r="Q246" s="176" t="s">
        <v>3157</v>
      </c>
      <c r="R246" s="176" t="s">
        <v>3157</v>
      </c>
      <c r="S246" s="176" t="s">
        <v>2841</v>
      </c>
      <c r="T246" s="180">
        <v>46193.629687499997</v>
      </c>
      <c r="U246" s="176" t="s">
        <v>2800</v>
      </c>
      <c r="V246" s="176" t="s">
        <v>2797</v>
      </c>
    </row>
    <row r="247" spans="1:22">
      <c r="A247" s="175">
        <v>46193</v>
      </c>
      <c r="B247" s="176" t="s">
        <v>3155</v>
      </c>
      <c r="C247" s="176" t="s">
        <v>2734</v>
      </c>
      <c r="D247" s="176"/>
      <c r="E247" s="176" t="s">
        <v>258</v>
      </c>
      <c r="F247" s="177"/>
      <c r="G247" s="177" t="s">
        <v>2735</v>
      </c>
      <c r="H247" s="176" t="s">
        <v>2735</v>
      </c>
      <c r="I247" s="178">
        <v>0.91800000000000004</v>
      </c>
      <c r="J247" s="176" t="s">
        <v>2921</v>
      </c>
      <c r="K247" s="176" t="s">
        <v>250</v>
      </c>
      <c r="L247" s="176" t="s">
        <v>2804</v>
      </c>
      <c r="M247" s="179">
        <v>38.139299999999999</v>
      </c>
      <c r="N247" s="179">
        <v>35.011899999999997</v>
      </c>
      <c r="O247" s="179">
        <v>0</v>
      </c>
      <c r="P247" s="179">
        <v>35.011899999999997</v>
      </c>
      <c r="Q247" s="176" t="s">
        <v>2922</v>
      </c>
      <c r="R247" s="176" t="s">
        <v>2922</v>
      </c>
      <c r="S247" s="176" t="s">
        <v>2841</v>
      </c>
      <c r="T247" s="180">
        <v>46193.629687499997</v>
      </c>
      <c r="U247" s="176" t="s">
        <v>2766</v>
      </c>
      <c r="V247" s="176" t="s">
        <v>2801</v>
      </c>
    </row>
    <row r="248" spans="1:22">
      <c r="A248" s="175">
        <v>46193</v>
      </c>
      <c r="B248" s="176" t="s">
        <v>3155</v>
      </c>
      <c r="C248" s="176" t="s">
        <v>2734</v>
      </c>
      <c r="D248" s="176"/>
      <c r="E248" s="176" t="s">
        <v>258</v>
      </c>
      <c r="F248" s="177"/>
      <c r="G248" s="177" t="s">
        <v>2735</v>
      </c>
      <c r="H248" s="176" t="s">
        <v>2735</v>
      </c>
      <c r="I248" s="178">
        <v>0.91800000000000004</v>
      </c>
      <c r="J248" s="176" t="s">
        <v>2921</v>
      </c>
      <c r="K248" s="176" t="s">
        <v>250</v>
      </c>
      <c r="L248" s="176" t="s">
        <v>2804</v>
      </c>
      <c r="M248" s="179">
        <v>7.7000000000000002E-3</v>
      </c>
      <c r="N248" s="179">
        <v>7.1000000000000004E-3</v>
      </c>
      <c r="O248" s="179">
        <v>0</v>
      </c>
      <c r="P248" s="179">
        <v>7.1000000000000004E-3</v>
      </c>
      <c r="Q248" s="176" t="s">
        <v>2922</v>
      </c>
      <c r="R248" s="176" t="s">
        <v>2922</v>
      </c>
      <c r="S248" s="176" t="s">
        <v>2841</v>
      </c>
      <c r="T248" s="180">
        <v>46193.629687499997</v>
      </c>
      <c r="U248" s="176" t="s">
        <v>2766</v>
      </c>
      <c r="V248" s="176" t="s">
        <v>2801</v>
      </c>
    </row>
    <row r="249" spans="1:22">
      <c r="A249" s="175">
        <v>46193</v>
      </c>
      <c r="B249" s="176" t="s">
        <v>3158</v>
      </c>
      <c r="C249" s="176" t="s">
        <v>2734</v>
      </c>
      <c r="D249" s="176"/>
      <c r="E249" s="176" t="s">
        <v>258</v>
      </c>
      <c r="F249" s="177"/>
      <c r="G249" s="177" t="s">
        <v>2735</v>
      </c>
      <c r="H249" s="176" t="s">
        <v>2735</v>
      </c>
      <c r="I249" s="178">
        <v>0.91800000000000004</v>
      </c>
      <c r="J249" s="176" t="s">
        <v>2897</v>
      </c>
      <c r="K249" s="176" t="s">
        <v>250</v>
      </c>
      <c r="L249" s="176" t="s">
        <v>2804</v>
      </c>
      <c r="M249" s="179">
        <v>18.754999999999999</v>
      </c>
      <c r="N249" s="179">
        <v>17.217099999999999</v>
      </c>
      <c r="O249" s="179">
        <v>0</v>
      </c>
      <c r="P249" s="179">
        <v>17.217099999999999</v>
      </c>
      <c r="Q249" s="176" t="s">
        <v>2888</v>
      </c>
      <c r="R249" s="176" t="s">
        <v>2888</v>
      </c>
      <c r="S249" s="176" t="s">
        <v>2841</v>
      </c>
      <c r="T249" s="180">
        <v>46193.627500000002</v>
      </c>
      <c r="U249" s="176" t="s">
        <v>2800</v>
      </c>
      <c r="V249" s="176" t="s">
        <v>2801</v>
      </c>
    </row>
    <row r="250" spans="1:22">
      <c r="A250" s="175">
        <v>46193</v>
      </c>
      <c r="B250" s="176" t="s">
        <v>3158</v>
      </c>
      <c r="C250" s="176" t="s">
        <v>2734</v>
      </c>
      <c r="D250" s="176"/>
      <c r="E250" s="176" t="s">
        <v>258</v>
      </c>
      <c r="F250" s="177"/>
      <c r="G250" s="177" t="s">
        <v>2735</v>
      </c>
      <c r="H250" s="176" t="s">
        <v>2735</v>
      </c>
      <c r="I250" s="178">
        <v>0.91800000000000004</v>
      </c>
      <c r="J250" s="176" t="s">
        <v>3159</v>
      </c>
      <c r="K250" s="176" t="s">
        <v>250</v>
      </c>
      <c r="L250" s="176" t="s">
        <v>2804</v>
      </c>
      <c r="M250" s="179">
        <v>24.016100000000002</v>
      </c>
      <c r="N250" s="179">
        <v>22.046800000000001</v>
      </c>
      <c r="O250" s="179">
        <v>0</v>
      </c>
      <c r="P250" s="179">
        <v>22.046800000000001</v>
      </c>
      <c r="Q250" s="176" t="s">
        <v>3303</v>
      </c>
      <c r="R250" s="176" t="s">
        <v>2914</v>
      </c>
      <c r="S250" s="176" t="s">
        <v>2841</v>
      </c>
      <c r="T250" s="180">
        <v>46193.627500000002</v>
      </c>
      <c r="U250" s="176" t="s">
        <v>2766</v>
      </c>
      <c r="V250" s="176" t="s">
        <v>2797</v>
      </c>
    </row>
    <row r="251" spans="1:22">
      <c r="A251" s="175">
        <v>46193</v>
      </c>
      <c r="B251" s="176" t="s">
        <v>3158</v>
      </c>
      <c r="C251" s="176" t="s">
        <v>2734</v>
      </c>
      <c r="D251" s="176"/>
      <c r="E251" s="176" t="s">
        <v>258</v>
      </c>
      <c r="F251" s="177"/>
      <c r="G251" s="177" t="s">
        <v>2735</v>
      </c>
      <c r="H251" s="176" t="s">
        <v>2735</v>
      </c>
      <c r="I251" s="178">
        <v>0.91800000000000004</v>
      </c>
      <c r="J251" s="176" t="s">
        <v>3159</v>
      </c>
      <c r="K251" s="176" t="s">
        <v>250</v>
      </c>
      <c r="L251" s="176" t="s">
        <v>2804</v>
      </c>
      <c r="M251" s="179">
        <v>6.8999999999999999E-3</v>
      </c>
      <c r="N251" s="179">
        <v>6.3E-3</v>
      </c>
      <c r="O251" s="179">
        <v>0</v>
      </c>
      <c r="P251" s="179">
        <v>6.3E-3</v>
      </c>
      <c r="Q251" s="176" t="s">
        <v>3303</v>
      </c>
      <c r="R251" s="176" t="s">
        <v>2914</v>
      </c>
      <c r="S251" s="176" t="s">
        <v>2841</v>
      </c>
      <c r="T251" s="180">
        <v>46193.627500000002</v>
      </c>
      <c r="U251" s="176" t="s">
        <v>2766</v>
      </c>
      <c r="V251" s="176" t="s">
        <v>2797</v>
      </c>
    </row>
    <row r="252" spans="1:22">
      <c r="A252" s="175">
        <v>46193</v>
      </c>
      <c r="B252" s="176" t="s">
        <v>3158</v>
      </c>
      <c r="C252" s="176" t="s">
        <v>2734</v>
      </c>
      <c r="D252" s="176"/>
      <c r="E252" s="176" t="s">
        <v>258</v>
      </c>
      <c r="F252" s="177"/>
      <c r="G252" s="177" t="s">
        <v>2735</v>
      </c>
      <c r="H252" s="176" t="s">
        <v>2735</v>
      </c>
      <c r="I252" s="178">
        <v>0.91800000000000004</v>
      </c>
      <c r="J252" s="176" t="s">
        <v>3160</v>
      </c>
      <c r="K252" s="176" t="s">
        <v>250</v>
      </c>
      <c r="L252" s="176" t="s">
        <v>2804</v>
      </c>
      <c r="M252" s="179">
        <v>18.393000000000001</v>
      </c>
      <c r="N252" s="179">
        <v>16.884799999999998</v>
      </c>
      <c r="O252" s="179">
        <v>0</v>
      </c>
      <c r="P252" s="179">
        <v>16.884799999999998</v>
      </c>
      <c r="Q252" s="176" t="s">
        <v>3161</v>
      </c>
      <c r="R252" s="176" t="s">
        <v>3161</v>
      </c>
      <c r="S252" s="176" t="s">
        <v>2841</v>
      </c>
      <c r="T252" s="180">
        <v>46193.627500000002</v>
      </c>
      <c r="U252" s="176" t="s">
        <v>2800</v>
      </c>
      <c r="V252" s="176" t="s">
        <v>2797</v>
      </c>
    </row>
    <row r="253" spans="1:22">
      <c r="A253" s="175">
        <v>46193</v>
      </c>
      <c r="B253" s="176" t="s">
        <v>3158</v>
      </c>
      <c r="C253" s="176" t="s">
        <v>2734</v>
      </c>
      <c r="D253" s="176"/>
      <c r="E253" s="176" t="s">
        <v>258</v>
      </c>
      <c r="F253" s="177"/>
      <c r="G253" s="177" t="s">
        <v>2735</v>
      </c>
      <c r="H253" s="176" t="s">
        <v>2735</v>
      </c>
      <c r="I253" s="178">
        <v>0.91800000000000004</v>
      </c>
      <c r="J253" s="176" t="s">
        <v>3162</v>
      </c>
      <c r="K253" s="176" t="s">
        <v>250</v>
      </c>
      <c r="L253" s="176" t="s">
        <v>2804</v>
      </c>
      <c r="M253" s="179">
        <v>16.885000000000002</v>
      </c>
      <c r="N253" s="179">
        <v>15.500400000000001</v>
      </c>
      <c r="O253" s="179">
        <v>0</v>
      </c>
      <c r="P253" s="179">
        <v>15.500400000000001</v>
      </c>
      <c r="Q253" s="176" t="s">
        <v>3161</v>
      </c>
      <c r="R253" s="176" t="s">
        <v>3161</v>
      </c>
      <c r="S253" s="176" t="s">
        <v>2841</v>
      </c>
      <c r="T253" s="180">
        <v>46193.627500000002</v>
      </c>
      <c r="U253" s="176" t="s">
        <v>2800</v>
      </c>
      <c r="V253" s="176" t="s">
        <v>2797</v>
      </c>
    </row>
    <row r="254" spans="1:22">
      <c r="A254" s="175">
        <v>46193</v>
      </c>
      <c r="B254" s="176" t="s">
        <v>3158</v>
      </c>
      <c r="C254" s="176" t="s">
        <v>2734</v>
      </c>
      <c r="D254" s="176"/>
      <c r="E254" s="176" t="s">
        <v>258</v>
      </c>
      <c r="F254" s="177"/>
      <c r="G254" s="177" t="s">
        <v>2735</v>
      </c>
      <c r="H254" s="176" t="s">
        <v>2735</v>
      </c>
      <c r="I254" s="178">
        <v>0.91800000000000004</v>
      </c>
      <c r="J254" s="176" t="s">
        <v>3163</v>
      </c>
      <c r="K254" s="176" t="s">
        <v>250</v>
      </c>
      <c r="L254" s="176" t="s">
        <v>2804</v>
      </c>
      <c r="M254" s="179">
        <v>18.167999999999999</v>
      </c>
      <c r="N254" s="179">
        <v>16.6782</v>
      </c>
      <c r="O254" s="179">
        <v>0</v>
      </c>
      <c r="P254" s="179">
        <v>16.6782</v>
      </c>
      <c r="Q254" s="176" t="s">
        <v>2888</v>
      </c>
      <c r="R254" s="176" t="s">
        <v>2888</v>
      </c>
      <c r="S254" s="176" t="s">
        <v>2841</v>
      </c>
      <c r="T254" s="180">
        <v>46193.627500000002</v>
      </c>
      <c r="U254" s="176" t="s">
        <v>2800</v>
      </c>
      <c r="V254" s="176" t="s">
        <v>2801</v>
      </c>
    </row>
    <row r="255" spans="1:22">
      <c r="A255" s="175">
        <v>46193</v>
      </c>
      <c r="B255" s="176" t="s">
        <v>3158</v>
      </c>
      <c r="C255" s="176" t="s">
        <v>2734</v>
      </c>
      <c r="D255" s="176"/>
      <c r="E255" s="176" t="s">
        <v>258</v>
      </c>
      <c r="F255" s="177"/>
      <c r="G255" s="177" t="s">
        <v>2735</v>
      </c>
      <c r="H255" s="176" t="s">
        <v>2735</v>
      </c>
      <c r="I255" s="178">
        <v>0.91800000000000004</v>
      </c>
      <c r="J255" s="176" t="s">
        <v>2897</v>
      </c>
      <c r="K255" s="176" t="s">
        <v>250</v>
      </c>
      <c r="L255" s="176" t="s">
        <v>2804</v>
      </c>
      <c r="M255" s="179">
        <v>19.271000000000001</v>
      </c>
      <c r="N255" s="179">
        <v>17.690799999999999</v>
      </c>
      <c r="O255" s="179">
        <v>0</v>
      </c>
      <c r="P255" s="179">
        <v>17.690799999999999</v>
      </c>
      <c r="Q255" s="176" t="s">
        <v>2888</v>
      </c>
      <c r="R255" s="176" t="s">
        <v>2888</v>
      </c>
      <c r="S255" s="176" t="s">
        <v>2841</v>
      </c>
      <c r="T255" s="180">
        <v>46193.627500000002</v>
      </c>
      <c r="U255" s="176" t="s">
        <v>2800</v>
      </c>
      <c r="V255" s="176" t="s">
        <v>2801</v>
      </c>
    </row>
    <row r="256" spans="1:22">
      <c r="A256" s="175">
        <v>46193</v>
      </c>
      <c r="B256" s="176" t="s">
        <v>3158</v>
      </c>
      <c r="C256" s="176" t="s">
        <v>2734</v>
      </c>
      <c r="D256" s="176"/>
      <c r="E256" s="176" t="s">
        <v>258</v>
      </c>
      <c r="F256" s="177"/>
      <c r="G256" s="177" t="s">
        <v>2735</v>
      </c>
      <c r="H256" s="176" t="s">
        <v>2735</v>
      </c>
      <c r="I256" s="178">
        <v>0.91800000000000004</v>
      </c>
      <c r="J256" s="176" t="s">
        <v>3163</v>
      </c>
      <c r="K256" s="176" t="s">
        <v>250</v>
      </c>
      <c r="L256" s="176" t="s">
        <v>2804</v>
      </c>
      <c r="M256" s="179">
        <v>17.332999999999998</v>
      </c>
      <c r="N256" s="179">
        <v>15.9117</v>
      </c>
      <c r="O256" s="179">
        <v>0</v>
      </c>
      <c r="P256" s="179">
        <v>15.9117</v>
      </c>
      <c r="Q256" s="176" t="s">
        <v>2888</v>
      </c>
      <c r="R256" s="176" t="s">
        <v>2888</v>
      </c>
      <c r="S256" s="176" t="s">
        <v>2841</v>
      </c>
      <c r="T256" s="180">
        <v>46193.627500000002</v>
      </c>
      <c r="U256" s="176" t="s">
        <v>2800</v>
      </c>
      <c r="V256" s="176" t="s">
        <v>2801</v>
      </c>
    </row>
    <row r="257" spans="1:22">
      <c r="A257" s="175">
        <v>46193</v>
      </c>
      <c r="B257" s="176" t="s">
        <v>3158</v>
      </c>
      <c r="C257" s="176" t="s">
        <v>2734</v>
      </c>
      <c r="D257" s="176"/>
      <c r="E257" s="176" t="s">
        <v>258</v>
      </c>
      <c r="F257" s="177"/>
      <c r="G257" s="177" t="s">
        <v>2735</v>
      </c>
      <c r="H257" s="176" t="s">
        <v>2735</v>
      </c>
      <c r="I257" s="178">
        <v>0.91800000000000004</v>
      </c>
      <c r="J257" s="176" t="s">
        <v>3164</v>
      </c>
      <c r="K257" s="176" t="s">
        <v>250</v>
      </c>
      <c r="L257" s="176" t="s">
        <v>2804</v>
      </c>
      <c r="M257" s="179">
        <v>19.09</v>
      </c>
      <c r="N257" s="179">
        <v>17.5246</v>
      </c>
      <c r="O257" s="179">
        <v>0</v>
      </c>
      <c r="P257" s="179">
        <v>17.5246</v>
      </c>
      <c r="Q257" s="176" t="s">
        <v>2894</v>
      </c>
      <c r="R257" s="176" t="s">
        <v>2894</v>
      </c>
      <c r="S257" s="176" t="s">
        <v>2841</v>
      </c>
      <c r="T257" s="180">
        <v>46193.627500000002</v>
      </c>
      <c r="U257" s="176" t="s">
        <v>2766</v>
      </c>
      <c r="V257" s="176" t="s">
        <v>2801</v>
      </c>
    </row>
    <row r="258" spans="1:22">
      <c r="A258" s="175">
        <v>46193</v>
      </c>
      <c r="B258" s="176" t="s">
        <v>3158</v>
      </c>
      <c r="C258" s="176" t="s">
        <v>2734</v>
      </c>
      <c r="D258" s="176"/>
      <c r="E258" s="176" t="s">
        <v>258</v>
      </c>
      <c r="F258" s="177"/>
      <c r="G258" s="177" t="s">
        <v>2735</v>
      </c>
      <c r="H258" s="176" t="s">
        <v>2735</v>
      </c>
      <c r="I258" s="178">
        <v>0.91800000000000004</v>
      </c>
      <c r="J258" s="176" t="s">
        <v>3163</v>
      </c>
      <c r="K258" s="176" t="s">
        <v>250</v>
      </c>
      <c r="L258" s="176" t="s">
        <v>2804</v>
      </c>
      <c r="M258" s="179">
        <v>18.559000000000001</v>
      </c>
      <c r="N258" s="179">
        <v>17.037199999999999</v>
      </c>
      <c r="O258" s="179">
        <v>0</v>
      </c>
      <c r="P258" s="179">
        <v>17.037199999999999</v>
      </c>
      <c r="Q258" s="176" t="s">
        <v>2888</v>
      </c>
      <c r="R258" s="176" t="s">
        <v>2888</v>
      </c>
      <c r="S258" s="176" t="s">
        <v>2841</v>
      </c>
      <c r="T258" s="180">
        <v>46193.627500000002</v>
      </c>
      <c r="U258" s="176" t="s">
        <v>2800</v>
      </c>
      <c r="V258" s="176" t="s">
        <v>2801</v>
      </c>
    </row>
    <row r="259" spans="1:22">
      <c r="A259" s="175">
        <v>46193</v>
      </c>
      <c r="B259" s="176" t="s">
        <v>3158</v>
      </c>
      <c r="C259" s="176" t="s">
        <v>2734</v>
      </c>
      <c r="D259" s="176"/>
      <c r="E259" s="176" t="s">
        <v>258</v>
      </c>
      <c r="F259" s="177"/>
      <c r="G259" s="177" t="s">
        <v>2735</v>
      </c>
      <c r="H259" s="176" t="s">
        <v>2735</v>
      </c>
      <c r="I259" s="178">
        <v>0.91800000000000004</v>
      </c>
      <c r="J259" s="176" t="s">
        <v>3164</v>
      </c>
      <c r="K259" s="176" t="s">
        <v>250</v>
      </c>
      <c r="L259" s="176" t="s">
        <v>2804</v>
      </c>
      <c r="M259" s="179">
        <v>19.672999999999998</v>
      </c>
      <c r="N259" s="179">
        <v>18.059799999999999</v>
      </c>
      <c r="O259" s="179">
        <v>0</v>
      </c>
      <c r="P259" s="179">
        <v>18.059799999999999</v>
      </c>
      <c r="Q259" s="176" t="s">
        <v>2894</v>
      </c>
      <c r="R259" s="176" t="s">
        <v>2894</v>
      </c>
      <c r="S259" s="176" t="s">
        <v>2841</v>
      </c>
      <c r="T259" s="180">
        <v>46193.627500000002</v>
      </c>
      <c r="U259" s="176" t="s">
        <v>2766</v>
      </c>
      <c r="V259" s="176" t="s">
        <v>2801</v>
      </c>
    </row>
    <row r="260" spans="1:22">
      <c r="A260" s="175">
        <v>46193</v>
      </c>
      <c r="B260" s="176" t="s">
        <v>3158</v>
      </c>
      <c r="C260" s="176" t="s">
        <v>2734</v>
      </c>
      <c r="D260" s="176"/>
      <c r="E260" s="176" t="s">
        <v>258</v>
      </c>
      <c r="F260" s="177"/>
      <c r="G260" s="177" t="s">
        <v>2735</v>
      </c>
      <c r="H260" s="176" t="s">
        <v>2735</v>
      </c>
      <c r="I260" s="178">
        <v>0.91800000000000004</v>
      </c>
      <c r="J260" s="176" t="s">
        <v>3165</v>
      </c>
      <c r="K260" s="176" t="s">
        <v>250</v>
      </c>
      <c r="L260" s="176" t="s">
        <v>2804</v>
      </c>
      <c r="M260" s="179">
        <v>10.106999999999999</v>
      </c>
      <c r="N260" s="179">
        <v>9.2782</v>
      </c>
      <c r="O260" s="179">
        <v>0</v>
      </c>
      <c r="P260" s="179">
        <v>9.2782</v>
      </c>
      <c r="Q260" s="176" t="s">
        <v>2888</v>
      </c>
      <c r="R260" s="176" t="s">
        <v>2888</v>
      </c>
      <c r="S260" s="176" t="s">
        <v>2841</v>
      </c>
      <c r="T260" s="180">
        <v>46193.627500000002</v>
      </c>
      <c r="U260" s="176" t="s">
        <v>2837</v>
      </c>
      <c r="V260" s="176" t="s">
        <v>2801</v>
      </c>
    </row>
    <row r="261" spans="1:22">
      <c r="A261" s="175">
        <v>46193</v>
      </c>
      <c r="B261" s="176" t="s">
        <v>3158</v>
      </c>
      <c r="C261" s="176" t="s">
        <v>2734</v>
      </c>
      <c r="D261" s="176"/>
      <c r="E261" s="176" t="s">
        <v>258</v>
      </c>
      <c r="F261" s="177"/>
      <c r="G261" s="177" t="s">
        <v>2735</v>
      </c>
      <c r="H261" s="176" t="s">
        <v>2735</v>
      </c>
      <c r="I261" s="178">
        <v>0.91800000000000004</v>
      </c>
      <c r="J261" s="176" t="s">
        <v>2925</v>
      </c>
      <c r="K261" s="176" t="s">
        <v>250</v>
      </c>
      <c r="L261" s="176" t="s">
        <v>2804</v>
      </c>
      <c r="M261" s="179">
        <v>12.343</v>
      </c>
      <c r="N261" s="179">
        <v>11.3309</v>
      </c>
      <c r="O261" s="179">
        <v>0</v>
      </c>
      <c r="P261" s="179">
        <v>11.3309</v>
      </c>
      <c r="Q261" s="176" t="s">
        <v>2894</v>
      </c>
      <c r="R261" s="176" t="s">
        <v>2894</v>
      </c>
      <c r="S261" s="176" t="s">
        <v>2841</v>
      </c>
      <c r="T261" s="180">
        <v>46193.627500000002</v>
      </c>
      <c r="U261" s="176" t="s">
        <v>2766</v>
      </c>
      <c r="V261" s="176" t="s">
        <v>2801</v>
      </c>
    </row>
    <row r="262" spans="1:22">
      <c r="A262" s="175">
        <v>46193</v>
      </c>
      <c r="B262" s="176" t="s">
        <v>3158</v>
      </c>
      <c r="C262" s="176" t="s">
        <v>2734</v>
      </c>
      <c r="D262" s="176"/>
      <c r="E262" s="176" t="s">
        <v>258</v>
      </c>
      <c r="F262" s="177"/>
      <c r="G262" s="177" t="s">
        <v>2735</v>
      </c>
      <c r="H262" s="176" t="s">
        <v>2735</v>
      </c>
      <c r="I262" s="178">
        <v>0.91800000000000004</v>
      </c>
      <c r="J262" s="176" t="s">
        <v>3166</v>
      </c>
      <c r="K262" s="176" t="s">
        <v>250</v>
      </c>
      <c r="L262" s="176" t="s">
        <v>2804</v>
      </c>
      <c r="M262" s="179">
        <v>17.158000000000001</v>
      </c>
      <c r="N262" s="179">
        <v>15.750999999999999</v>
      </c>
      <c r="O262" s="179">
        <v>0</v>
      </c>
      <c r="P262" s="179">
        <v>15.750999999999999</v>
      </c>
      <c r="Q262" s="176" t="s">
        <v>3161</v>
      </c>
      <c r="R262" s="176" t="s">
        <v>3161</v>
      </c>
      <c r="S262" s="176" t="s">
        <v>2841</v>
      </c>
      <c r="T262" s="180">
        <v>46193.627500000002</v>
      </c>
      <c r="U262" s="176" t="s">
        <v>2800</v>
      </c>
      <c r="V262" s="176" t="s">
        <v>2797</v>
      </c>
    </row>
    <row r="263" spans="1:22">
      <c r="A263" s="175">
        <v>46193</v>
      </c>
      <c r="B263" s="176" t="s">
        <v>3158</v>
      </c>
      <c r="C263" s="176" t="s">
        <v>2734</v>
      </c>
      <c r="D263" s="176"/>
      <c r="E263" s="176" t="s">
        <v>258</v>
      </c>
      <c r="F263" s="177"/>
      <c r="G263" s="177" t="s">
        <v>2735</v>
      </c>
      <c r="H263" s="176" t="s">
        <v>2735</v>
      </c>
      <c r="I263" s="178">
        <v>0.91800000000000004</v>
      </c>
      <c r="J263" s="176" t="s">
        <v>3165</v>
      </c>
      <c r="K263" s="176" t="s">
        <v>250</v>
      </c>
      <c r="L263" s="176" t="s">
        <v>2804</v>
      </c>
      <c r="M263" s="179">
        <v>9.9260000000000002</v>
      </c>
      <c r="N263" s="179">
        <v>9.1120999999999999</v>
      </c>
      <c r="O263" s="179">
        <v>0</v>
      </c>
      <c r="P263" s="179">
        <v>9.1120999999999999</v>
      </c>
      <c r="Q263" s="176" t="s">
        <v>2888</v>
      </c>
      <c r="R263" s="176" t="s">
        <v>2888</v>
      </c>
      <c r="S263" s="176" t="s">
        <v>2841</v>
      </c>
      <c r="T263" s="180">
        <v>46193.627500000002</v>
      </c>
      <c r="U263" s="176" t="s">
        <v>2837</v>
      </c>
      <c r="V263" s="176" t="s">
        <v>2801</v>
      </c>
    </row>
    <row r="264" spans="1:22">
      <c r="A264" s="175">
        <v>46193</v>
      </c>
      <c r="B264" s="176" t="s">
        <v>3158</v>
      </c>
      <c r="C264" s="176" t="s">
        <v>2734</v>
      </c>
      <c r="D264" s="176"/>
      <c r="E264" s="176" t="s">
        <v>258</v>
      </c>
      <c r="F264" s="177"/>
      <c r="G264" s="177" t="s">
        <v>2735</v>
      </c>
      <c r="H264" s="176" t="s">
        <v>2735</v>
      </c>
      <c r="I264" s="178">
        <v>0.91800000000000004</v>
      </c>
      <c r="J264" s="176" t="s">
        <v>3167</v>
      </c>
      <c r="K264" s="176" t="s">
        <v>250</v>
      </c>
      <c r="L264" s="176" t="s">
        <v>2804</v>
      </c>
      <c r="M264" s="179">
        <v>25.829000000000001</v>
      </c>
      <c r="N264" s="179">
        <v>23.710999999999999</v>
      </c>
      <c r="O264" s="179">
        <v>0</v>
      </c>
      <c r="P264" s="179">
        <v>23.710999999999999</v>
      </c>
      <c r="Q264" s="176" t="s">
        <v>2888</v>
      </c>
      <c r="R264" s="176" t="s">
        <v>2888</v>
      </c>
      <c r="S264" s="176" t="s">
        <v>2841</v>
      </c>
      <c r="T264" s="180">
        <v>46193.627500000002</v>
      </c>
      <c r="U264" s="176" t="s">
        <v>2837</v>
      </c>
      <c r="V264" s="176" t="s">
        <v>2801</v>
      </c>
    </row>
    <row r="265" spans="1:22">
      <c r="A265" s="175">
        <v>46193</v>
      </c>
      <c r="B265" s="176" t="s">
        <v>3158</v>
      </c>
      <c r="C265" s="176" t="s">
        <v>2734</v>
      </c>
      <c r="D265" s="176"/>
      <c r="E265" s="176" t="s">
        <v>258</v>
      </c>
      <c r="F265" s="177"/>
      <c r="G265" s="177" t="s">
        <v>2735</v>
      </c>
      <c r="H265" s="176" t="s">
        <v>2735</v>
      </c>
      <c r="I265" s="178">
        <v>0.91800000000000004</v>
      </c>
      <c r="J265" s="176" t="s">
        <v>3168</v>
      </c>
      <c r="K265" s="176" t="s">
        <v>250</v>
      </c>
      <c r="L265" s="176" t="s">
        <v>2804</v>
      </c>
      <c r="M265" s="179">
        <v>23.545999999999999</v>
      </c>
      <c r="N265" s="179">
        <v>21.615200000000002</v>
      </c>
      <c r="O265" s="179">
        <v>0</v>
      </c>
      <c r="P265" s="179">
        <v>21.615200000000002</v>
      </c>
      <c r="Q265" s="176" t="s">
        <v>2894</v>
      </c>
      <c r="R265" s="176" t="s">
        <v>2894</v>
      </c>
      <c r="S265" s="176" t="s">
        <v>2841</v>
      </c>
      <c r="T265" s="180">
        <v>46193.627500000002</v>
      </c>
      <c r="U265" s="176" t="s">
        <v>2766</v>
      </c>
      <c r="V265" s="176" t="s">
        <v>2797</v>
      </c>
    </row>
    <row r="266" spans="1:22">
      <c r="A266" s="175">
        <v>46193</v>
      </c>
      <c r="B266" s="176" t="s">
        <v>3158</v>
      </c>
      <c r="C266" s="176" t="s">
        <v>2734</v>
      </c>
      <c r="D266" s="176"/>
      <c r="E266" s="176" t="s">
        <v>258</v>
      </c>
      <c r="F266" s="177"/>
      <c r="G266" s="177" t="s">
        <v>2735</v>
      </c>
      <c r="H266" s="176" t="s">
        <v>2735</v>
      </c>
      <c r="I266" s="178">
        <v>0.91800000000000004</v>
      </c>
      <c r="J266" s="176" t="s">
        <v>3169</v>
      </c>
      <c r="K266" s="176" t="s">
        <v>250</v>
      </c>
      <c r="L266" s="176" t="s">
        <v>2804</v>
      </c>
      <c r="M266" s="179">
        <v>43.883000000000003</v>
      </c>
      <c r="N266" s="179">
        <v>40.284599999999998</v>
      </c>
      <c r="O266" s="179">
        <v>0</v>
      </c>
      <c r="P266" s="179">
        <v>40.284599999999998</v>
      </c>
      <c r="Q266" s="176" t="s">
        <v>2888</v>
      </c>
      <c r="R266" s="176" t="s">
        <v>2888</v>
      </c>
      <c r="S266" s="176" t="s">
        <v>2841</v>
      </c>
      <c r="T266" s="180">
        <v>46193.627500000002</v>
      </c>
      <c r="U266" s="176" t="s">
        <v>2837</v>
      </c>
      <c r="V266" s="176" t="s">
        <v>2801</v>
      </c>
    </row>
    <row r="267" spans="1:22">
      <c r="A267" s="175">
        <v>46193</v>
      </c>
      <c r="B267" s="176" t="s">
        <v>3158</v>
      </c>
      <c r="C267" s="176" t="s">
        <v>2734</v>
      </c>
      <c r="D267" s="176"/>
      <c r="E267" s="176" t="s">
        <v>258</v>
      </c>
      <c r="F267" s="177"/>
      <c r="G267" s="177" t="s">
        <v>2735</v>
      </c>
      <c r="H267" s="176" t="s">
        <v>2735</v>
      </c>
      <c r="I267" s="178">
        <v>0.91800000000000004</v>
      </c>
      <c r="J267" s="176" t="s">
        <v>3169</v>
      </c>
      <c r="K267" s="176" t="s">
        <v>250</v>
      </c>
      <c r="L267" s="176" t="s">
        <v>2804</v>
      </c>
      <c r="M267" s="179">
        <v>46.332000000000001</v>
      </c>
      <c r="N267" s="179">
        <v>42.532800000000002</v>
      </c>
      <c r="O267" s="179">
        <v>0</v>
      </c>
      <c r="P267" s="179">
        <v>42.532800000000002</v>
      </c>
      <c r="Q267" s="176" t="s">
        <v>2888</v>
      </c>
      <c r="R267" s="176" t="s">
        <v>2888</v>
      </c>
      <c r="S267" s="176" t="s">
        <v>2841</v>
      </c>
      <c r="T267" s="180">
        <v>46193.627500000002</v>
      </c>
      <c r="U267" s="176" t="s">
        <v>2837</v>
      </c>
      <c r="V267" s="176" t="s">
        <v>2801</v>
      </c>
    </row>
    <row r="268" spans="1:22">
      <c r="A268" s="175">
        <v>46193</v>
      </c>
      <c r="B268" s="176" t="s">
        <v>3158</v>
      </c>
      <c r="C268" s="176" t="s">
        <v>2734</v>
      </c>
      <c r="D268" s="176"/>
      <c r="E268" s="176" t="s">
        <v>258</v>
      </c>
      <c r="F268" s="177"/>
      <c r="G268" s="177" t="s">
        <v>2735</v>
      </c>
      <c r="H268" s="176" t="s">
        <v>2735</v>
      </c>
      <c r="I268" s="178">
        <v>0.91800000000000004</v>
      </c>
      <c r="J268" s="176" t="s">
        <v>3164</v>
      </c>
      <c r="K268" s="176" t="s">
        <v>250</v>
      </c>
      <c r="L268" s="176" t="s">
        <v>2804</v>
      </c>
      <c r="M268" s="179">
        <v>19.047000000000001</v>
      </c>
      <c r="N268" s="179">
        <v>17.485099999999999</v>
      </c>
      <c r="O268" s="179">
        <v>0</v>
      </c>
      <c r="P268" s="179">
        <v>17.485099999999999</v>
      </c>
      <c r="Q268" s="176" t="s">
        <v>2894</v>
      </c>
      <c r="R268" s="176" t="s">
        <v>2894</v>
      </c>
      <c r="S268" s="176" t="s">
        <v>2841</v>
      </c>
      <c r="T268" s="180">
        <v>46193.627500000002</v>
      </c>
      <c r="U268" s="176" t="s">
        <v>2766</v>
      </c>
      <c r="V268" s="176" t="s">
        <v>2801</v>
      </c>
    </row>
    <row r="269" spans="1:22">
      <c r="A269" s="175">
        <v>46193</v>
      </c>
      <c r="B269" s="176" t="s">
        <v>3158</v>
      </c>
      <c r="C269" s="176" t="s">
        <v>2734</v>
      </c>
      <c r="D269" s="176"/>
      <c r="E269" s="176" t="s">
        <v>258</v>
      </c>
      <c r="F269" s="177"/>
      <c r="G269" s="177" t="s">
        <v>2735</v>
      </c>
      <c r="H269" s="176" t="s">
        <v>2735</v>
      </c>
      <c r="I269" s="178">
        <v>0.91800000000000004</v>
      </c>
      <c r="J269" s="176" t="s">
        <v>3166</v>
      </c>
      <c r="K269" s="176" t="s">
        <v>250</v>
      </c>
      <c r="L269" s="176" t="s">
        <v>2804</v>
      </c>
      <c r="M269" s="179">
        <v>17.238</v>
      </c>
      <c r="N269" s="179">
        <v>15.8245</v>
      </c>
      <c r="O269" s="179">
        <v>0</v>
      </c>
      <c r="P269" s="179">
        <v>15.8245</v>
      </c>
      <c r="Q269" s="176" t="s">
        <v>3161</v>
      </c>
      <c r="R269" s="176" t="s">
        <v>3161</v>
      </c>
      <c r="S269" s="176" t="s">
        <v>2841</v>
      </c>
      <c r="T269" s="180">
        <v>46193.627500000002</v>
      </c>
      <c r="U269" s="176" t="s">
        <v>2800</v>
      </c>
      <c r="V269" s="176" t="s">
        <v>2797</v>
      </c>
    </row>
    <row r="270" spans="1:22">
      <c r="A270" s="175">
        <v>46193</v>
      </c>
      <c r="B270" s="176" t="s">
        <v>3158</v>
      </c>
      <c r="C270" s="176" t="s">
        <v>2734</v>
      </c>
      <c r="D270" s="176"/>
      <c r="E270" s="176" t="s">
        <v>258</v>
      </c>
      <c r="F270" s="177"/>
      <c r="G270" s="177" t="s">
        <v>2735</v>
      </c>
      <c r="H270" s="176" t="s">
        <v>2735</v>
      </c>
      <c r="I270" s="178">
        <v>0.91800000000000004</v>
      </c>
      <c r="J270" s="176" t="s">
        <v>3165</v>
      </c>
      <c r="K270" s="176" t="s">
        <v>250</v>
      </c>
      <c r="L270" s="176" t="s">
        <v>2804</v>
      </c>
      <c r="M270" s="179">
        <v>10.051</v>
      </c>
      <c r="N270" s="179">
        <v>9.2268000000000008</v>
      </c>
      <c r="O270" s="179">
        <v>0</v>
      </c>
      <c r="P270" s="179">
        <v>9.2268000000000008</v>
      </c>
      <c r="Q270" s="176" t="s">
        <v>2888</v>
      </c>
      <c r="R270" s="176" t="s">
        <v>2888</v>
      </c>
      <c r="S270" s="176" t="s">
        <v>2841</v>
      </c>
      <c r="T270" s="180">
        <v>46193.627500000002</v>
      </c>
      <c r="U270" s="176" t="s">
        <v>2837</v>
      </c>
      <c r="V270" s="176" t="s">
        <v>2801</v>
      </c>
    </row>
    <row r="271" spans="1:22">
      <c r="A271" s="175">
        <v>46193</v>
      </c>
      <c r="B271" s="176" t="s">
        <v>3158</v>
      </c>
      <c r="C271" s="176" t="s">
        <v>2734</v>
      </c>
      <c r="D271" s="176"/>
      <c r="E271" s="176" t="s">
        <v>258</v>
      </c>
      <c r="F271" s="177"/>
      <c r="G271" s="177" t="s">
        <v>2735</v>
      </c>
      <c r="H271" s="176" t="s">
        <v>2735</v>
      </c>
      <c r="I271" s="178">
        <v>0.91800000000000004</v>
      </c>
      <c r="J271" s="176" t="s">
        <v>3167</v>
      </c>
      <c r="K271" s="176" t="s">
        <v>250</v>
      </c>
      <c r="L271" s="176" t="s">
        <v>2804</v>
      </c>
      <c r="M271" s="179">
        <v>25.725999999999999</v>
      </c>
      <c r="N271" s="179">
        <v>23.616499999999998</v>
      </c>
      <c r="O271" s="179">
        <v>0</v>
      </c>
      <c r="P271" s="179">
        <v>23.616499999999998</v>
      </c>
      <c r="Q271" s="176" t="s">
        <v>2888</v>
      </c>
      <c r="R271" s="176" t="s">
        <v>2888</v>
      </c>
      <c r="S271" s="176" t="s">
        <v>2841</v>
      </c>
      <c r="T271" s="180">
        <v>46193.627500000002</v>
      </c>
      <c r="U271" s="176" t="s">
        <v>2837</v>
      </c>
      <c r="V271" s="176" t="s">
        <v>2801</v>
      </c>
    </row>
    <row r="272" spans="1:22">
      <c r="A272" s="175">
        <v>46193</v>
      </c>
      <c r="B272" s="176" t="s">
        <v>3158</v>
      </c>
      <c r="C272" s="176" t="s">
        <v>2734</v>
      </c>
      <c r="D272" s="176"/>
      <c r="E272" s="176" t="s">
        <v>258</v>
      </c>
      <c r="F272" s="177"/>
      <c r="G272" s="177" t="s">
        <v>2735</v>
      </c>
      <c r="H272" s="176" t="s">
        <v>2735</v>
      </c>
      <c r="I272" s="178">
        <v>0.91800000000000004</v>
      </c>
      <c r="J272" s="176" t="s">
        <v>3163</v>
      </c>
      <c r="K272" s="176" t="s">
        <v>250</v>
      </c>
      <c r="L272" s="176" t="s">
        <v>2804</v>
      </c>
      <c r="M272" s="179">
        <v>18.632000000000001</v>
      </c>
      <c r="N272" s="179">
        <v>17.104199999999999</v>
      </c>
      <c r="O272" s="179">
        <v>0</v>
      </c>
      <c r="P272" s="179">
        <v>17.104199999999999</v>
      </c>
      <c r="Q272" s="176" t="s">
        <v>2888</v>
      </c>
      <c r="R272" s="176" t="s">
        <v>2888</v>
      </c>
      <c r="S272" s="176" t="s">
        <v>2841</v>
      </c>
      <c r="T272" s="180">
        <v>46193.627500000002</v>
      </c>
      <c r="U272" s="176" t="s">
        <v>2800</v>
      </c>
      <c r="V272" s="176" t="s">
        <v>2801</v>
      </c>
    </row>
    <row r="273" spans="1:22">
      <c r="A273" s="175">
        <v>46193</v>
      </c>
      <c r="B273" s="176" t="s">
        <v>3158</v>
      </c>
      <c r="C273" s="176" t="s">
        <v>2734</v>
      </c>
      <c r="D273" s="176"/>
      <c r="E273" s="176" t="s">
        <v>258</v>
      </c>
      <c r="F273" s="177"/>
      <c r="G273" s="177" t="s">
        <v>2735</v>
      </c>
      <c r="H273" s="176" t="s">
        <v>2735</v>
      </c>
      <c r="I273" s="178">
        <v>0.91800000000000004</v>
      </c>
      <c r="J273" s="176" t="s">
        <v>2892</v>
      </c>
      <c r="K273" s="176" t="s">
        <v>250</v>
      </c>
      <c r="L273" s="176" t="s">
        <v>2804</v>
      </c>
      <c r="M273" s="179">
        <v>30.09</v>
      </c>
      <c r="N273" s="179">
        <v>27.622599999999998</v>
      </c>
      <c r="O273" s="179">
        <v>0</v>
      </c>
      <c r="P273" s="179">
        <v>27.622599999999998</v>
      </c>
      <c r="Q273" s="176" t="s">
        <v>2894</v>
      </c>
      <c r="R273" s="176" t="s">
        <v>2894</v>
      </c>
      <c r="S273" s="176" t="s">
        <v>2841</v>
      </c>
      <c r="T273" s="180">
        <v>46193.627500000002</v>
      </c>
      <c r="U273" s="176" t="s">
        <v>2766</v>
      </c>
      <c r="V273" s="176" t="s">
        <v>2797</v>
      </c>
    </row>
    <row r="274" spans="1:22">
      <c r="A274" s="175">
        <v>46193</v>
      </c>
      <c r="B274" s="176" t="s">
        <v>3158</v>
      </c>
      <c r="C274" s="176" t="s">
        <v>2734</v>
      </c>
      <c r="D274" s="176"/>
      <c r="E274" s="176" t="s">
        <v>258</v>
      </c>
      <c r="F274" s="177"/>
      <c r="G274" s="177" t="s">
        <v>2735</v>
      </c>
      <c r="H274" s="176" t="s">
        <v>2735</v>
      </c>
      <c r="I274" s="178">
        <v>0.91800000000000004</v>
      </c>
      <c r="J274" s="176" t="s">
        <v>3162</v>
      </c>
      <c r="K274" s="176" t="s">
        <v>250</v>
      </c>
      <c r="L274" s="176" t="s">
        <v>2804</v>
      </c>
      <c r="M274" s="179">
        <v>16.954999999999998</v>
      </c>
      <c r="N274" s="179">
        <v>15.5647</v>
      </c>
      <c r="O274" s="179">
        <v>0</v>
      </c>
      <c r="P274" s="179">
        <v>15.5647</v>
      </c>
      <c r="Q274" s="176" t="s">
        <v>3161</v>
      </c>
      <c r="R274" s="176" t="s">
        <v>3161</v>
      </c>
      <c r="S274" s="176" t="s">
        <v>2841</v>
      </c>
      <c r="T274" s="180">
        <v>46193.627500000002</v>
      </c>
      <c r="U274" s="176" t="s">
        <v>2800</v>
      </c>
      <c r="V274" s="176" t="s">
        <v>2797</v>
      </c>
    </row>
    <row r="275" spans="1:22">
      <c r="A275" s="175">
        <v>46193</v>
      </c>
      <c r="B275" s="176" t="s">
        <v>3158</v>
      </c>
      <c r="C275" s="176" t="s">
        <v>2734</v>
      </c>
      <c r="D275" s="176"/>
      <c r="E275" s="176" t="s">
        <v>258</v>
      </c>
      <c r="F275" s="177"/>
      <c r="G275" s="177" t="s">
        <v>2735</v>
      </c>
      <c r="H275" s="176" t="s">
        <v>2735</v>
      </c>
      <c r="I275" s="178">
        <v>0.91800000000000004</v>
      </c>
      <c r="J275" s="176" t="s">
        <v>2897</v>
      </c>
      <c r="K275" s="176" t="s">
        <v>250</v>
      </c>
      <c r="L275" s="176" t="s">
        <v>2804</v>
      </c>
      <c r="M275" s="179">
        <v>18.829000000000001</v>
      </c>
      <c r="N275" s="179">
        <v>17.285</v>
      </c>
      <c r="O275" s="179">
        <v>0</v>
      </c>
      <c r="P275" s="179">
        <v>17.285</v>
      </c>
      <c r="Q275" s="176" t="s">
        <v>2888</v>
      </c>
      <c r="R275" s="176" t="s">
        <v>2888</v>
      </c>
      <c r="S275" s="176" t="s">
        <v>2841</v>
      </c>
      <c r="T275" s="180">
        <v>46193.627500000002</v>
      </c>
      <c r="U275" s="176" t="s">
        <v>2800</v>
      </c>
      <c r="V275" s="176" t="s">
        <v>2801</v>
      </c>
    </row>
    <row r="276" spans="1:22">
      <c r="A276" s="175">
        <v>46193</v>
      </c>
      <c r="B276" s="176" t="s">
        <v>3158</v>
      </c>
      <c r="C276" s="176" t="s">
        <v>2734</v>
      </c>
      <c r="D276" s="176"/>
      <c r="E276" s="176" t="s">
        <v>258</v>
      </c>
      <c r="F276" s="177"/>
      <c r="G276" s="177" t="s">
        <v>2735</v>
      </c>
      <c r="H276" s="176" t="s">
        <v>2735</v>
      </c>
      <c r="I276" s="178">
        <v>0.91800000000000004</v>
      </c>
      <c r="J276" s="176" t="s">
        <v>3170</v>
      </c>
      <c r="K276" s="176" t="s">
        <v>250</v>
      </c>
      <c r="L276" s="176" t="s">
        <v>2804</v>
      </c>
      <c r="M276" s="179">
        <v>23.492999999999999</v>
      </c>
      <c r="N276" s="179">
        <v>21.566600000000001</v>
      </c>
      <c r="O276" s="179">
        <v>0</v>
      </c>
      <c r="P276" s="179">
        <v>21.566600000000001</v>
      </c>
      <c r="Q276" s="176" t="s">
        <v>2894</v>
      </c>
      <c r="R276" s="176" t="s">
        <v>2894</v>
      </c>
      <c r="S276" s="176" t="s">
        <v>2841</v>
      </c>
      <c r="T276" s="180">
        <v>46193.627500000002</v>
      </c>
      <c r="U276" s="176" t="s">
        <v>2766</v>
      </c>
      <c r="V276" s="176" t="s">
        <v>2797</v>
      </c>
    </row>
    <row r="277" spans="1:22">
      <c r="A277" s="175">
        <v>46193</v>
      </c>
      <c r="B277" s="176" t="s">
        <v>3158</v>
      </c>
      <c r="C277" s="176" t="s">
        <v>2734</v>
      </c>
      <c r="D277" s="176"/>
      <c r="E277" s="176" t="s">
        <v>258</v>
      </c>
      <c r="F277" s="177"/>
      <c r="G277" s="177" t="s">
        <v>2735</v>
      </c>
      <c r="H277" s="176" t="s">
        <v>2735</v>
      </c>
      <c r="I277" s="178">
        <v>0.91800000000000004</v>
      </c>
      <c r="J277" s="176" t="s">
        <v>2925</v>
      </c>
      <c r="K277" s="176" t="s">
        <v>250</v>
      </c>
      <c r="L277" s="176" t="s">
        <v>2804</v>
      </c>
      <c r="M277" s="179">
        <v>12.054</v>
      </c>
      <c r="N277" s="179">
        <v>11.0656</v>
      </c>
      <c r="O277" s="179">
        <v>0</v>
      </c>
      <c r="P277" s="179">
        <v>11.0656</v>
      </c>
      <c r="Q277" s="176" t="s">
        <v>2894</v>
      </c>
      <c r="R277" s="176" t="s">
        <v>2894</v>
      </c>
      <c r="S277" s="176" t="s">
        <v>2841</v>
      </c>
      <c r="T277" s="180">
        <v>46193.627500000002</v>
      </c>
      <c r="U277" s="176" t="s">
        <v>2766</v>
      </c>
      <c r="V277" s="176" t="s">
        <v>2801</v>
      </c>
    </row>
    <row r="278" spans="1:22">
      <c r="A278" s="175">
        <v>46193</v>
      </c>
      <c r="B278" s="176" t="s">
        <v>3158</v>
      </c>
      <c r="C278" s="176" t="s">
        <v>2734</v>
      </c>
      <c r="D278" s="176"/>
      <c r="E278" s="176" t="s">
        <v>258</v>
      </c>
      <c r="F278" s="177"/>
      <c r="G278" s="177" t="s">
        <v>2735</v>
      </c>
      <c r="H278" s="176" t="s">
        <v>2735</v>
      </c>
      <c r="I278" s="178">
        <v>0.91800000000000004</v>
      </c>
      <c r="J278" s="176" t="s">
        <v>3170</v>
      </c>
      <c r="K278" s="176" t="s">
        <v>250</v>
      </c>
      <c r="L278" s="176" t="s">
        <v>2804</v>
      </c>
      <c r="M278" s="179">
        <v>24.238</v>
      </c>
      <c r="N278" s="179">
        <v>22.250499999999999</v>
      </c>
      <c r="O278" s="179">
        <v>0</v>
      </c>
      <c r="P278" s="179">
        <v>22.250499999999999</v>
      </c>
      <c r="Q278" s="176" t="s">
        <v>2894</v>
      </c>
      <c r="R278" s="176" t="s">
        <v>2894</v>
      </c>
      <c r="S278" s="176" t="s">
        <v>2841</v>
      </c>
      <c r="T278" s="180">
        <v>46193.627500000002</v>
      </c>
      <c r="U278" s="176" t="s">
        <v>2766</v>
      </c>
      <c r="V278" s="176" t="s">
        <v>2797</v>
      </c>
    </row>
    <row r="279" spans="1:22">
      <c r="A279" s="175">
        <v>46193</v>
      </c>
      <c r="B279" s="176" t="s">
        <v>3158</v>
      </c>
      <c r="C279" s="176" t="s">
        <v>2734</v>
      </c>
      <c r="D279" s="176"/>
      <c r="E279" s="176" t="s">
        <v>258</v>
      </c>
      <c r="F279" s="177"/>
      <c r="G279" s="177" t="s">
        <v>2735</v>
      </c>
      <c r="H279" s="176" t="s">
        <v>2735</v>
      </c>
      <c r="I279" s="178">
        <v>0.91800000000000004</v>
      </c>
      <c r="J279" s="176" t="s">
        <v>3165</v>
      </c>
      <c r="K279" s="176" t="s">
        <v>250</v>
      </c>
      <c r="L279" s="176" t="s">
        <v>2804</v>
      </c>
      <c r="M279" s="179">
        <v>10.15</v>
      </c>
      <c r="N279" s="179">
        <v>9.3177000000000003</v>
      </c>
      <c r="O279" s="179">
        <v>0</v>
      </c>
      <c r="P279" s="179">
        <v>9.3177000000000003</v>
      </c>
      <c r="Q279" s="176" t="s">
        <v>2888</v>
      </c>
      <c r="R279" s="176" t="s">
        <v>2888</v>
      </c>
      <c r="S279" s="176" t="s">
        <v>2841</v>
      </c>
      <c r="T279" s="180">
        <v>46193.627500000002</v>
      </c>
      <c r="U279" s="176" t="s">
        <v>2837</v>
      </c>
      <c r="V279" s="176" t="s">
        <v>2801</v>
      </c>
    </row>
    <row r="280" spans="1:22">
      <c r="A280" s="175">
        <v>46193</v>
      </c>
      <c r="B280" s="176" t="s">
        <v>3158</v>
      </c>
      <c r="C280" s="176" t="s">
        <v>2734</v>
      </c>
      <c r="D280" s="176"/>
      <c r="E280" s="176" t="s">
        <v>258</v>
      </c>
      <c r="F280" s="177"/>
      <c r="G280" s="177" t="s">
        <v>2735</v>
      </c>
      <c r="H280" s="176" t="s">
        <v>2735</v>
      </c>
      <c r="I280" s="178">
        <v>0.91800000000000004</v>
      </c>
      <c r="J280" s="176" t="s">
        <v>3168</v>
      </c>
      <c r="K280" s="176" t="s">
        <v>250</v>
      </c>
      <c r="L280" s="176" t="s">
        <v>2804</v>
      </c>
      <c r="M280" s="179">
        <v>22.681999999999999</v>
      </c>
      <c r="N280" s="179">
        <v>20.822099999999999</v>
      </c>
      <c r="O280" s="179">
        <v>0</v>
      </c>
      <c r="P280" s="179">
        <v>20.822099999999999</v>
      </c>
      <c r="Q280" s="176" t="s">
        <v>2894</v>
      </c>
      <c r="R280" s="176" t="s">
        <v>2894</v>
      </c>
      <c r="S280" s="176" t="s">
        <v>2841</v>
      </c>
      <c r="T280" s="180">
        <v>46193.627500000002</v>
      </c>
      <c r="U280" s="176" t="s">
        <v>2766</v>
      </c>
      <c r="V280" s="176" t="s">
        <v>2797</v>
      </c>
    </row>
    <row r="281" spans="1:22">
      <c r="A281" s="175">
        <v>46193</v>
      </c>
      <c r="B281" s="176" t="s">
        <v>3158</v>
      </c>
      <c r="C281" s="176" t="s">
        <v>2734</v>
      </c>
      <c r="D281" s="176"/>
      <c r="E281" s="176" t="s">
        <v>258</v>
      </c>
      <c r="F281" s="177"/>
      <c r="G281" s="177" t="s">
        <v>2735</v>
      </c>
      <c r="H281" s="176" t="s">
        <v>2735</v>
      </c>
      <c r="I281" s="178">
        <v>0.91800000000000004</v>
      </c>
      <c r="J281" s="176" t="s">
        <v>3165</v>
      </c>
      <c r="K281" s="176" t="s">
        <v>250</v>
      </c>
      <c r="L281" s="176" t="s">
        <v>2804</v>
      </c>
      <c r="M281" s="179">
        <v>9.6289999999999996</v>
      </c>
      <c r="N281" s="179">
        <v>8.8393999999999995</v>
      </c>
      <c r="O281" s="179">
        <v>0</v>
      </c>
      <c r="P281" s="179">
        <v>8.8393999999999995</v>
      </c>
      <c r="Q281" s="176" t="s">
        <v>2888</v>
      </c>
      <c r="R281" s="176" t="s">
        <v>2888</v>
      </c>
      <c r="S281" s="176" t="s">
        <v>2841</v>
      </c>
      <c r="T281" s="180">
        <v>46193.627500000002</v>
      </c>
      <c r="U281" s="176" t="s">
        <v>2837</v>
      </c>
      <c r="V281" s="176" t="s">
        <v>2801</v>
      </c>
    </row>
    <row r="282" spans="1:22">
      <c r="A282" s="175">
        <v>46193</v>
      </c>
      <c r="B282" s="176" t="s">
        <v>3158</v>
      </c>
      <c r="C282" s="176" t="s">
        <v>2734</v>
      </c>
      <c r="D282" s="176"/>
      <c r="E282" s="176" t="s">
        <v>258</v>
      </c>
      <c r="F282" s="177"/>
      <c r="G282" s="177" t="s">
        <v>2735</v>
      </c>
      <c r="H282" s="176" t="s">
        <v>2735</v>
      </c>
      <c r="I282" s="178">
        <v>0.91800000000000004</v>
      </c>
      <c r="J282" s="176" t="s">
        <v>3170</v>
      </c>
      <c r="K282" s="176" t="s">
        <v>250</v>
      </c>
      <c r="L282" s="176" t="s">
        <v>2804</v>
      </c>
      <c r="M282" s="179">
        <v>24.103999999999999</v>
      </c>
      <c r="N282" s="179">
        <v>22.127500000000001</v>
      </c>
      <c r="O282" s="179">
        <v>0</v>
      </c>
      <c r="P282" s="179">
        <v>22.127500000000001</v>
      </c>
      <c r="Q282" s="176" t="s">
        <v>2894</v>
      </c>
      <c r="R282" s="176" t="s">
        <v>2894</v>
      </c>
      <c r="S282" s="176" t="s">
        <v>2841</v>
      </c>
      <c r="T282" s="180">
        <v>46193.627500000002</v>
      </c>
      <c r="U282" s="176" t="s">
        <v>2766</v>
      </c>
      <c r="V282" s="176" t="s">
        <v>2797</v>
      </c>
    </row>
    <row r="283" spans="1:22">
      <c r="A283" s="175">
        <v>46193</v>
      </c>
      <c r="B283" s="176" t="s">
        <v>3158</v>
      </c>
      <c r="C283" s="176" t="s">
        <v>2734</v>
      </c>
      <c r="D283" s="176"/>
      <c r="E283" s="176" t="s">
        <v>258</v>
      </c>
      <c r="F283" s="177"/>
      <c r="G283" s="177" t="s">
        <v>2735</v>
      </c>
      <c r="H283" s="176" t="s">
        <v>2735</v>
      </c>
      <c r="I283" s="178">
        <v>0.91800000000000004</v>
      </c>
      <c r="J283" s="176" t="s">
        <v>3167</v>
      </c>
      <c r="K283" s="176" t="s">
        <v>250</v>
      </c>
      <c r="L283" s="176" t="s">
        <v>2804</v>
      </c>
      <c r="M283" s="179">
        <v>25.602</v>
      </c>
      <c r="N283" s="179">
        <v>23.502600000000001</v>
      </c>
      <c r="O283" s="179">
        <v>0</v>
      </c>
      <c r="P283" s="179">
        <v>23.502600000000001</v>
      </c>
      <c r="Q283" s="176" t="s">
        <v>2888</v>
      </c>
      <c r="R283" s="176" t="s">
        <v>2888</v>
      </c>
      <c r="S283" s="176" t="s">
        <v>2841</v>
      </c>
      <c r="T283" s="180">
        <v>46193.627500000002</v>
      </c>
      <c r="U283" s="176" t="s">
        <v>2837</v>
      </c>
      <c r="V283" s="176" t="s">
        <v>2801</v>
      </c>
    </row>
    <row r="284" spans="1:22">
      <c r="A284" s="175">
        <v>46193</v>
      </c>
      <c r="B284" s="176" t="s">
        <v>3158</v>
      </c>
      <c r="C284" s="176" t="s">
        <v>2734</v>
      </c>
      <c r="D284" s="176"/>
      <c r="E284" s="176" t="s">
        <v>258</v>
      </c>
      <c r="F284" s="177"/>
      <c r="G284" s="177" t="s">
        <v>2735</v>
      </c>
      <c r="H284" s="176" t="s">
        <v>2735</v>
      </c>
      <c r="I284" s="178">
        <v>0.91800000000000004</v>
      </c>
      <c r="J284" s="176" t="s">
        <v>2897</v>
      </c>
      <c r="K284" s="176" t="s">
        <v>250</v>
      </c>
      <c r="L284" s="176" t="s">
        <v>2804</v>
      </c>
      <c r="M284" s="179">
        <v>19.164000000000001</v>
      </c>
      <c r="N284" s="179">
        <v>17.592600000000001</v>
      </c>
      <c r="O284" s="179">
        <v>0</v>
      </c>
      <c r="P284" s="179">
        <v>17.592600000000001</v>
      </c>
      <c r="Q284" s="176" t="s">
        <v>2888</v>
      </c>
      <c r="R284" s="176" t="s">
        <v>2888</v>
      </c>
      <c r="S284" s="176" t="s">
        <v>2841</v>
      </c>
      <c r="T284" s="180">
        <v>46193.627500000002</v>
      </c>
      <c r="U284" s="176" t="s">
        <v>2800</v>
      </c>
      <c r="V284" s="176" t="s">
        <v>2801</v>
      </c>
    </row>
    <row r="285" spans="1:22">
      <c r="A285" s="175">
        <v>46193</v>
      </c>
      <c r="B285" s="176" t="s">
        <v>3158</v>
      </c>
      <c r="C285" s="176" t="s">
        <v>2734</v>
      </c>
      <c r="D285" s="176"/>
      <c r="E285" s="176" t="s">
        <v>258</v>
      </c>
      <c r="F285" s="177"/>
      <c r="G285" s="177" t="s">
        <v>2735</v>
      </c>
      <c r="H285" s="176" t="s">
        <v>2735</v>
      </c>
      <c r="I285" s="178">
        <v>0.91800000000000004</v>
      </c>
      <c r="J285" s="176" t="s">
        <v>3160</v>
      </c>
      <c r="K285" s="176" t="s">
        <v>250</v>
      </c>
      <c r="L285" s="176" t="s">
        <v>2804</v>
      </c>
      <c r="M285" s="179">
        <v>18.039000000000001</v>
      </c>
      <c r="N285" s="179">
        <v>16.559799999999999</v>
      </c>
      <c r="O285" s="179">
        <v>0</v>
      </c>
      <c r="P285" s="179">
        <v>16.559799999999999</v>
      </c>
      <c r="Q285" s="176" t="s">
        <v>3161</v>
      </c>
      <c r="R285" s="176" t="s">
        <v>3161</v>
      </c>
      <c r="S285" s="176" t="s">
        <v>2841</v>
      </c>
      <c r="T285" s="180">
        <v>46193.627500000002</v>
      </c>
      <c r="U285" s="176" t="s">
        <v>2800</v>
      </c>
      <c r="V285" s="176" t="s">
        <v>2797</v>
      </c>
    </row>
    <row r="286" spans="1:22">
      <c r="A286" s="175">
        <v>46193</v>
      </c>
      <c r="B286" s="176" t="s">
        <v>3158</v>
      </c>
      <c r="C286" s="176" t="s">
        <v>2734</v>
      </c>
      <c r="D286" s="176"/>
      <c r="E286" s="176" t="s">
        <v>258</v>
      </c>
      <c r="F286" s="177"/>
      <c r="G286" s="177" t="s">
        <v>2735</v>
      </c>
      <c r="H286" s="176" t="s">
        <v>2735</v>
      </c>
      <c r="I286" s="178">
        <v>0.91800000000000004</v>
      </c>
      <c r="J286" s="176" t="s">
        <v>2925</v>
      </c>
      <c r="K286" s="176" t="s">
        <v>250</v>
      </c>
      <c r="L286" s="176" t="s">
        <v>2804</v>
      </c>
      <c r="M286" s="179">
        <v>12.398999999999999</v>
      </c>
      <c r="N286" s="179">
        <v>11.382300000000001</v>
      </c>
      <c r="O286" s="179">
        <v>0</v>
      </c>
      <c r="P286" s="179">
        <v>11.382300000000001</v>
      </c>
      <c r="Q286" s="176" t="s">
        <v>2894</v>
      </c>
      <c r="R286" s="176" t="s">
        <v>2894</v>
      </c>
      <c r="S286" s="176" t="s">
        <v>2841</v>
      </c>
      <c r="T286" s="180">
        <v>46193.627500000002</v>
      </c>
      <c r="U286" s="176" t="s">
        <v>2766</v>
      </c>
      <c r="V286" s="176" t="s">
        <v>2801</v>
      </c>
    </row>
    <row r="287" spans="1:22">
      <c r="A287" s="175">
        <v>46193</v>
      </c>
      <c r="B287" s="176" t="s">
        <v>3158</v>
      </c>
      <c r="C287" s="176" t="s">
        <v>2734</v>
      </c>
      <c r="D287" s="176"/>
      <c r="E287" s="176" t="s">
        <v>258</v>
      </c>
      <c r="F287" s="177"/>
      <c r="G287" s="177" t="s">
        <v>2735</v>
      </c>
      <c r="H287" s="176" t="s">
        <v>2735</v>
      </c>
      <c r="I287" s="178">
        <v>0.91800000000000004</v>
      </c>
      <c r="J287" s="176" t="s">
        <v>3163</v>
      </c>
      <c r="K287" s="176" t="s">
        <v>250</v>
      </c>
      <c r="L287" s="176" t="s">
        <v>2804</v>
      </c>
      <c r="M287" s="179">
        <v>18.29</v>
      </c>
      <c r="N287" s="179">
        <v>16.790199999999999</v>
      </c>
      <c r="O287" s="179">
        <v>0</v>
      </c>
      <c r="P287" s="179">
        <v>16.790199999999999</v>
      </c>
      <c r="Q287" s="176" t="s">
        <v>2888</v>
      </c>
      <c r="R287" s="176" t="s">
        <v>2888</v>
      </c>
      <c r="S287" s="176" t="s">
        <v>2841</v>
      </c>
      <c r="T287" s="180">
        <v>46193.627500000002</v>
      </c>
      <c r="U287" s="176" t="s">
        <v>2800</v>
      </c>
      <c r="V287" s="176" t="s">
        <v>2801</v>
      </c>
    </row>
    <row r="288" spans="1:22">
      <c r="A288" s="175">
        <v>46193</v>
      </c>
      <c r="B288" s="176" t="s">
        <v>3158</v>
      </c>
      <c r="C288" s="176" t="s">
        <v>2734</v>
      </c>
      <c r="D288" s="176"/>
      <c r="E288" s="176" t="s">
        <v>258</v>
      </c>
      <c r="F288" s="177"/>
      <c r="G288" s="177" t="s">
        <v>2735</v>
      </c>
      <c r="H288" s="176" t="s">
        <v>2735</v>
      </c>
      <c r="I288" s="178">
        <v>0.91800000000000004</v>
      </c>
      <c r="J288" s="176" t="s">
        <v>3164</v>
      </c>
      <c r="K288" s="176" t="s">
        <v>250</v>
      </c>
      <c r="L288" s="176" t="s">
        <v>2804</v>
      </c>
      <c r="M288" s="179">
        <v>19.82</v>
      </c>
      <c r="N288" s="179">
        <v>18.194800000000001</v>
      </c>
      <c r="O288" s="179">
        <v>0</v>
      </c>
      <c r="P288" s="179">
        <v>18.194800000000001</v>
      </c>
      <c r="Q288" s="176" t="s">
        <v>2894</v>
      </c>
      <c r="R288" s="176" t="s">
        <v>2894</v>
      </c>
      <c r="S288" s="176" t="s">
        <v>2841</v>
      </c>
      <c r="T288" s="180">
        <v>46193.627500000002</v>
      </c>
      <c r="U288" s="176" t="s">
        <v>2766</v>
      </c>
      <c r="V288" s="176" t="s">
        <v>2801</v>
      </c>
    </row>
    <row r="289" spans="1:22">
      <c r="A289" s="175">
        <v>46193</v>
      </c>
      <c r="B289" s="176" t="s">
        <v>3158</v>
      </c>
      <c r="C289" s="176" t="s">
        <v>2734</v>
      </c>
      <c r="D289" s="176"/>
      <c r="E289" s="176" t="s">
        <v>258</v>
      </c>
      <c r="F289" s="177"/>
      <c r="G289" s="177" t="s">
        <v>2735</v>
      </c>
      <c r="H289" s="176" t="s">
        <v>2735</v>
      </c>
      <c r="I289" s="178">
        <v>0.91800000000000004</v>
      </c>
      <c r="J289" s="176" t="s">
        <v>3165</v>
      </c>
      <c r="K289" s="176" t="s">
        <v>250</v>
      </c>
      <c r="L289" s="176" t="s">
        <v>2804</v>
      </c>
      <c r="M289" s="179">
        <v>9.89</v>
      </c>
      <c r="N289" s="179">
        <v>9.0790000000000006</v>
      </c>
      <c r="O289" s="179">
        <v>0</v>
      </c>
      <c r="P289" s="179">
        <v>9.0790000000000006</v>
      </c>
      <c r="Q289" s="176" t="s">
        <v>2888</v>
      </c>
      <c r="R289" s="176" t="s">
        <v>2888</v>
      </c>
      <c r="S289" s="176" t="s">
        <v>2841</v>
      </c>
      <c r="T289" s="180">
        <v>46193.627500000002</v>
      </c>
      <c r="U289" s="176" t="s">
        <v>2837</v>
      </c>
      <c r="V289" s="176" t="s">
        <v>2801</v>
      </c>
    </row>
    <row r="290" spans="1:22">
      <c r="A290" s="175">
        <v>46193</v>
      </c>
      <c r="B290" s="176" t="s">
        <v>3158</v>
      </c>
      <c r="C290" s="176" t="s">
        <v>2734</v>
      </c>
      <c r="D290" s="176"/>
      <c r="E290" s="176" t="s">
        <v>258</v>
      </c>
      <c r="F290" s="177"/>
      <c r="G290" s="177" t="s">
        <v>2735</v>
      </c>
      <c r="H290" s="176" t="s">
        <v>2735</v>
      </c>
      <c r="I290" s="178">
        <v>0.91800000000000004</v>
      </c>
      <c r="J290" s="176" t="s">
        <v>2897</v>
      </c>
      <c r="K290" s="176" t="s">
        <v>250</v>
      </c>
      <c r="L290" s="176" t="s">
        <v>2804</v>
      </c>
      <c r="M290" s="179">
        <v>18.518000000000001</v>
      </c>
      <c r="N290" s="179">
        <v>16.999500000000001</v>
      </c>
      <c r="O290" s="179">
        <v>0</v>
      </c>
      <c r="P290" s="179">
        <v>16.999500000000001</v>
      </c>
      <c r="Q290" s="176" t="s">
        <v>2888</v>
      </c>
      <c r="R290" s="176" t="s">
        <v>2888</v>
      </c>
      <c r="S290" s="176" t="s">
        <v>2841</v>
      </c>
      <c r="T290" s="180">
        <v>46193.627500000002</v>
      </c>
      <c r="U290" s="176" t="s">
        <v>2800</v>
      </c>
      <c r="V290" s="176" t="s">
        <v>2801</v>
      </c>
    </row>
    <row r="291" spans="1:22">
      <c r="A291" s="175">
        <v>46193</v>
      </c>
      <c r="B291" s="176" t="s">
        <v>3158</v>
      </c>
      <c r="C291" s="176" t="s">
        <v>2734</v>
      </c>
      <c r="D291" s="176"/>
      <c r="E291" s="176" t="s">
        <v>258</v>
      </c>
      <c r="F291" s="177"/>
      <c r="G291" s="177" t="s">
        <v>2735</v>
      </c>
      <c r="H291" s="176" t="s">
        <v>2735</v>
      </c>
      <c r="I291" s="178">
        <v>0.91800000000000004</v>
      </c>
      <c r="J291" s="176" t="s">
        <v>3165</v>
      </c>
      <c r="K291" s="176" t="s">
        <v>250</v>
      </c>
      <c r="L291" s="176" t="s">
        <v>2804</v>
      </c>
      <c r="M291" s="179">
        <v>10.407</v>
      </c>
      <c r="N291" s="179">
        <v>9.5535999999999994</v>
      </c>
      <c r="O291" s="179">
        <v>0</v>
      </c>
      <c r="P291" s="179">
        <v>9.5535999999999994</v>
      </c>
      <c r="Q291" s="176" t="s">
        <v>2888</v>
      </c>
      <c r="R291" s="176" t="s">
        <v>2888</v>
      </c>
      <c r="S291" s="176" t="s">
        <v>2841</v>
      </c>
      <c r="T291" s="180">
        <v>46193.627500000002</v>
      </c>
      <c r="U291" s="176" t="s">
        <v>2837</v>
      </c>
      <c r="V291" s="176" t="s">
        <v>2801</v>
      </c>
    </row>
    <row r="292" spans="1:22">
      <c r="A292" s="175">
        <v>46193</v>
      </c>
      <c r="B292" s="176" t="s">
        <v>3158</v>
      </c>
      <c r="C292" s="176" t="s">
        <v>2734</v>
      </c>
      <c r="D292" s="176"/>
      <c r="E292" s="176" t="s">
        <v>258</v>
      </c>
      <c r="F292" s="177"/>
      <c r="G292" s="177" t="s">
        <v>2735</v>
      </c>
      <c r="H292" s="176" t="s">
        <v>2735</v>
      </c>
      <c r="I292" s="178">
        <v>0.91800000000000004</v>
      </c>
      <c r="J292" s="176" t="s">
        <v>3167</v>
      </c>
      <c r="K292" s="176" t="s">
        <v>250</v>
      </c>
      <c r="L292" s="176" t="s">
        <v>2804</v>
      </c>
      <c r="M292" s="179">
        <v>25.08</v>
      </c>
      <c r="N292" s="179">
        <v>23.023399999999999</v>
      </c>
      <c r="O292" s="179">
        <v>0</v>
      </c>
      <c r="P292" s="179">
        <v>23.023399999999999</v>
      </c>
      <c r="Q292" s="176" t="s">
        <v>2888</v>
      </c>
      <c r="R292" s="176" t="s">
        <v>2888</v>
      </c>
      <c r="S292" s="176" t="s">
        <v>2841</v>
      </c>
      <c r="T292" s="180">
        <v>46193.627500000002</v>
      </c>
      <c r="U292" s="176" t="s">
        <v>2837</v>
      </c>
      <c r="V292" s="176" t="s">
        <v>2801</v>
      </c>
    </row>
    <row r="293" spans="1:22">
      <c r="A293" s="175">
        <v>46193</v>
      </c>
      <c r="B293" s="176" t="s">
        <v>3158</v>
      </c>
      <c r="C293" s="176" t="s">
        <v>2734</v>
      </c>
      <c r="D293" s="176"/>
      <c r="E293" s="176" t="s">
        <v>258</v>
      </c>
      <c r="F293" s="177"/>
      <c r="G293" s="177" t="s">
        <v>2735</v>
      </c>
      <c r="H293" s="176" t="s">
        <v>2735</v>
      </c>
      <c r="I293" s="178">
        <v>0.91800000000000004</v>
      </c>
      <c r="J293" s="176" t="s">
        <v>3167</v>
      </c>
      <c r="K293" s="176" t="s">
        <v>250</v>
      </c>
      <c r="L293" s="176" t="s">
        <v>2804</v>
      </c>
      <c r="M293" s="179">
        <v>25.416</v>
      </c>
      <c r="N293" s="179">
        <v>23.331900000000001</v>
      </c>
      <c r="O293" s="179">
        <v>0</v>
      </c>
      <c r="P293" s="179">
        <v>23.331900000000001</v>
      </c>
      <c r="Q293" s="176" t="s">
        <v>2888</v>
      </c>
      <c r="R293" s="176" t="s">
        <v>2888</v>
      </c>
      <c r="S293" s="176" t="s">
        <v>2841</v>
      </c>
      <c r="T293" s="180">
        <v>46193.627500000002</v>
      </c>
      <c r="U293" s="176" t="s">
        <v>2837</v>
      </c>
      <c r="V293" s="176" t="s">
        <v>2801</v>
      </c>
    </row>
    <row r="294" spans="1:22">
      <c r="A294" s="175">
        <v>46193</v>
      </c>
      <c r="B294" s="176" t="s">
        <v>3158</v>
      </c>
      <c r="C294" s="176" t="s">
        <v>2734</v>
      </c>
      <c r="D294" s="176"/>
      <c r="E294" s="176" t="s">
        <v>258</v>
      </c>
      <c r="F294" s="177"/>
      <c r="G294" s="177" t="s">
        <v>2735</v>
      </c>
      <c r="H294" s="176" t="s">
        <v>2735</v>
      </c>
      <c r="I294" s="178">
        <v>0.91800000000000004</v>
      </c>
      <c r="J294" s="176" t="s">
        <v>3168</v>
      </c>
      <c r="K294" s="176" t="s">
        <v>250</v>
      </c>
      <c r="L294" s="176" t="s">
        <v>2804</v>
      </c>
      <c r="M294" s="179">
        <v>22.481000000000002</v>
      </c>
      <c r="N294" s="179">
        <v>20.637599999999999</v>
      </c>
      <c r="O294" s="179">
        <v>0</v>
      </c>
      <c r="P294" s="179">
        <v>20.637599999999999</v>
      </c>
      <c r="Q294" s="176" t="s">
        <v>2894</v>
      </c>
      <c r="R294" s="176" t="s">
        <v>2894</v>
      </c>
      <c r="S294" s="176" t="s">
        <v>2841</v>
      </c>
      <c r="T294" s="180">
        <v>46193.627500000002</v>
      </c>
      <c r="U294" s="176" t="s">
        <v>2766</v>
      </c>
      <c r="V294" s="176" t="s">
        <v>2797</v>
      </c>
    </row>
    <row r="295" spans="1:22">
      <c r="A295" s="175">
        <v>46193</v>
      </c>
      <c r="B295" s="176" t="s">
        <v>3158</v>
      </c>
      <c r="C295" s="176" t="s">
        <v>2734</v>
      </c>
      <c r="D295" s="176"/>
      <c r="E295" s="176" t="s">
        <v>258</v>
      </c>
      <c r="F295" s="177"/>
      <c r="G295" s="177" t="s">
        <v>2735</v>
      </c>
      <c r="H295" s="176" t="s">
        <v>2735</v>
      </c>
      <c r="I295" s="178">
        <v>0.91800000000000004</v>
      </c>
      <c r="J295" s="176" t="s">
        <v>2892</v>
      </c>
      <c r="K295" s="176" t="s">
        <v>250</v>
      </c>
      <c r="L295" s="176" t="s">
        <v>2804</v>
      </c>
      <c r="M295" s="179">
        <v>30.210999999999999</v>
      </c>
      <c r="N295" s="179">
        <v>27.733699999999999</v>
      </c>
      <c r="O295" s="179">
        <v>0</v>
      </c>
      <c r="P295" s="179">
        <v>27.733699999999999</v>
      </c>
      <c r="Q295" s="176" t="s">
        <v>2894</v>
      </c>
      <c r="R295" s="176" t="s">
        <v>2894</v>
      </c>
      <c r="S295" s="176" t="s">
        <v>2841</v>
      </c>
      <c r="T295" s="180">
        <v>46193.627500000002</v>
      </c>
      <c r="U295" s="176" t="s">
        <v>2766</v>
      </c>
      <c r="V295" s="176" t="s">
        <v>2797</v>
      </c>
    </row>
    <row r="296" spans="1:22">
      <c r="A296" s="175">
        <v>46193</v>
      </c>
      <c r="B296" s="176" t="s">
        <v>3171</v>
      </c>
      <c r="C296" s="176" t="s">
        <v>2734</v>
      </c>
      <c r="D296" s="176"/>
      <c r="E296" s="176" t="s">
        <v>276</v>
      </c>
      <c r="F296" s="177"/>
      <c r="G296" s="177" t="s">
        <v>2735</v>
      </c>
      <c r="H296" s="176" t="s">
        <v>2735</v>
      </c>
      <c r="I296" s="178">
        <v>0.91600000000000004</v>
      </c>
      <c r="J296" s="176" t="s">
        <v>3172</v>
      </c>
      <c r="K296" s="176" t="s">
        <v>250</v>
      </c>
      <c r="L296" s="176" t="s">
        <v>2856</v>
      </c>
      <c r="M296" s="179">
        <v>3.8663E-3</v>
      </c>
      <c r="N296" s="179">
        <v>3.5000000000000001E-3</v>
      </c>
      <c r="O296" s="179">
        <v>0</v>
      </c>
      <c r="P296" s="179">
        <v>3.5000000000000001E-3</v>
      </c>
      <c r="Q296" s="176" t="s">
        <v>2956</v>
      </c>
      <c r="R296" s="176" t="s">
        <v>3173</v>
      </c>
      <c r="S296" s="176" t="s">
        <v>2907</v>
      </c>
      <c r="T296" s="180">
        <v>46193.622754629629</v>
      </c>
      <c r="U296" s="176" t="s">
        <v>2957</v>
      </c>
      <c r="V296" s="176" t="s">
        <v>2847</v>
      </c>
    </row>
    <row r="297" spans="1:22">
      <c r="A297" s="175">
        <v>46193</v>
      </c>
      <c r="B297" s="176" t="s">
        <v>3171</v>
      </c>
      <c r="C297" s="176" t="s">
        <v>2734</v>
      </c>
      <c r="D297" s="176"/>
      <c r="E297" s="176" t="s">
        <v>276</v>
      </c>
      <c r="F297" s="177"/>
      <c r="G297" s="177" t="s">
        <v>2735</v>
      </c>
      <c r="H297" s="176" t="s">
        <v>2735</v>
      </c>
      <c r="I297" s="178">
        <v>0.91600000000000004</v>
      </c>
      <c r="J297" s="176" t="s">
        <v>3172</v>
      </c>
      <c r="K297" s="176" t="s">
        <v>250</v>
      </c>
      <c r="L297" s="176" t="s">
        <v>2856</v>
      </c>
      <c r="M297" s="179">
        <v>4.4701336999999999</v>
      </c>
      <c r="N297" s="179">
        <v>4.0945999999999998</v>
      </c>
      <c r="O297" s="179">
        <v>0</v>
      </c>
      <c r="P297" s="179">
        <v>4.0945999999999998</v>
      </c>
      <c r="Q297" s="176" t="s">
        <v>2956</v>
      </c>
      <c r="R297" s="176" t="s">
        <v>3173</v>
      </c>
      <c r="S297" s="176" t="s">
        <v>2907</v>
      </c>
      <c r="T297" s="180">
        <v>46193.622754629629</v>
      </c>
      <c r="U297" s="176" t="s">
        <v>2957</v>
      </c>
      <c r="V297" s="176" t="s">
        <v>2847</v>
      </c>
    </row>
    <row r="298" spans="1:22">
      <c r="A298" s="175">
        <v>46193</v>
      </c>
      <c r="B298" s="176" t="s">
        <v>3174</v>
      </c>
      <c r="C298" s="176" t="s">
        <v>2734</v>
      </c>
      <c r="D298" s="176"/>
      <c r="E298" s="176" t="s">
        <v>258</v>
      </c>
      <c r="F298" s="177"/>
      <c r="G298" s="177" t="s">
        <v>2735</v>
      </c>
      <c r="H298" s="176" t="s">
        <v>2735</v>
      </c>
      <c r="I298" s="178">
        <v>0.75</v>
      </c>
      <c r="J298" s="176" t="s">
        <v>3175</v>
      </c>
      <c r="K298" s="176" t="s">
        <v>253</v>
      </c>
      <c r="L298" s="176" t="s">
        <v>282</v>
      </c>
      <c r="M298" s="179">
        <v>11.512</v>
      </c>
      <c r="N298" s="179">
        <v>8.6340000000000003</v>
      </c>
      <c r="O298" s="179">
        <v>0</v>
      </c>
      <c r="P298" s="179">
        <v>8.6340000000000003</v>
      </c>
      <c r="Q298" s="176" t="s">
        <v>3176</v>
      </c>
      <c r="R298" s="176" t="s">
        <v>3176</v>
      </c>
      <c r="S298" s="176" t="s">
        <v>2841</v>
      </c>
      <c r="T298" s="180">
        <v>46193.615358796298</v>
      </c>
      <c r="U298" s="176" t="s">
        <v>2850</v>
      </c>
      <c r="V298" s="176" t="s">
        <v>2797</v>
      </c>
    </row>
    <row r="299" spans="1:22">
      <c r="A299" s="175">
        <v>46193</v>
      </c>
      <c r="B299" s="176" t="s">
        <v>3174</v>
      </c>
      <c r="C299" s="176" t="s">
        <v>2734</v>
      </c>
      <c r="D299" s="176"/>
      <c r="E299" s="176" t="s">
        <v>258</v>
      </c>
      <c r="F299" s="177"/>
      <c r="G299" s="177" t="s">
        <v>2735</v>
      </c>
      <c r="H299" s="176" t="s">
        <v>2735</v>
      </c>
      <c r="I299" s="178">
        <v>0.75</v>
      </c>
      <c r="J299" s="176" t="s">
        <v>2890</v>
      </c>
      <c r="K299" s="176" t="s">
        <v>253</v>
      </c>
      <c r="L299" s="176" t="s">
        <v>282</v>
      </c>
      <c r="M299" s="179">
        <v>15.034000000000001</v>
      </c>
      <c r="N299" s="179">
        <v>11.275499999999999</v>
      </c>
      <c r="O299" s="179">
        <v>0</v>
      </c>
      <c r="P299" s="179">
        <v>11.275499999999999</v>
      </c>
      <c r="Q299" s="176" t="s">
        <v>2988</v>
      </c>
      <c r="R299" s="176" t="s">
        <v>3177</v>
      </c>
      <c r="S299" s="176" t="s">
        <v>2841</v>
      </c>
      <c r="T299" s="180">
        <v>46193.615358796298</v>
      </c>
      <c r="U299" s="176" t="s">
        <v>2837</v>
      </c>
      <c r="V299" s="176" t="s">
        <v>2797</v>
      </c>
    </row>
    <row r="300" spans="1:22">
      <c r="A300" s="175">
        <v>46193</v>
      </c>
      <c r="B300" s="176" t="s">
        <v>3174</v>
      </c>
      <c r="C300" s="176" t="s">
        <v>2734</v>
      </c>
      <c r="D300" s="176"/>
      <c r="E300" s="176" t="s">
        <v>258</v>
      </c>
      <c r="F300" s="177"/>
      <c r="G300" s="177" t="s">
        <v>2735</v>
      </c>
      <c r="H300" s="176" t="s">
        <v>2735</v>
      </c>
      <c r="I300" s="178">
        <v>0.75</v>
      </c>
      <c r="J300" s="176" t="s">
        <v>2890</v>
      </c>
      <c r="K300" s="176" t="s">
        <v>253</v>
      </c>
      <c r="L300" s="176" t="s">
        <v>282</v>
      </c>
      <c r="M300" s="179">
        <v>14.987</v>
      </c>
      <c r="N300" s="179">
        <v>11.2403</v>
      </c>
      <c r="O300" s="179">
        <v>0</v>
      </c>
      <c r="P300" s="179">
        <v>11.2403</v>
      </c>
      <c r="Q300" s="176" t="s">
        <v>2988</v>
      </c>
      <c r="R300" s="176" t="s">
        <v>3177</v>
      </c>
      <c r="S300" s="176" t="s">
        <v>2841</v>
      </c>
      <c r="T300" s="180">
        <v>46193.615358796298</v>
      </c>
      <c r="U300" s="176" t="s">
        <v>2837</v>
      </c>
      <c r="V300" s="176" t="s">
        <v>2797</v>
      </c>
    </row>
    <row r="301" spans="1:22">
      <c r="A301" s="175">
        <v>46193</v>
      </c>
      <c r="B301" s="176" t="s">
        <v>3174</v>
      </c>
      <c r="C301" s="176" t="s">
        <v>2734</v>
      </c>
      <c r="D301" s="176"/>
      <c r="E301" s="176" t="s">
        <v>258</v>
      </c>
      <c r="F301" s="177"/>
      <c r="G301" s="177" t="s">
        <v>2735</v>
      </c>
      <c r="H301" s="176" t="s">
        <v>2735</v>
      </c>
      <c r="I301" s="178">
        <v>0.75</v>
      </c>
      <c r="J301" s="176" t="s">
        <v>3178</v>
      </c>
      <c r="K301" s="176" t="s">
        <v>253</v>
      </c>
      <c r="L301" s="176" t="s">
        <v>282</v>
      </c>
      <c r="M301" s="179">
        <v>11.651999999999999</v>
      </c>
      <c r="N301" s="179">
        <v>8.7390000000000008</v>
      </c>
      <c r="O301" s="179">
        <v>0</v>
      </c>
      <c r="P301" s="179">
        <v>8.7390000000000008</v>
      </c>
      <c r="Q301" s="176" t="s">
        <v>3179</v>
      </c>
      <c r="R301" s="176" t="s">
        <v>3179</v>
      </c>
      <c r="S301" s="176" t="s">
        <v>2841</v>
      </c>
      <c r="T301" s="180">
        <v>46193.615358796298</v>
      </c>
      <c r="U301" s="176" t="s">
        <v>2766</v>
      </c>
      <c r="V301" s="176" t="s">
        <v>2948</v>
      </c>
    </row>
    <row r="302" spans="1:22">
      <c r="A302" s="175">
        <v>46193</v>
      </c>
      <c r="B302" s="176" t="s">
        <v>3174</v>
      </c>
      <c r="C302" s="176" t="s">
        <v>2734</v>
      </c>
      <c r="D302" s="176"/>
      <c r="E302" s="176" t="s">
        <v>258</v>
      </c>
      <c r="F302" s="177"/>
      <c r="G302" s="177" t="s">
        <v>2735</v>
      </c>
      <c r="H302" s="176" t="s">
        <v>2735</v>
      </c>
      <c r="I302" s="178">
        <v>0.75</v>
      </c>
      <c r="J302" s="176" t="s">
        <v>3178</v>
      </c>
      <c r="K302" s="176" t="s">
        <v>253</v>
      </c>
      <c r="L302" s="176" t="s">
        <v>282</v>
      </c>
      <c r="M302" s="179">
        <v>11.574999999999999</v>
      </c>
      <c r="N302" s="179">
        <v>8.6813000000000002</v>
      </c>
      <c r="O302" s="179">
        <v>0</v>
      </c>
      <c r="P302" s="179">
        <v>8.6813000000000002</v>
      </c>
      <c r="Q302" s="176" t="s">
        <v>3179</v>
      </c>
      <c r="R302" s="176" t="s">
        <v>3179</v>
      </c>
      <c r="S302" s="176" t="s">
        <v>2841</v>
      </c>
      <c r="T302" s="180">
        <v>46193.615358796298</v>
      </c>
      <c r="U302" s="176" t="s">
        <v>2766</v>
      </c>
      <c r="V302" s="176" t="s">
        <v>2948</v>
      </c>
    </row>
    <row r="303" spans="1:22">
      <c r="A303" s="175">
        <v>46193</v>
      </c>
      <c r="B303" s="176" t="s">
        <v>3174</v>
      </c>
      <c r="C303" s="176" t="s">
        <v>2734</v>
      </c>
      <c r="D303" s="176"/>
      <c r="E303" s="176" t="s">
        <v>258</v>
      </c>
      <c r="F303" s="177"/>
      <c r="G303" s="177" t="s">
        <v>2735</v>
      </c>
      <c r="H303" s="176" t="s">
        <v>2735</v>
      </c>
      <c r="I303" s="178">
        <v>0.75</v>
      </c>
      <c r="J303" s="176" t="s">
        <v>2890</v>
      </c>
      <c r="K303" s="176" t="s">
        <v>253</v>
      </c>
      <c r="L303" s="176" t="s">
        <v>282</v>
      </c>
      <c r="M303" s="179">
        <v>14.731</v>
      </c>
      <c r="N303" s="179">
        <v>11.048299999999999</v>
      </c>
      <c r="O303" s="179">
        <v>0</v>
      </c>
      <c r="P303" s="179">
        <v>11.048299999999999</v>
      </c>
      <c r="Q303" s="176" t="s">
        <v>2988</v>
      </c>
      <c r="R303" s="176" t="s">
        <v>3177</v>
      </c>
      <c r="S303" s="176" t="s">
        <v>2841</v>
      </c>
      <c r="T303" s="180">
        <v>46193.615358796298</v>
      </c>
      <c r="U303" s="176" t="s">
        <v>2837</v>
      </c>
      <c r="V303" s="176" t="s">
        <v>2797</v>
      </c>
    </row>
    <row r="304" spans="1:22">
      <c r="A304" s="175">
        <v>46193</v>
      </c>
      <c r="B304" s="176" t="s">
        <v>3174</v>
      </c>
      <c r="C304" s="176" t="s">
        <v>2734</v>
      </c>
      <c r="D304" s="176"/>
      <c r="E304" s="176" t="s">
        <v>258</v>
      </c>
      <c r="F304" s="177"/>
      <c r="G304" s="177" t="s">
        <v>2735</v>
      </c>
      <c r="H304" s="176" t="s">
        <v>2735</v>
      </c>
      <c r="I304" s="178">
        <v>0.75</v>
      </c>
      <c r="J304" s="176" t="s">
        <v>2890</v>
      </c>
      <c r="K304" s="176" t="s">
        <v>253</v>
      </c>
      <c r="L304" s="176" t="s">
        <v>282</v>
      </c>
      <c r="M304" s="179">
        <v>14.355</v>
      </c>
      <c r="N304" s="179">
        <v>10.766299999999999</v>
      </c>
      <c r="O304" s="179">
        <v>0</v>
      </c>
      <c r="P304" s="179">
        <v>10.766299999999999</v>
      </c>
      <c r="Q304" s="176" t="s">
        <v>2988</v>
      </c>
      <c r="R304" s="176" t="s">
        <v>3177</v>
      </c>
      <c r="S304" s="176" t="s">
        <v>2841</v>
      </c>
      <c r="T304" s="180">
        <v>46193.615358796298</v>
      </c>
      <c r="U304" s="176" t="s">
        <v>2837</v>
      </c>
      <c r="V304" s="176" t="s">
        <v>2797</v>
      </c>
    </row>
    <row r="305" spans="1:22">
      <c r="A305" s="175">
        <v>46193</v>
      </c>
      <c r="B305" s="176" t="s">
        <v>3174</v>
      </c>
      <c r="C305" s="176" t="s">
        <v>2734</v>
      </c>
      <c r="D305" s="176"/>
      <c r="E305" s="176" t="s">
        <v>258</v>
      </c>
      <c r="F305" s="177"/>
      <c r="G305" s="177" t="s">
        <v>2735</v>
      </c>
      <c r="H305" s="176" t="s">
        <v>2735</v>
      </c>
      <c r="I305" s="178">
        <v>0.75</v>
      </c>
      <c r="J305" s="176" t="s">
        <v>2890</v>
      </c>
      <c r="K305" s="176" t="s">
        <v>253</v>
      </c>
      <c r="L305" s="176" t="s">
        <v>282</v>
      </c>
      <c r="M305" s="179">
        <v>14.602</v>
      </c>
      <c r="N305" s="179">
        <v>10.951499999999999</v>
      </c>
      <c r="O305" s="179">
        <v>0</v>
      </c>
      <c r="P305" s="179">
        <v>10.951499999999999</v>
      </c>
      <c r="Q305" s="176" t="s">
        <v>2988</v>
      </c>
      <c r="R305" s="176" t="s">
        <v>3177</v>
      </c>
      <c r="S305" s="176" t="s">
        <v>2841</v>
      </c>
      <c r="T305" s="180">
        <v>46193.615358796298</v>
      </c>
      <c r="U305" s="176" t="s">
        <v>2837</v>
      </c>
      <c r="V305" s="176" t="s">
        <v>2797</v>
      </c>
    </row>
    <row r="306" spans="1:22">
      <c r="A306" s="175">
        <v>46193</v>
      </c>
      <c r="B306" s="176" t="s">
        <v>3174</v>
      </c>
      <c r="C306" s="176" t="s">
        <v>2734</v>
      </c>
      <c r="D306" s="176"/>
      <c r="E306" s="176" t="s">
        <v>258</v>
      </c>
      <c r="F306" s="177"/>
      <c r="G306" s="177" t="s">
        <v>2735</v>
      </c>
      <c r="H306" s="176" t="s">
        <v>2735</v>
      </c>
      <c r="I306" s="178">
        <v>0.75</v>
      </c>
      <c r="J306" s="176" t="s">
        <v>3180</v>
      </c>
      <c r="K306" s="176" t="s">
        <v>253</v>
      </c>
      <c r="L306" s="176" t="s">
        <v>272</v>
      </c>
      <c r="M306" s="179">
        <v>19.937999999999999</v>
      </c>
      <c r="N306" s="179">
        <v>14.9535</v>
      </c>
      <c r="O306" s="179">
        <v>0</v>
      </c>
      <c r="P306" s="179">
        <v>14.9535</v>
      </c>
      <c r="Q306" s="176" t="s">
        <v>3181</v>
      </c>
      <c r="R306" s="176" t="s">
        <v>3181</v>
      </c>
      <c r="S306" s="176" t="s">
        <v>2841</v>
      </c>
      <c r="T306" s="180">
        <v>46193.615358796298</v>
      </c>
      <c r="U306" s="176" t="s">
        <v>2850</v>
      </c>
      <c r="V306" s="176" t="s">
        <v>2797</v>
      </c>
    </row>
    <row r="307" spans="1:22">
      <c r="A307" s="175">
        <v>46193</v>
      </c>
      <c r="B307" s="176" t="s">
        <v>3174</v>
      </c>
      <c r="C307" s="176" t="s">
        <v>2734</v>
      </c>
      <c r="D307" s="176"/>
      <c r="E307" s="176" t="s">
        <v>258</v>
      </c>
      <c r="F307" s="177"/>
      <c r="G307" s="177" t="s">
        <v>2735</v>
      </c>
      <c r="H307" s="176" t="s">
        <v>2735</v>
      </c>
      <c r="I307" s="178">
        <v>0.75</v>
      </c>
      <c r="J307" s="176" t="s">
        <v>3182</v>
      </c>
      <c r="K307" s="176" t="s">
        <v>253</v>
      </c>
      <c r="L307" s="176" t="s">
        <v>272</v>
      </c>
      <c r="M307" s="179">
        <v>24.321000000000002</v>
      </c>
      <c r="N307" s="179">
        <v>18.2408</v>
      </c>
      <c r="O307" s="179">
        <v>0</v>
      </c>
      <c r="P307" s="179">
        <v>18.2408</v>
      </c>
      <c r="Q307" s="176" t="s">
        <v>3181</v>
      </c>
      <c r="R307" s="176" t="s">
        <v>3181</v>
      </c>
      <c r="S307" s="176" t="s">
        <v>2841</v>
      </c>
      <c r="T307" s="180">
        <v>46193.615358796298</v>
      </c>
      <c r="U307" s="176" t="s">
        <v>2850</v>
      </c>
      <c r="V307" s="176" t="s">
        <v>2797</v>
      </c>
    </row>
    <row r="308" spans="1:22">
      <c r="A308" s="175">
        <v>46193</v>
      </c>
      <c r="B308" s="176" t="s">
        <v>3174</v>
      </c>
      <c r="C308" s="176" t="s">
        <v>2734</v>
      </c>
      <c r="D308" s="176"/>
      <c r="E308" s="176" t="s">
        <v>258</v>
      </c>
      <c r="F308" s="177"/>
      <c r="G308" s="177" t="s">
        <v>2735</v>
      </c>
      <c r="H308" s="176" t="s">
        <v>2735</v>
      </c>
      <c r="I308" s="178">
        <v>0.75</v>
      </c>
      <c r="J308" s="176" t="s">
        <v>3180</v>
      </c>
      <c r="K308" s="176" t="s">
        <v>253</v>
      </c>
      <c r="L308" s="176" t="s">
        <v>272</v>
      </c>
      <c r="M308" s="179">
        <v>19.768000000000001</v>
      </c>
      <c r="N308" s="179">
        <v>14.826000000000001</v>
      </c>
      <c r="O308" s="179">
        <v>0</v>
      </c>
      <c r="P308" s="179">
        <v>14.826000000000001</v>
      </c>
      <c r="Q308" s="176" t="s">
        <v>3181</v>
      </c>
      <c r="R308" s="176" t="s">
        <v>3181</v>
      </c>
      <c r="S308" s="176" t="s">
        <v>2841</v>
      </c>
      <c r="T308" s="180">
        <v>46193.615358796298</v>
      </c>
      <c r="U308" s="176" t="s">
        <v>2850</v>
      </c>
      <c r="V308" s="176" t="s">
        <v>2797</v>
      </c>
    </row>
    <row r="309" spans="1:22">
      <c r="A309" s="175">
        <v>46193</v>
      </c>
      <c r="B309" s="176" t="s">
        <v>3174</v>
      </c>
      <c r="C309" s="176" t="s">
        <v>2734</v>
      </c>
      <c r="D309" s="176"/>
      <c r="E309" s="176" t="s">
        <v>258</v>
      </c>
      <c r="F309" s="177"/>
      <c r="G309" s="177" t="s">
        <v>2735</v>
      </c>
      <c r="H309" s="176" t="s">
        <v>2735</v>
      </c>
      <c r="I309" s="178">
        <v>0.75</v>
      </c>
      <c r="J309" s="176" t="s">
        <v>3182</v>
      </c>
      <c r="K309" s="176" t="s">
        <v>253</v>
      </c>
      <c r="L309" s="176" t="s">
        <v>272</v>
      </c>
      <c r="M309" s="179">
        <v>25.376999999999999</v>
      </c>
      <c r="N309" s="179">
        <v>19.032800000000002</v>
      </c>
      <c r="O309" s="179">
        <v>0</v>
      </c>
      <c r="P309" s="179">
        <v>19.032800000000002</v>
      </c>
      <c r="Q309" s="176" t="s">
        <v>3181</v>
      </c>
      <c r="R309" s="176" t="s">
        <v>3181</v>
      </c>
      <c r="S309" s="176" t="s">
        <v>2841</v>
      </c>
      <c r="T309" s="180">
        <v>46193.615358796298</v>
      </c>
      <c r="U309" s="176" t="s">
        <v>2850</v>
      </c>
      <c r="V309" s="176" t="s">
        <v>2797</v>
      </c>
    </row>
    <row r="310" spans="1:22">
      <c r="A310" s="175">
        <v>46193</v>
      </c>
      <c r="B310" s="176" t="s">
        <v>3174</v>
      </c>
      <c r="C310" s="176" t="s">
        <v>2734</v>
      </c>
      <c r="D310" s="176"/>
      <c r="E310" s="176" t="s">
        <v>258</v>
      </c>
      <c r="F310" s="177"/>
      <c r="G310" s="177" t="s">
        <v>2735</v>
      </c>
      <c r="H310" s="176" t="s">
        <v>2735</v>
      </c>
      <c r="I310" s="178">
        <v>0.75</v>
      </c>
      <c r="J310" s="176" t="s">
        <v>3183</v>
      </c>
      <c r="K310" s="176" t="s">
        <v>253</v>
      </c>
      <c r="L310" s="176" t="s">
        <v>272</v>
      </c>
      <c r="M310" s="179">
        <v>20.664000000000001</v>
      </c>
      <c r="N310" s="179">
        <v>15.497999999999999</v>
      </c>
      <c r="O310" s="179">
        <v>0</v>
      </c>
      <c r="P310" s="179">
        <v>15.497999999999999</v>
      </c>
      <c r="Q310" s="176" t="s">
        <v>3184</v>
      </c>
      <c r="R310" s="176" t="s">
        <v>3184</v>
      </c>
      <c r="S310" s="176" t="s">
        <v>2841</v>
      </c>
      <c r="T310" s="180">
        <v>46193.615358796298</v>
      </c>
      <c r="U310" s="176" t="s">
        <v>2800</v>
      </c>
      <c r="V310" s="176" t="s">
        <v>2797</v>
      </c>
    </row>
    <row r="311" spans="1:22">
      <c r="A311" s="175">
        <v>46193</v>
      </c>
      <c r="B311" s="176" t="s">
        <v>3174</v>
      </c>
      <c r="C311" s="176" t="s">
        <v>2734</v>
      </c>
      <c r="D311" s="176"/>
      <c r="E311" s="176" t="s">
        <v>258</v>
      </c>
      <c r="F311" s="177"/>
      <c r="G311" s="177" t="s">
        <v>2735</v>
      </c>
      <c r="H311" s="176" t="s">
        <v>2735</v>
      </c>
      <c r="I311" s="178">
        <v>0.75</v>
      </c>
      <c r="J311" s="176" t="s">
        <v>3182</v>
      </c>
      <c r="K311" s="176" t="s">
        <v>253</v>
      </c>
      <c r="L311" s="176" t="s">
        <v>272</v>
      </c>
      <c r="M311" s="179">
        <v>25.302</v>
      </c>
      <c r="N311" s="179">
        <v>18.976500000000001</v>
      </c>
      <c r="O311" s="179">
        <v>0</v>
      </c>
      <c r="P311" s="179">
        <v>18.976500000000001</v>
      </c>
      <c r="Q311" s="176" t="s">
        <v>3181</v>
      </c>
      <c r="R311" s="176" t="s">
        <v>3181</v>
      </c>
      <c r="S311" s="176" t="s">
        <v>2841</v>
      </c>
      <c r="T311" s="180">
        <v>46193.615358796298</v>
      </c>
      <c r="U311" s="176" t="s">
        <v>2850</v>
      </c>
      <c r="V311" s="176" t="s">
        <v>2797</v>
      </c>
    </row>
  </sheetData>
  <autoFilter ref="A1:W1" xr:uid="{F614DBC6-D487-47BA-A516-63388D9E6982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D38"/>
  <sheetViews>
    <sheetView topLeftCell="D29" workbookViewId="0">
      <selection activeCell="D38" sqref="A1:D38"/>
    </sheetView>
  </sheetViews>
  <sheetFormatPr defaultColWidth="9" defaultRowHeight="15"/>
  <cols>
    <col min="1" max="1" width="43.140625" style="51" customWidth="1"/>
    <col min="2" max="2" width="24.85546875" style="51" customWidth="1"/>
    <col min="3" max="3" width="19.85546875" style="63" customWidth="1"/>
    <col min="4" max="4" width="21.7109375" style="63" customWidth="1"/>
    <col min="5" max="16384" width="9" style="63"/>
  </cols>
  <sheetData>
    <row r="1" spans="1:4" ht="21.75" customHeight="1">
      <c r="A1" s="217" t="s">
        <v>244</v>
      </c>
      <c r="B1" s="217"/>
      <c r="C1" s="217"/>
      <c r="D1" s="217"/>
    </row>
    <row r="2" spans="1:4" ht="15.75">
      <c r="A2" s="218" t="s">
        <v>3311</v>
      </c>
      <c r="B2" s="218"/>
      <c r="C2" s="218" t="s">
        <v>3312</v>
      </c>
      <c r="D2" s="218"/>
    </row>
    <row r="3" spans="1:4">
      <c r="A3" s="167" t="s">
        <v>245</v>
      </c>
      <c r="B3" s="167" t="s">
        <v>246</v>
      </c>
      <c r="C3" s="167" t="s">
        <v>247</v>
      </c>
      <c r="D3" s="167" t="s">
        <v>248</v>
      </c>
    </row>
    <row r="4" spans="1:4">
      <c r="A4" s="286" t="s">
        <v>258</v>
      </c>
      <c r="B4" s="140" t="s">
        <v>259</v>
      </c>
      <c r="C4" s="142">
        <v>11368.165999999999</v>
      </c>
      <c r="D4" s="142">
        <v>11315.9301</v>
      </c>
    </row>
    <row r="5" spans="1:4">
      <c r="A5" s="286"/>
      <c r="B5" s="140" t="s">
        <v>250</v>
      </c>
      <c r="C5" s="142">
        <v>990.29</v>
      </c>
      <c r="D5" s="142">
        <v>909.08619999999996</v>
      </c>
    </row>
    <row r="6" spans="1:4">
      <c r="A6" s="286"/>
      <c r="B6" s="140" t="s">
        <v>253</v>
      </c>
      <c r="C6" s="142">
        <v>43.11</v>
      </c>
      <c r="D6" s="142">
        <v>32.332499999999996</v>
      </c>
    </row>
    <row r="7" spans="1:4">
      <c r="A7" s="287" t="s">
        <v>260</v>
      </c>
      <c r="B7" s="139"/>
      <c r="C7" s="141">
        <v>12401.565999999999</v>
      </c>
      <c r="D7" s="141">
        <v>12257.3488</v>
      </c>
    </row>
    <row r="8" spans="1:4">
      <c r="A8" s="286" t="s">
        <v>257</v>
      </c>
      <c r="B8" s="140" t="s">
        <v>250</v>
      </c>
      <c r="C8" s="142">
        <v>790.33</v>
      </c>
      <c r="D8" s="142">
        <v>725.52290000000005</v>
      </c>
    </row>
    <row r="9" spans="1:4">
      <c r="A9" s="286"/>
      <c r="B9" s="140" t="s">
        <v>253</v>
      </c>
      <c r="C9" s="142">
        <v>1337.509</v>
      </c>
      <c r="D9" s="142">
        <v>1003.1319</v>
      </c>
    </row>
    <row r="10" spans="1:4">
      <c r="A10" s="287" t="s">
        <v>2770</v>
      </c>
      <c r="B10" s="139"/>
      <c r="C10" s="141">
        <v>2127.8389999999999</v>
      </c>
      <c r="D10" s="141">
        <v>1728.6548</v>
      </c>
    </row>
    <row r="11" spans="1:4">
      <c r="A11" s="286" t="s">
        <v>249</v>
      </c>
      <c r="B11" s="140" t="s">
        <v>259</v>
      </c>
      <c r="C11" s="142">
        <v>1300</v>
      </c>
      <c r="D11" s="142">
        <v>1293.5</v>
      </c>
    </row>
    <row r="12" spans="1:4">
      <c r="A12" s="286"/>
      <c r="B12" s="140" t="s">
        <v>250</v>
      </c>
      <c r="C12" s="142">
        <v>72.617999999999995</v>
      </c>
      <c r="D12" s="142">
        <v>66.663300000000007</v>
      </c>
    </row>
    <row r="13" spans="1:4">
      <c r="A13" s="287" t="s">
        <v>2768</v>
      </c>
      <c r="B13" s="139"/>
      <c r="C13" s="141">
        <v>1372.6179999999999</v>
      </c>
      <c r="D13" s="141">
        <v>1360.1632999999999</v>
      </c>
    </row>
    <row r="14" spans="1:4">
      <c r="A14" s="286" t="s">
        <v>251</v>
      </c>
      <c r="B14" s="140" t="s">
        <v>250</v>
      </c>
      <c r="C14" s="142">
        <v>358.83600000000001</v>
      </c>
      <c r="D14" s="142">
        <v>329.41150000000005</v>
      </c>
    </row>
    <row r="15" spans="1:4">
      <c r="A15" s="287" t="s">
        <v>2832</v>
      </c>
      <c r="B15" s="139"/>
      <c r="C15" s="141">
        <v>358.83600000000001</v>
      </c>
      <c r="D15" s="141">
        <v>329.41150000000005</v>
      </c>
    </row>
    <row r="16" spans="1:4">
      <c r="A16" s="286" t="s">
        <v>277</v>
      </c>
      <c r="B16" s="140" t="s">
        <v>259</v>
      </c>
      <c r="C16" s="142">
        <v>727.75</v>
      </c>
      <c r="D16" s="142">
        <v>724.11130000000003</v>
      </c>
    </row>
    <row r="17" spans="1:4">
      <c r="A17" s="287" t="s">
        <v>3313</v>
      </c>
      <c r="B17" s="139"/>
      <c r="C17" s="141">
        <v>727.75</v>
      </c>
      <c r="D17" s="141">
        <v>724.11130000000003</v>
      </c>
    </row>
    <row r="18" spans="1:4">
      <c r="A18" s="286" t="s">
        <v>660</v>
      </c>
      <c r="B18" s="140" t="s">
        <v>259</v>
      </c>
      <c r="C18" s="142">
        <v>1500</v>
      </c>
      <c r="D18" s="142">
        <v>1498.5</v>
      </c>
    </row>
    <row r="19" spans="1:4">
      <c r="A19" s="287" t="s">
        <v>2765</v>
      </c>
      <c r="B19" s="139"/>
      <c r="C19" s="141">
        <v>1500</v>
      </c>
      <c r="D19" s="141">
        <v>1498.5</v>
      </c>
    </row>
    <row r="20" spans="1:4">
      <c r="A20" s="286" t="s">
        <v>252</v>
      </c>
      <c r="B20" s="140" t="s">
        <v>259</v>
      </c>
      <c r="C20" s="142">
        <v>563.88</v>
      </c>
      <c r="D20" s="142">
        <v>561.06060000000002</v>
      </c>
    </row>
    <row r="21" spans="1:4">
      <c r="A21" s="286"/>
      <c r="B21" s="140" t="s">
        <v>253</v>
      </c>
      <c r="C21" s="142">
        <v>8.5500000000000007</v>
      </c>
      <c r="D21" s="142">
        <v>6.4124999999999996</v>
      </c>
    </row>
    <row r="22" spans="1:4">
      <c r="A22" s="287" t="s">
        <v>2758</v>
      </c>
      <c r="B22" s="139"/>
      <c r="C22" s="141">
        <v>572.42999999999995</v>
      </c>
      <c r="D22" s="141">
        <v>567.47310000000004</v>
      </c>
    </row>
    <row r="23" spans="1:4">
      <c r="A23" s="286" t="s">
        <v>276</v>
      </c>
      <c r="B23" s="140" t="s">
        <v>259</v>
      </c>
      <c r="C23" s="142">
        <v>1000</v>
      </c>
      <c r="D23" s="142">
        <v>995</v>
      </c>
    </row>
    <row r="24" spans="1:4">
      <c r="A24" s="287" t="s">
        <v>2880</v>
      </c>
      <c r="B24" s="139"/>
      <c r="C24" s="141">
        <v>1000</v>
      </c>
      <c r="D24" s="141">
        <v>995</v>
      </c>
    </row>
    <row r="25" spans="1:4">
      <c r="A25" s="286" t="s">
        <v>2875</v>
      </c>
      <c r="B25" s="140" t="s">
        <v>250</v>
      </c>
      <c r="C25" s="142">
        <v>46.018000000000001</v>
      </c>
      <c r="D25" s="142">
        <v>42.244500000000002</v>
      </c>
    </row>
    <row r="26" spans="1:4">
      <c r="A26" s="287" t="s">
        <v>3314</v>
      </c>
      <c r="B26" s="139"/>
      <c r="C26" s="141">
        <v>46.018000000000001</v>
      </c>
      <c r="D26" s="141">
        <v>42.244500000000002</v>
      </c>
    </row>
    <row r="27" spans="1:4">
      <c r="A27" s="286" t="s">
        <v>2881</v>
      </c>
      <c r="B27" s="140" t="s">
        <v>259</v>
      </c>
      <c r="C27" s="142">
        <v>504.38</v>
      </c>
      <c r="D27" s="142">
        <v>501.85809999999998</v>
      </c>
    </row>
    <row r="28" spans="1:4">
      <c r="A28" s="286"/>
      <c r="B28" s="140" t="s">
        <v>250</v>
      </c>
      <c r="C28" s="142">
        <v>854.02</v>
      </c>
      <c r="D28" s="142">
        <v>783.99040000000002</v>
      </c>
    </row>
    <row r="29" spans="1:4">
      <c r="A29" s="287" t="s">
        <v>2889</v>
      </c>
      <c r="B29" s="139"/>
      <c r="C29" s="141">
        <v>1358.4</v>
      </c>
      <c r="D29" s="141">
        <v>1285.8485000000001</v>
      </c>
    </row>
    <row r="30" spans="1:4">
      <c r="A30" s="286" t="s">
        <v>2834</v>
      </c>
      <c r="B30" s="140" t="s">
        <v>259</v>
      </c>
      <c r="C30" s="142">
        <v>1000</v>
      </c>
      <c r="D30" s="142">
        <v>995</v>
      </c>
    </row>
    <row r="31" spans="1:4">
      <c r="A31" s="287" t="s">
        <v>3315</v>
      </c>
      <c r="B31" s="139"/>
      <c r="C31" s="141">
        <v>1000</v>
      </c>
      <c r="D31" s="141">
        <v>995</v>
      </c>
    </row>
    <row r="32" spans="1:4">
      <c r="A32" s="287" t="s">
        <v>102</v>
      </c>
      <c r="B32" s="139"/>
      <c r="C32" s="141">
        <v>22465.456999999999</v>
      </c>
      <c r="D32" s="201">
        <v>21783.755799999999</v>
      </c>
    </row>
    <row r="34" spans="2:4">
      <c r="B34" s="146" t="s">
        <v>246</v>
      </c>
      <c r="C34" s="146" t="s">
        <v>247</v>
      </c>
      <c r="D34" s="146" t="s">
        <v>3316</v>
      </c>
    </row>
    <row r="35" spans="2:4">
      <c r="B35" s="80" t="s">
        <v>259</v>
      </c>
      <c r="C35" s="147">
        <v>17964.175999999999</v>
      </c>
      <c r="D35" s="147">
        <v>17884.9601</v>
      </c>
    </row>
    <row r="36" spans="2:4">
      <c r="B36" s="80" t="s">
        <v>250</v>
      </c>
      <c r="C36" s="147">
        <v>3112.1119999999996</v>
      </c>
      <c r="D36" s="147">
        <v>2856.9187999999995</v>
      </c>
    </row>
    <row r="37" spans="2:4">
      <c r="B37" s="80" t="s">
        <v>253</v>
      </c>
      <c r="C37" s="147">
        <v>1389.1689999999999</v>
      </c>
      <c r="D37" s="147">
        <v>1041.8769</v>
      </c>
    </row>
    <row r="38" spans="2:4">
      <c r="B38" s="146" t="s">
        <v>102</v>
      </c>
      <c r="C38" s="148">
        <v>22465.457000000002</v>
      </c>
      <c r="D38" s="148">
        <v>21783.755799999999</v>
      </c>
    </row>
  </sheetData>
  <mergeCells count="3">
    <mergeCell ref="A1:D1"/>
    <mergeCell ref="A2:B2"/>
    <mergeCell ref="C2:D2"/>
  </mergeCells>
  <pageMargins left="0.70866141732283472" right="0.70866141732283472" top="0.74803149606299213" bottom="0.74803149606299213" header="0.31496062992125984" footer="0.31496062992125984"/>
  <pageSetup scale="82" orientation="landscape" r:id="rId1"/>
  <headerFooter>
    <oddHeader>Page &amp;P of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2F43-4ABB-4813-BE49-7CACCE792EAC}">
  <sheetPr codeName="Sheet8"/>
  <dimension ref="A1:E31"/>
  <sheetViews>
    <sheetView topLeftCell="A2" workbookViewId="0">
      <selection activeCell="E31" sqref="A2:E31"/>
    </sheetView>
  </sheetViews>
  <sheetFormatPr defaultRowHeight="15"/>
  <cols>
    <col min="1" max="1" width="11.28515625" bestFit="1" customWidth="1"/>
    <col min="2" max="2" width="40.5703125" bestFit="1" customWidth="1"/>
    <col min="3" max="3" width="9.140625" bestFit="1" customWidth="1"/>
    <col min="4" max="4" width="14.140625" bestFit="1" customWidth="1"/>
    <col min="5" max="5" width="12.85546875" bestFit="1" customWidth="1"/>
  </cols>
  <sheetData>
    <row r="1" spans="1:5">
      <c r="D1" s="72" t="s">
        <v>262</v>
      </c>
    </row>
    <row r="2" spans="1:5">
      <c r="A2" s="72" t="s">
        <v>2682</v>
      </c>
      <c r="B2" s="72" t="s">
        <v>245</v>
      </c>
      <c r="C2" s="72" t="s">
        <v>246</v>
      </c>
      <c r="D2" t="s">
        <v>263</v>
      </c>
      <c r="E2" t="s">
        <v>264</v>
      </c>
    </row>
    <row r="3" spans="1:5">
      <c r="A3">
        <v>1</v>
      </c>
      <c r="B3" t="s">
        <v>258</v>
      </c>
      <c r="C3" t="s">
        <v>259</v>
      </c>
      <c r="D3" s="279">
        <v>11368.165999999999</v>
      </c>
      <c r="E3" s="279">
        <v>11315.9301</v>
      </c>
    </row>
    <row r="4" spans="1:5">
      <c r="C4" t="s">
        <v>250</v>
      </c>
      <c r="D4" s="279">
        <v>990.29</v>
      </c>
      <c r="E4" s="279">
        <v>909.08619999999996</v>
      </c>
    </row>
    <row r="5" spans="1:5">
      <c r="C5" t="s">
        <v>253</v>
      </c>
      <c r="D5" s="279">
        <v>43.11</v>
      </c>
      <c r="E5" s="279">
        <v>32.332499999999996</v>
      </c>
    </row>
    <row r="6" spans="1:5">
      <c r="B6" t="s">
        <v>260</v>
      </c>
      <c r="D6" s="279">
        <v>12401.565999999999</v>
      </c>
      <c r="E6" s="279">
        <v>12257.3488</v>
      </c>
    </row>
    <row r="7" spans="1:5">
      <c r="A7">
        <v>2</v>
      </c>
      <c r="B7" t="s">
        <v>257</v>
      </c>
      <c r="C7" t="s">
        <v>250</v>
      </c>
      <c r="D7" s="279">
        <v>790.33</v>
      </c>
      <c r="E7" s="279">
        <v>725.52290000000005</v>
      </c>
    </row>
    <row r="8" spans="1:5">
      <c r="C8" t="s">
        <v>253</v>
      </c>
      <c r="D8" s="279">
        <v>1337.509</v>
      </c>
      <c r="E8" s="279">
        <v>1003.1319</v>
      </c>
    </row>
    <row r="9" spans="1:5">
      <c r="B9" t="s">
        <v>2770</v>
      </c>
      <c r="D9" s="279">
        <v>2127.8389999999999</v>
      </c>
      <c r="E9" s="279">
        <v>1728.6548</v>
      </c>
    </row>
    <row r="10" spans="1:5">
      <c r="A10">
        <v>3</v>
      </c>
      <c r="B10" t="s">
        <v>249</v>
      </c>
      <c r="C10" t="s">
        <v>259</v>
      </c>
      <c r="D10" s="279">
        <v>1300</v>
      </c>
      <c r="E10" s="279">
        <v>1293.5</v>
      </c>
    </row>
    <row r="11" spans="1:5">
      <c r="C11" t="s">
        <v>250</v>
      </c>
      <c r="D11" s="279">
        <v>72.617999999999995</v>
      </c>
      <c r="E11" s="279">
        <v>66.663300000000007</v>
      </c>
    </row>
    <row r="12" spans="1:5">
      <c r="B12" t="s">
        <v>2768</v>
      </c>
      <c r="D12" s="279">
        <v>1372.6179999999999</v>
      </c>
      <c r="E12" s="279">
        <v>1360.1632999999999</v>
      </c>
    </row>
    <row r="13" spans="1:5">
      <c r="A13">
        <v>4</v>
      </c>
      <c r="B13" t="s">
        <v>251</v>
      </c>
      <c r="C13" t="s">
        <v>250</v>
      </c>
      <c r="D13" s="279">
        <v>358.83600000000001</v>
      </c>
      <c r="E13" s="279">
        <v>329.41150000000005</v>
      </c>
    </row>
    <row r="14" spans="1:5">
      <c r="B14" t="s">
        <v>2832</v>
      </c>
      <c r="D14" s="279">
        <v>358.83600000000001</v>
      </c>
      <c r="E14" s="279">
        <v>329.41150000000005</v>
      </c>
    </row>
    <row r="15" spans="1:5">
      <c r="A15">
        <v>5</v>
      </c>
      <c r="B15" t="s">
        <v>277</v>
      </c>
      <c r="C15" t="s">
        <v>259</v>
      </c>
      <c r="D15" s="279">
        <v>727.75</v>
      </c>
      <c r="E15" s="279">
        <v>724.11130000000003</v>
      </c>
    </row>
    <row r="16" spans="1:5">
      <c r="B16" t="s">
        <v>3313</v>
      </c>
      <c r="D16" s="279">
        <v>727.75</v>
      </c>
      <c r="E16" s="279">
        <v>724.11130000000003</v>
      </c>
    </row>
    <row r="17" spans="1:5">
      <c r="A17">
        <v>6</v>
      </c>
      <c r="B17" t="s">
        <v>660</v>
      </c>
      <c r="C17" t="s">
        <v>259</v>
      </c>
      <c r="D17" s="279">
        <v>1500</v>
      </c>
      <c r="E17" s="279">
        <v>1498.5</v>
      </c>
    </row>
    <row r="18" spans="1:5">
      <c r="B18" t="s">
        <v>2765</v>
      </c>
      <c r="D18" s="279">
        <v>1500</v>
      </c>
      <c r="E18" s="279">
        <v>1498.5</v>
      </c>
    </row>
    <row r="19" spans="1:5">
      <c r="A19">
        <v>7</v>
      </c>
      <c r="B19" t="s">
        <v>252</v>
      </c>
      <c r="C19" t="s">
        <v>259</v>
      </c>
      <c r="D19" s="279">
        <v>563.88</v>
      </c>
      <c r="E19" s="279">
        <v>561.06060000000002</v>
      </c>
    </row>
    <row r="20" spans="1:5">
      <c r="C20" t="s">
        <v>253</v>
      </c>
      <c r="D20" s="279">
        <v>8.5500000000000007</v>
      </c>
      <c r="E20" s="279">
        <v>6.4124999999999996</v>
      </c>
    </row>
    <row r="21" spans="1:5">
      <c r="B21" t="s">
        <v>2758</v>
      </c>
      <c r="D21" s="279">
        <v>572.42999999999995</v>
      </c>
      <c r="E21" s="279">
        <v>567.47310000000004</v>
      </c>
    </row>
    <row r="22" spans="1:5">
      <c r="A22">
        <v>8</v>
      </c>
      <c r="B22" t="s">
        <v>276</v>
      </c>
      <c r="C22" t="s">
        <v>259</v>
      </c>
      <c r="D22" s="279">
        <v>1000</v>
      </c>
      <c r="E22" s="279">
        <v>995</v>
      </c>
    </row>
    <row r="23" spans="1:5">
      <c r="B23" t="s">
        <v>2880</v>
      </c>
      <c r="D23" s="279">
        <v>1000</v>
      </c>
      <c r="E23" s="279">
        <v>995</v>
      </c>
    </row>
    <row r="24" spans="1:5">
      <c r="A24" t="s">
        <v>2823</v>
      </c>
      <c r="B24" t="s">
        <v>2875</v>
      </c>
      <c r="C24" t="s">
        <v>250</v>
      </c>
      <c r="D24" s="279">
        <v>46.018000000000001</v>
      </c>
      <c r="E24" s="279">
        <v>42.244500000000002</v>
      </c>
    </row>
    <row r="25" spans="1:5">
      <c r="B25" t="s">
        <v>3314</v>
      </c>
      <c r="D25" s="279">
        <v>46.018000000000001</v>
      </c>
      <c r="E25" s="279">
        <v>42.244500000000002</v>
      </c>
    </row>
    <row r="26" spans="1:5">
      <c r="B26" t="s">
        <v>2881</v>
      </c>
      <c r="C26" t="s">
        <v>259</v>
      </c>
      <c r="D26" s="279">
        <v>504.38</v>
      </c>
      <c r="E26" s="279">
        <v>501.85809999999998</v>
      </c>
    </row>
    <row r="27" spans="1:5">
      <c r="C27" t="s">
        <v>250</v>
      </c>
      <c r="D27" s="279">
        <v>854.02</v>
      </c>
      <c r="E27" s="279">
        <v>783.99040000000002</v>
      </c>
    </row>
    <row r="28" spans="1:5">
      <c r="B28" t="s">
        <v>2889</v>
      </c>
      <c r="D28" s="279">
        <v>1358.4</v>
      </c>
      <c r="E28" s="279">
        <v>1285.8485000000001</v>
      </c>
    </row>
    <row r="29" spans="1:5">
      <c r="B29" t="s">
        <v>2834</v>
      </c>
      <c r="C29" t="s">
        <v>259</v>
      </c>
      <c r="D29" s="279">
        <v>1000</v>
      </c>
      <c r="E29" s="279">
        <v>995</v>
      </c>
    </row>
    <row r="30" spans="1:5">
      <c r="B30" t="s">
        <v>3315</v>
      </c>
      <c r="D30" s="279">
        <v>1000</v>
      </c>
      <c r="E30" s="279">
        <v>995</v>
      </c>
    </row>
    <row r="31" spans="1:5">
      <c r="A31" t="s">
        <v>102</v>
      </c>
      <c r="D31" s="279">
        <v>22465.456999999999</v>
      </c>
      <c r="E31" s="279">
        <v>21783.755799999999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88C3-F807-47A9-B892-CB9B8830C389}">
  <sheetPr codeName="Sheet20"/>
  <dimension ref="A3:C8"/>
  <sheetViews>
    <sheetView workbookViewId="0">
      <selection activeCell="C8" sqref="A4:C8"/>
    </sheetView>
  </sheetViews>
  <sheetFormatPr defaultRowHeight="15"/>
  <cols>
    <col min="1" max="1" width="11.28515625" bestFit="1" customWidth="1"/>
    <col min="2" max="2" width="14.140625" bestFit="1" customWidth="1"/>
    <col min="3" max="3" width="12.85546875" bestFit="1" customWidth="1"/>
  </cols>
  <sheetData>
    <row r="3" spans="1:3">
      <c r="B3" s="72" t="s">
        <v>262</v>
      </c>
    </row>
    <row r="4" spans="1:3">
      <c r="A4" s="72" t="s">
        <v>246</v>
      </c>
      <c r="B4" t="s">
        <v>263</v>
      </c>
      <c r="C4" t="s">
        <v>264</v>
      </c>
    </row>
    <row r="5" spans="1:3">
      <c r="A5" t="s">
        <v>259</v>
      </c>
      <c r="B5" s="279">
        <v>17964.175999999999</v>
      </c>
      <c r="C5" s="279">
        <v>17884.9601</v>
      </c>
    </row>
    <row r="6" spans="1:3">
      <c r="A6" t="s">
        <v>250</v>
      </c>
      <c r="B6" s="279">
        <v>3112.1119999999996</v>
      </c>
      <c r="C6" s="279">
        <v>2856.9187999999995</v>
      </c>
    </row>
    <row r="7" spans="1:3">
      <c r="A7" t="s">
        <v>253</v>
      </c>
      <c r="B7" s="279">
        <v>1389.1689999999999</v>
      </c>
      <c r="C7" s="279">
        <v>1041.8769</v>
      </c>
    </row>
    <row r="8" spans="1:3">
      <c r="A8" t="s">
        <v>102</v>
      </c>
      <c r="B8" s="279">
        <v>22465.457000000002</v>
      </c>
      <c r="C8" s="279">
        <v>21783.755799999999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61"/>
  <sheetViews>
    <sheetView showGridLines="0" topLeftCell="A3" workbookViewId="0">
      <pane ySplit="1" topLeftCell="A57" activePane="bottomLeft" state="frozen"/>
      <selection activeCell="C48" sqref="C48"/>
      <selection pane="bottomLeft" activeCell="M3" sqref="M3"/>
    </sheetView>
  </sheetViews>
  <sheetFormatPr defaultColWidth="9.140625" defaultRowHeight="15"/>
  <cols>
    <col min="1" max="1" width="9.42578125" bestFit="1" customWidth="1"/>
    <col min="2" max="2" width="11.5703125" bestFit="1" customWidth="1"/>
    <col min="3" max="3" width="19.7109375" customWidth="1"/>
    <col min="4" max="4" width="11" customWidth="1"/>
    <col min="5" max="5" width="6.28515625" customWidth="1"/>
    <col min="6" max="6" width="11.42578125" bestFit="1" customWidth="1"/>
    <col min="7" max="7" width="9.5703125" customWidth="1"/>
    <col min="8" max="8" width="11.7109375" bestFit="1" customWidth="1"/>
    <col min="9" max="9" width="9.5703125" customWidth="1"/>
    <col min="10" max="10" width="12.5703125" customWidth="1"/>
    <col min="11" max="11" width="11" bestFit="1" customWidth="1"/>
    <col min="12" max="12" width="8.42578125" bestFit="1" customWidth="1"/>
    <col min="14" max="14" width="21.7109375" customWidth="1"/>
    <col min="15" max="15" width="18.7109375" customWidth="1"/>
  </cols>
  <sheetData>
    <row r="1" spans="1:15" ht="18">
      <c r="A1" s="219" t="s">
        <v>265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</row>
    <row r="2" spans="1:15" ht="16.5" thickBot="1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</row>
    <row r="3" spans="1:15" ht="15.75" thickBot="1">
      <c r="A3" s="89" t="s">
        <v>93</v>
      </c>
      <c r="B3" s="89" t="s">
        <v>266</v>
      </c>
      <c r="C3" s="89" t="s">
        <v>245</v>
      </c>
      <c r="D3" s="89" t="s">
        <v>267</v>
      </c>
      <c r="E3" s="89" t="s">
        <v>246</v>
      </c>
      <c r="F3" s="89" t="s">
        <v>268</v>
      </c>
      <c r="G3" s="89" t="s">
        <v>247</v>
      </c>
      <c r="H3" s="89" t="s">
        <v>269</v>
      </c>
      <c r="I3" s="89" t="s">
        <v>248</v>
      </c>
      <c r="J3" s="89" t="s">
        <v>270</v>
      </c>
      <c r="K3" s="89" t="s">
        <v>271</v>
      </c>
      <c r="L3" s="89" t="s">
        <v>2682</v>
      </c>
      <c r="M3" s="150"/>
      <c r="N3" s="82"/>
      <c r="O3" s="83"/>
    </row>
    <row r="4" spans="1:15" ht="56.25">
      <c r="A4" s="181">
        <v>46193</v>
      </c>
      <c r="B4" s="182" t="s">
        <v>3185</v>
      </c>
      <c r="C4" s="182" t="s">
        <v>252</v>
      </c>
      <c r="D4" s="182"/>
      <c r="E4" s="182" t="s">
        <v>259</v>
      </c>
      <c r="F4" s="182" t="s">
        <v>2805</v>
      </c>
      <c r="G4" s="183">
        <v>563.88</v>
      </c>
      <c r="H4" s="183">
        <v>0</v>
      </c>
      <c r="I4" s="183">
        <v>561.06060000000002</v>
      </c>
      <c r="J4" s="183">
        <v>561.06060000000002</v>
      </c>
      <c r="K4" s="182" t="s">
        <v>3186</v>
      </c>
      <c r="L4">
        <f>VLOOKUP(C4,'[1]SR No. party'!$A:$B,2,0)</f>
        <v>7</v>
      </c>
    </row>
    <row r="5" spans="1:15" ht="56.25">
      <c r="A5" s="181">
        <v>46193</v>
      </c>
      <c r="B5" s="182" t="s">
        <v>3187</v>
      </c>
      <c r="C5" s="182" t="s">
        <v>276</v>
      </c>
      <c r="D5" s="182"/>
      <c r="E5" s="182" t="s">
        <v>259</v>
      </c>
      <c r="F5" s="182" t="s">
        <v>2805</v>
      </c>
      <c r="G5" s="183">
        <v>1000</v>
      </c>
      <c r="H5" s="183">
        <v>0</v>
      </c>
      <c r="I5" s="183">
        <v>995</v>
      </c>
      <c r="J5" s="183">
        <v>995</v>
      </c>
      <c r="K5" s="182" t="s">
        <v>3188</v>
      </c>
      <c r="L5">
        <f>VLOOKUP(C5,'[1]SR No. party'!$A:$B,2,0)</f>
        <v>8</v>
      </c>
    </row>
    <row r="6" spans="1:15" ht="67.5">
      <c r="A6" s="181">
        <v>46193</v>
      </c>
      <c r="B6" s="182" t="s">
        <v>3189</v>
      </c>
      <c r="C6" s="182" t="s">
        <v>660</v>
      </c>
      <c r="D6" s="182"/>
      <c r="E6" s="182" t="s">
        <v>259</v>
      </c>
      <c r="F6" s="182" t="s">
        <v>2861</v>
      </c>
      <c r="G6" s="183">
        <v>1500</v>
      </c>
      <c r="H6" s="183">
        <v>0</v>
      </c>
      <c r="I6" s="183">
        <v>1498.5</v>
      </c>
      <c r="J6" s="183">
        <v>1498.5</v>
      </c>
      <c r="K6" s="182" t="s">
        <v>3190</v>
      </c>
      <c r="L6">
        <f>VLOOKUP(C6,'[1]SR No. party'!$A:$B,2,0)</f>
        <v>6</v>
      </c>
    </row>
    <row r="7" spans="1:15" ht="67.5">
      <c r="A7" s="181">
        <v>46193</v>
      </c>
      <c r="B7" s="182" t="s">
        <v>3191</v>
      </c>
      <c r="C7" s="182" t="s">
        <v>249</v>
      </c>
      <c r="D7" s="182" t="s">
        <v>3025</v>
      </c>
      <c r="E7" s="182" t="s">
        <v>250</v>
      </c>
      <c r="F7" s="182" t="s">
        <v>2804</v>
      </c>
      <c r="G7" s="183">
        <v>72.617999999999995</v>
      </c>
      <c r="H7" s="183">
        <v>2.25</v>
      </c>
      <c r="I7" s="183">
        <v>66.663300000000007</v>
      </c>
      <c r="J7" s="183">
        <v>68.297200000000004</v>
      </c>
      <c r="K7" s="182" t="s">
        <v>3192</v>
      </c>
      <c r="L7">
        <f>VLOOKUP(C7,'[1]SR No. party'!$A:$B,2,0)</f>
        <v>3</v>
      </c>
    </row>
    <row r="8" spans="1:15" ht="78.75">
      <c r="A8" s="181">
        <v>46193</v>
      </c>
      <c r="B8" s="182" t="s">
        <v>3193</v>
      </c>
      <c r="C8" s="182" t="s">
        <v>251</v>
      </c>
      <c r="D8" s="182" t="s">
        <v>3194</v>
      </c>
      <c r="E8" s="182" t="s">
        <v>250</v>
      </c>
      <c r="F8" s="182" t="s">
        <v>2804</v>
      </c>
      <c r="G8" s="183">
        <v>7.3789999999999996</v>
      </c>
      <c r="H8" s="183">
        <v>0</v>
      </c>
      <c r="I8" s="183">
        <v>6.7739000000000003</v>
      </c>
      <c r="J8" s="183">
        <v>6.7739000000000003</v>
      </c>
      <c r="K8" s="182" t="s">
        <v>3195</v>
      </c>
      <c r="L8">
        <f>VLOOKUP(C8,'[1]SR No. party'!$A:$B,2,0)</f>
        <v>4</v>
      </c>
    </row>
    <row r="9" spans="1:15" ht="78.75">
      <c r="A9" s="181">
        <v>46193</v>
      </c>
      <c r="B9" s="182" t="s">
        <v>3193</v>
      </c>
      <c r="C9" s="182" t="s">
        <v>251</v>
      </c>
      <c r="D9" s="182" t="s">
        <v>3194</v>
      </c>
      <c r="E9" s="182" t="s">
        <v>250</v>
      </c>
      <c r="F9" s="182" t="s">
        <v>2804</v>
      </c>
      <c r="G9" s="183">
        <v>7.4889999999999999</v>
      </c>
      <c r="H9" s="183">
        <v>0</v>
      </c>
      <c r="I9" s="183">
        <v>6.8749000000000002</v>
      </c>
      <c r="J9" s="183">
        <v>6.8749000000000002</v>
      </c>
      <c r="K9" s="182" t="s">
        <v>3195</v>
      </c>
      <c r="L9">
        <f>VLOOKUP(C9,'[1]SR No. party'!$A:$B,2,0)</f>
        <v>4</v>
      </c>
    </row>
    <row r="10" spans="1:15" ht="78.75">
      <c r="A10" s="181">
        <v>46193</v>
      </c>
      <c r="B10" s="182" t="s">
        <v>3193</v>
      </c>
      <c r="C10" s="182" t="s">
        <v>251</v>
      </c>
      <c r="D10" s="182" t="s">
        <v>3196</v>
      </c>
      <c r="E10" s="182" t="s">
        <v>250</v>
      </c>
      <c r="F10" s="182" t="s">
        <v>2804</v>
      </c>
      <c r="G10" s="183">
        <v>6.3659999999999997</v>
      </c>
      <c r="H10" s="183">
        <v>0</v>
      </c>
      <c r="I10" s="183">
        <v>5.8440000000000003</v>
      </c>
      <c r="J10" s="183">
        <v>5.8440000000000003</v>
      </c>
      <c r="K10" s="182" t="s">
        <v>3195</v>
      </c>
      <c r="L10">
        <f>VLOOKUP(C10,'[1]SR No. party'!$A:$B,2,0)</f>
        <v>4</v>
      </c>
    </row>
    <row r="11" spans="1:15" ht="78.75">
      <c r="A11" s="181">
        <v>46193</v>
      </c>
      <c r="B11" s="182" t="s">
        <v>3193</v>
      </c>
      <c r="C11" s="182" t="s">
        <v>251</v>
      </c>
      <c r="D11" s="182" t="s">
        <v>3197</v>
      </c>
      <c r="E11" s="182" t="s">
        <v>250</v>
      </c>
      <c r="F11" s="182" t="s">
        <v>2804</v>
      </c>
      <c r="G11" s="183">
        <v>7.202</v>
      </c>
      <c r="H11" s="183">
        <v>0</v>
      </c>
      <c r="I11" s="183">
        <v>6.6113999999999997</v>
      </c>
      <c r="J11" s="183">
        <v>6.6113999999999997</v>
      </c>
      <c r="K11" s="182" t="s">
        <v>3195</v>
      </c>
      <c r="L11">
        <f>VLOOKUP(C11,'[1]SR No. party'!$A:$B,2,0)</f>
        <v>4</v>
      </c>
    </row>
    <row r="12" spans="1:15" ht="78.75">
      <c r="A12" s="181">
        <v>46193</v>
      </c>
      <c r="B12" s="182" t="s">
        <v>3193</v>
      </c>
      <c r="C12" s="182" t="s">
        <v>251</v>
      </c>
      <c r="D12" s="182" t="s">
        <v>3198</v>
      </c>
      <c r="E12" s="182" t="s">
        <v>250</v>
      </c>
      <c r="F12" s="182" t="s">
        <v>2804</v>
      </c>
      <c r="G12" s="183">
        <v>5.6189999999999998</v>
      </c>
      <c r="H12" s="183">
        <v>0</v>
      </c>
      <c r="I12" s="183">
        <v>5.1581999999999999</v>
      </c>
      <c r="J12" s="183">
        <v>5.1581999999999999</v>
      </c>
      <c r="K12" s="182" t="s">
        <v>3195</v>
      </c>
      <c r="L12">
        <f>VLOOKUP(C12,'[1]SR No. party'!$A:$B,2,0)</f>
        <v>4</v>
      </c>
    </row>
    <row r="13" spans="1:15" ht="78.75">
      <c r="A13" s="181">
        <v>46193</v>
      </c>
      <c r="B13" s="182" t="s">
        <v>3193</v>
      </c>
      <c r="C13" s="182" t="s">
        <v>251</v>
      </c>
      <c r="D13" s="182" t="s">
        <v>3198</v>
      </c>
      <c r="E13" s="182" t="s">
        <v>250</v>
      </c>
      <c r="F13" s="182" t="s">
        <v>2804</v>
      </c>
      <c r="G13" s="183">
        <v>6.077</v>
      </c>
      <c r="H13" s="183">
        <v>0</v>
      </c>
      <c r="I13" s="183">
        <v>5.5787000000000004</v>
      </c>
      <c r="J13" s="183">
        <v>5.5787000000000004</v>
      </c>
      <c r="K13" s="182" t="s">
        <v>3195</v>
      </c>
      <c r="L13">
        <f>VLOOKUP(C13,'[1]SR No. party'!$A:$B,2,0)</f>
        <v>4</v>
      </c>
    </row>
    <row r="14" spans="1:15" ht="78.75">
      <c r="A14" s="181">
        <v>46193</v>
      </c>
      <c r="B14" s="182" t="s">
        <v>3193</v>
      </c>
      <c r="C14" s="182" t="s">
        <v>251</v>
      </c>
      <c r="D14" s="182" t="s">
        <v>3199</v>
      </c>
      <c r="E14" s="182" t="s">
        <v>250</v>
      </c>
      <c r="F14" s="182" t="s">
        <v>2804</v>
      </c>
      <c r="G14" s="183">
        <v>6.3769999999999998</v>
      </c>
      <c r="H14" s="183">
        <v>0</v>
      </c>
      <c r="I14" s="183">
        <v>5.8540999999999999</v>
      </c>
      <c r="J14" s="183">
        <v>5.8540999999999999</v>
      </c>
      <c r="K14" s="182" t="s">
        <v>3195</v>
      </c>
      <c r="L14">
        <f>VLOOKUP(C14,'[1]SR No. party'!$A:$B,2,0)</f>
        <v>4</v>
      </c>
    </row>
    <row r="15" spans="1:15" ht="78.75">
      <c r="A15" s="181">
        <v>46193</v>
      </c>
      <c r="B15" s="182" t="s">
        <v>3193</v>
      </c>
      <c r="C15" s="182" t="s">
        <v>251</v>
      </c>
      <c r="D15" s="182" t="s">
        <v>3199</v>
      </c>
      <c r="E15" s="182" t="s">
        <v>250</v>
      </c>
      <c r="F15" s="182" t="s">
        <v>2804</v>
      </c>
      <c r="G15" s="183">
        <v>6.2480000000000002</v>
      </c>
      <c r="H15" s="183">
        <v>0</v>
      </c>
      <c r="I15" s="183">
        <v>5.7356999999999996</v>
      </c>
      <c r="J15" s="183">
        <v>5.7356999999999996</v>
      </c>
      <c r="K15" s="182" t="s">
        <v>3195</v>
      </c>
      <c r="L15">
        <f>VLOOKUP(C15,'[1]SR No. party'!$A:$B,2,0)</f>
        <v>4</v>
      </c>
    </row>
    <row r="16" spans="1:15" ht="78.75">
      <c r="A16" s="181">
        <v>46193</v>
      </c>
      <c r="B16" s="182" t="s">
        <v>3193</v>
      </c>
      <c r="C16" s="182" t="s">
        <v>251</v>
      </c>
      <c r="D16" s="182" t="s">
        <v>3196</v>
      </c>
      <c r="E16" s="182" t="s">
        <v>250</v>
      </c>
      <c r="F16" s="182" t="s">
        <v>2804</v>
      </c>
      <c r="G16" s="183">
        <v>6.181</v>
      </c>
      <c r="H16" s="183">
        <v>0</v>
      </c>
      <c r="I16" s="183">
        <v>5.6741999999999999</v>
      </c>
      <c r="J16" s="183">
        <v>5.6741999999999999</v>
      </c>
      <c r="K16" s="182" t="s">
        <v>3195</v>
      </c>
      <c r="L16">
        <f>VLOOKUP(C16,'[1]SR No. party'!$A:$B,2,0)</f>
        <v>4</v>
      </c>
    </row>
    <row r="17" spans="1:12" ht="78.75">
      <c r="A17" s="181">
        <v>46193</v>
      </c>
      <c r="B17" s="182" t="s">
        <v>3193</v>
      </c>
      <c r="C17" s="182" t="s">
        <v>251</v>
      </c>
      <c r="D17" s="182" t="s">
        <v>3200</v>
      </c>
      <c r="E17" s="182" t="s">
        <v>250</v>
      </c>
      <c r="F17" s="182" t="s">
        <v>2804</v>
      </c>
      <c r="G17" s="183">
        <v>6.0819999999999999</v>
      </c>
      <c r="H17" s="183">
        <v>0</v>
      </c>
      <c r="I17" s="183">
        <v>5.5833000000000004</v>
      </c>
      <c r="J17" s="183">
        <v>5.5833000000000004</v>
      </c>
      <c r="K17" s="182" t="s">
        <v>3195</v>
      </c>
      <c r="L17">
        <f>VLOOKUP(C17,'[1]SR No. party'!$A:$B,2,0)</f>
        <v>4</v>
      </c>
    </row>
    <row r="18" spans="1:12" ht="78.75">
      <c r="A18" s="181">
        <v>46193</v>
      </c>
      <c r="B18" s="182" t="s">
        <v>3193</v>
      </c>
      <c r="C18" s="182" t="s">
        <v>251</v>
      </c>
      <c r="D18" s="182" t="s">
        <v>3201</v>
      </c>
      <c r="E18" s="182" t="s">
        <v>250</v>
      </c>
      <c r="F18" s="182" t="s">
        <v>2804</v>
      </c>
      <c r="G18" s="183">
        <v>6.8410000000000002</v>
      </c>
      <c r="H18" s="183">
        <v>0</v>
      </c>
      <c r="I18" s="183">
        <v>6.28</v>
      </c>
      <c r="J18" s="183">
        <v>6.28</v>
      </c>
      <c r="K18" s="182" t="s">
        <v>3195</v>
      </c>
      <c r="L18">
        <f>VLOOKUP(C18,'[1]SR No. party'!$A:$B,2,0)</f>
        <v>4</v>
      </c>
    </row>
    <row r="19" spans="1:12" ht="78.75">
      <c r="A19" s="181">
        <v>46193</v>
      </c>
      <c r="B19" s="182" t="s">
        <v>3193</v>
      </c>
      <c r="C19" s="182" t="s">
        <v>251</v>
      </c>
      <c r="D19" s="182" t="s">
        <v>3202</v>
      </c>
      <c r="E19" s="182" t="s">
        <v>250</v>
      </c>
      <c r="F19" s="182" t="s">
        <v>2804</v>
      </c>
      <c r="G19" s="183">
        <v>7.2510000000000003</v>
      </c>
      <c r="H19" s="183">
        <v>0</v>
      </c>
      <c r="I19" s="183">
        <v>6.6563999999999997</v>
      </c>
      <c r="J19" s="183">
        <v>6.6563999999999997</v>
      </c>
      <c r="K19" s="182" t="s">
        <v>3195</v>
      </c>
      <c r="L19">
        <f>VLOOKUP(C19,'[1]SR No. party'!$A:$B,2,0)</f>
        <v>4</v>
      </c>
    </row>
    <row r="20" spans="1:12" ht="78.75">
      <c r="A20" s="181">
        <v>46193</v>
      </c>
      <c r="B20" s="182" t="s">
        <v>3193</v>
      </c>
      <c r="C20" s="182" t="s">
        <v>251</v>
      </c>
      <c r="D20" s="182" t="s">
        <v>3197</v>
      </c>
      <c r="E20" s="182" t="s">
        <v>250</v>
      </c>
      <c r="F20" s="182" t="s">
        <v>2804</v>
      </c>
      <c r="G20" s="183">
        <v>6.9580000000000002</v>
      </c>
      <c r="H20" s="183">
        <v>0</v>
      </c>
      <c r="I20" s="183">
        <v>6.3874000000000004</v>
      </c>
      <c r="J20" s="183">
        <v>6.3874000000000004</v>
      </c>
      <c r="K20" s="182" t="s">
        <v>3195</v>
      </c>
      <c r="L20">
        <f>VLOOKUP(C20,'[1]SR No. party'!$A:$B,2,0)</f>
        <v>4</v>
      </c>
    </row>
    <row r="21" spans="1:12" ht="78.75">
      <c r="A21" s="181">
        <v>46193</v>
      </c>
      <c r="B21" s="182" t="s">
        <v>3193</v>
      </c>
      <c r="C21" s="182" t="s">
        <v>251</v>
      </c>
      <c r="D21" s="182" t="s">
        <v>3200</v>
      </c>
      <c r="E21" s="182" t="s">
        <v>250</v>
      </c>
      <c r="F21" s="182" t="s">
        <v>2804</v>
      </c>
      <c r="G21" s="183">
        <v>5.6959999999999997</v>
      </c>
      <c r="H21" s="183">
        <v>0</v>
      </c>
      <c r="I21" s="183">
        <v>5.2289000000000003</v>
      </c>
      <c r="J21" s="183">
        <v>5.2289000000000003</v>
      </c>
      <c r="K21" s="182" t="s">
        <v>3195</v>
      </c>
      <c r="L21">
        <f>VLOOKUP(C21,'[1]SR No. party'!$A:$B,2,0)</f>
        <v>4</v>
      </c>
    </row>
    <row r="22" spans="1:12" ht="78.75">
      <c r="A22" s="181">
        <v>46193</v>
      </c>
      <c r="B22" s="182" t="s">
        <v>3193</v>
      </c>
      <c r="C22" s="182" t="s">
        <v>251</v>
      </c>
      <c r="D22" s="182" t="s">
        <v>3201</v>
      </c>
      <c r="E22" s="182" t="s">
        <v>250</v>
      </c>
      <c r="F22" s="182" t="s">
        <v>2804</v>
      </c>
      <c r="G22" s="183">
        <v>6.516</v>
      </c>
      <c r="H22" s="183">
        <v>0</v>
      </c>
      <c r="I22" s="183">
        <v>5.9817</v>
      </c>
      <c r="J22" s="183">
        <v>5.9817</v>
      </c>
      <c r="K22" s="182" t="s">
        <v>3195</v>
      </c>
      <c r="L22">
        <f>VLOOKUP(C22,'[1]SR No. party'!$A:$B,2,0)</f>
        <v>4</v>
      </c>
    </row>
    <row r="23" spans="1:12" ht="78.75">
      <c r="A23" s="181">
        <v>46193</v>
      </c>
      <c r="B23" s="182" t="s">
        <v>3193</v>
      </c>
      <c r="C23" s="182" t="s">
        <v>251</v>
      </c>
      <c r="D23" s="182" t="s">
        <v>3201</v>
      </c>
      <c r="E23" s="182" t="s">
        <v>250</v>
      </c>
      <c r="F23" s="182" t="s">
        <v>2804</v>
      </c>
      <c r="G23" s="183">
        <v>6.5819999999999999</v>
      </c>
      <c r="H23" s="183">
        <v>0</v>
      </c>
      <c r="I23" s="183">
        <v>6.0423</v>
      </c>
      <c r="J23" s="183">
        <v>6.0423</v>
      </c>
      <c r="K23" s="182" t="s">
        <v>3195</v>
      </c>
      <c r="L23">
        <f>VLOOKUP(C23,'[1]SR No. party'!$A:$B,2,0)</f>
        <v>4</v>
      </c>
    </row>
    <row r="24" spans="1:12" ht="78.75">
      <c r="A24" s="181">
        <v>46193</v>
      </c>
      <c r="B24" s="182" t="s">
        <v>3193</v>
      </c>
      <c r="C24" s="182" t="s">
        <v>251</v>
      </c>
      <c r="D24" s="182" t="s">
        <v>3203</v>
      </c>
      <c r="E24" s="182" t="s">
        <v>250</v>
      </c>
      <c r="F24" s="182" t="s">
        <v>2804</v>
      </c>
      <c r="G24" s="183">
        <v>6.8209999999999997</v>
      </c>
      <c r="H24" s="183">
        <v>0</v>
      </c>
      <c r="I24" s="183">
        <v>6.2617000000000003</v>
      </c>
      <c r="J24" s="183">
        <v>6.2617000000000003</v>
      </c>
      <c r="K24" s="182" t="s">
        <v>3195</v>
      </c>
      <c r="L24">
        <f>VLOOKUP(C24,'[1]SR No. party'!$A:$B,2,0)</f>
        <v>4</v>
      </c>
    </row>
    <row r="25" spans="1:12" ht="78.75">
      <c r="A25" s="181">
        <v>46193</v>
      </c>
      <c r="B25" s="182" t="s">
        <v>3193</v>
      </c>
      <c r="C25" s="182" t="s">
        <v>251</v>
      </c>
      <c r="D25" s="182" t="s">
        <v>3204</v>
      </c>
      <c r="E25" s="182" t="s">
        <v>250</v>
      </c>
      <c r="F25" s="182" t="s">
        <v>2804</v>
      </c>
      <c r="G25" s="183">
        <v>6.3789999999999996</v>
      </c>
      <c r="H25" s="183">
        <v>0</v>
      </c>
      <c r="I25" s="183">
        <v>5.8559000000000001</v>
      </c>
      <c r="J25" s="183">
        <v>5.8559000000000001</v>
      </c>
      <c r="K25" s="182" t="s">
        <v>3195</v>
      </c>
      <c r="L25">
        <f>VLOOKUP(C25,'[1]SR No. party'!$A:$B,2,0)</f>
        <v>4</v>
      </c>
    </row>
    <row r="26" spans="1:12" ht="33.75">
      <c r="A26" s="181">
        <v>46193</v>
      </c>
      <c r="B26" s="182" t="s">
        <v>3205</v>
      </c>
      <c r="C26" s="182" t="s">
        <v>257</v>
      </c>
      <c r="D26" s="182" t="s">
        <v>2866</v>
      </c>
      <c r="E26" s="182" t="s">
        <v>253</v>
      </c>
      <c r="F26" s="182" t="s">
        <v>272</v>
      </c>
      <c r="G26" s="183">
        <v>0.24099999999999999</v>
      </c>
      <c r="H26" s="183">
        <v>0</v>
      </c>
      <c r="I26" s="183">
        <v>0.18079999999999999</v>
      </c>
      <c r="J26" s="183">
        <v>0.18079999999999999</v>
      </c>
      <c r="K26" s="182" t="s">
        <v>3206</v>
      </c>
      <c r="L26">
        <f>VLOOKUP(C26,'[1]SR No. party'!$A:$B,2,0)</f>
        <v>2</v>
      </c>
    </row>
    <row r="27" spans="1:12" ht="56.25">
      <c r="A27" s="181">
        <v>46193</v>
      </c>
      <c r="B27" s="182" t="s">
        <v>3207</v>
      </c>
      <c r="C27" s="182" t="s">
        <v>251</v>
      </c>
      <c r="D27" s="182" t="s">
        <v>3208</v>
      </c>
      <c r="E27" s="182" t="s">
        <v>250</v>
      </c>
      <c r="F27" s="182" t="s">
        <v>2804</v>
      </c>
      <c r="G27" s="183">
        <v>14.553000000000001</v>
      </c>
      <c r="H27" s="183">
        <v>0</v>
      </c>
      <c r="I27" s="183">
        <v>13.3597</v>
      </c>
      <c r="J27" s="183">
        <v>13.3597</v>
      </c>
      <c r="K27" s="182" t="s">
        <v>3209</v>
      </c>
      <c r="L27">
        <f>VLOOKUP(C27,'[1]SR No. party'!$A:$B,2,0)</f>
        <v>4</v>
      </c>
    </row>
    <row r="28" spans="1:12" ht="56.25">
      <c r="A28" s="181">
        <v>46193</v>
      </c>
      <c r="B28" s="182" t="s">
        <v>3207</v>
      </c>
      <c r="C28" s="182" t="s">
        <v>251</v>
      </c>
      <c r="D28" s="182" t="s">
        <v>3210</v>
      </c>
      <c r="E28" s="182" t="s">
        <v>250</v>
      </c>
      <c r="F28" s="182" t="s">
        <v>2804</v>
      </c>
      <c r="G28" s="183">
        <v>12.725</v>
      </c>
      <c r="H28" s="183">
        <v>0</v>
      </c>
      <c r="I28" s="183">
        <v>11.6816</v>
      </c>
      <c r="J28" s="183">
        <v>11.6816</v>
      </c>
      <c r="K28" s="182" t="s">
        <v>3209</v>
      </c>
      <c r="L28">
        <f>VLOOKUP(C28,'[1]SR No. party'!$A:$B,2,0)</f>
        <v>4</v>
      </c>
    </row>
    <row r="29" spans="1:12" ht="56.25">
      <c r="A29" s="181">
        <v>46193</v>
      </c>
      <c r="B29" s="182" t="s">
        <v>3207</v>
      </c>
      <c r="C29" s="182" t="s">
        <v>251</v>
      </c>
      <c r="D29" s="182" t="s">
        <v>3211</v>
      </c>
      <c r="E29" s="182" t="s">
        <v>250</v>
      </c>
      <c r="F29" s="182" t="s">
        <v>2804</v>
      </c>
      <c r="G29" s="183">
        <v>9.23</v>
      </c>
      <c r="H29" s="183">
        <v>0</v>
      </c>
      <c r="I29" s="183">
        <v>8.4731000000000005</v>
      </c>
      <c r="J29" s="183">
        <v>8.4731000000000005</v>
      </c>
      <c r="K29" s="182" t="s">
        <v>3209</v>
      </c>
      <c r="L29">
        <f>VLOOKUP(C29,'[1]SR No. party'!$A:$B,2,0)</f>
        <v>4</v>
      </c>
    </row>
    <row r="30" spans="1:12" ht="56.25">
      <c r="A30" s="181">
        <v>46193</v>
      </c>
      <c r="B30" s="182" t="s">
        <v>3207</v>
      </c>
      <c r="C30" s="182" t="s">
        <v>251</v>
      </c>
      <c r="D30" s="182" t="s">
        <v>3212</v>
      </c>
      <c r="E30" s="182" t="s">
        <v>250</v>
      </c>
      <c r="F30" s="182" t="s">
        <v>2804</v>
      </c>
      <c r="G30" s="183">
        <v>13.172000000000001</v>
      </c>
      <c r="H30" s="183">
        <v>0</v>
      </c>
      <c r="I30" s="183">
        <v>12.091900000000001</v>
      </c>
      <c r="J30" s="183">
        <v>12.091900000000001</v>
      </c>
      <c r="K30" s="182" t="s">
        <v>3209</v>
      </c>
      <c r="L30">
        <f>VLOOKUP(C30,'[1]SR No. party'!$A:$B,2,0)</f>
        <v>4</v>
      </c>
    </row>
    <row r="31" spans="1:12" ht="56.25">
      <c r="A31" s="181">
        <v>46193</v>
      </c>
      <c r="B31" s="182" t="s">
        <v>3207</v>
      </c>
      <c r="C31" s="182" t="s">
        <v>251</v>
      </c>
      <c r="D31" s="182" t="s">
        <v>3213</v>
      </c>
      <c r="E31" s="182" t="s">
        <v>250</v>
      </c>
      <c r="F31" s="182" t="s">
        <v>2804</v>
      </c>
      <c r="G31" s="183">
        <v>11.428000000000001</v>
      </c>
      <c r="H31" s="183">
        <v>0</v>
      </c>
      <c r="I31" s="183">
        <v>10.4909</v>
      </c>
      <c r="J31" s="183">
        <v>10.4909</v>
      </c>
      <c r="K31" s="182" t="s">
        <v>3209</v>
      </c>
      <c r="L31">
        <f>VLOOKUP(C31,'[1]SR No. party'!$A:$B,2,0)</f>
        <v>4</v>
      </c>
    </row>
    <row r="32" spans="1:12" ht="56.25">
      <c r="A32" s="181">
        <v>46193</v>
      </c>
      <c r="B32" s="182" t="s">
        <v>3207</v>
      </c>
      <c r="C32" s="182" t="s">
        <v>251</v>
      </c>
      <c r="D32" s="182" t="s">
        <v>3214</v>
      </c>
      <c r="E32" s="182" t="s">
        <v>250</v>
      </c>
      <c r="F32" s="182" t="s">
        <v>2804</v>
      </c>
      <c r="G32" s="183">
        <v>11.544</v>
      </c>
      <c r="H32" s="183">
        <v>0</v>
      </c>
      <c r="I32" s="183">
        <v>10.5974</v>
      </c>
      <c r="J32" s="183">
        <v>10.5974</v>
      </c>
      <c r="K32" s="182" t="s">
        <v>3209</v>
      </c>
      <c r="L32">
        <f>VLOOKUP(C32,'[1]SR No. party'!$A:$B,2,0)</f>
        <v>4</v>
      </c>
    </row>
    <row r="33" spans="1:12" ht="67.5">
      <c r="A33" s="181">
        <v>46193</v>
      </c>
      <c r="B33" s="182" t="s">
        <v>3215</v>
      </c>
      <c r="C33" s="182" t="s">
        <v>2881</v>
      </c>
      <c r="D33" s="182" t="s">
        <v>2822</v>
      </c>
      <c r="E33" s="182" t="s">
        <v>250</v>
      </c>
      <c r="F33" s="182" t="s">
        <v>2804</v>
      </c>
      <c r="G33" s="183">
        <v>854.02</v>
      </c>
      <c r="H33" s="183">
        <v>0</v>
      </c>
      <c r="I33" s="183">
        <v>783.99040000000002</v>
      </c>
      <c r="J33" s="183">
        <v>783.99040000000002</v>
      </c>
      <c r="K33" s="182" t="s">
        <v>3216</v>
      </c>
      <c r="L33" t="e">
        <f>VLOOKUP(C33,'[1]SR No. party'!$A:$B,2,0)</f>
        <v>#N/A</v>
      </c>
    </row>
    <row r="34" spans="1:12" ht="33.75">
      <c r="A34" s="181">
        <v>46193</v>
      </c>
      <c r="B34" s="182" t="s">
        <v>3217</v>
      </c>
      <c r="C34" s="182" t="s">
        <v>258</v>
      </c>
      <c r="D34" s="182" t="s">
        <v>2822</v>
      </c>
      <c r="E34" s="182" t="s">
        <v>250</v>
      </c>
      <c r="F34" s="182" t="s">
        <v>2804</v>
      </c>
      <c r="G34" s="183">
        <v>729.49</v>
      </c>
      <c r="H34" s="183">
        <v>0</v>
      </c>
      <c r="I34" s="183">
        <v>669.67179999999996</v>
      </c>
      <c r="J34" s="183">
        <v>669.67179999999996</v>
      </c>
      <c r="K34" s="182" t="s">
        <v>3218</v>
      </c>
      <c r="L34">
        <f>VLOOKUP(C34,'[1]SR No. party'!$A:$B,2,0)</f>
        <v>1</v>
      </c>
    </row>
    <row r="35" spans="1:12" ht="33.75">
      <c r="A35" s="181">
        <v>46193</v>
      </c>
      <c r="B35" s="182" t="s">
        <v>3217</v>
      </c>
      <c r="C35" s="182" t="s">
        <v>258</v>
      </c>
      <c r="D35" s="182" t="s">
        <v>2822</v>
      </c>
      <c r="E35" s="182" t="s">
        <v>250</v>
      </c>
      <c r="F35" s="182" t="s">
        <v>2804</v>
      </c>
      <c r="G35" s="183">
        <v>7.49</v>
      </c>
      <c r="H35" s="183">
        <v>0</v>
      </c>
      <c r="I35" s="183">
        <v>6.8757999999999999</v>
      </c>
      <c r="J35" s="183">
        <v>6.8757999999999999</v>
      </c>
      <c r="K35" s="182" t="s">
        <v>3219</v>
      </c>
      <c r="L35">
        <f>VLOOKUP(C35,'[1]SR No. party'!$A:$B,2,0)</f>
        <v>1</v>
      </c>
    </row>
    <row r="36" spans="1:12" ht="33.75">
      <c r="A36" s="181">
        <v>46193</v>
      </c>
      <c r="B36" s="182" t="s">
        <v>3217</v>
      </c>
      <c r="C36" s="182" t="s">
        <v>258</v>
      </c>
      <c r="D36" s="182" t="s">
        <v>2822</v>
      </c>
      <c r="E36" s="182" t="s">
        <v>250</v>
      </c>
      <c r="F36" s="182" t="s">
        <v>2804</v>
      </c>
      <c r="G36" s="183">
        <v>253.31</v>
      </c>
      <c r="H36" s="183">
        <v>0</v>
      </c>
      <c r="I36" s="183">
        <v>232.5386</v>
      </c>
      <c r="J36" s="183">
        <v>232.5386</v>
      </c>
      <c r="K36" s="182" t="s">
        <v>3218</v>
      </c>
      <c r="L36">
        <f>VLOOKUP(C36,'[1]SR No. party'!$A:$B,2,0)</f>
        <v>1</v>
      </c>
    </row>
    <row r="37" spans="1:12" ht="67.5">
      <c r="A37" s="181">
        <v>46193</v>
      </c>
      <c r="B37" s="182" t="s">
        <v>3220</v>
      </c>
      <c r="C37" s="182" t="s">
        <v>252</v>
      </c>
      <c r="D37" s="182" t="s">
        <v>2899</v>
      </c>
      <c r="E37" s="182" t="s">
        <v>253</v>
      </c>
      <c r="F37" s="182" t="s">
        <v>282</v>
      </c>
      <c r="G37" s="183">
        <v>8.5500000000000007</v>
      </c>
      <c r="H37" s="183">
        <v>3</v>
      </c>
      <c r="I37" s="183">
        <v>6.4124999999999996</v>
      </c>
      <c r="J37" s="183">
        <v>6.6689999999999996</v>
      </c>
      <c r="K37" s="182" t="s">
        <v>3221</v>
      </c>
      <c r="L37">
        <f>VLOOKUP(C37,'[1]SR No. party'!$A:$B,2,0)</f>
        <v>7</v>
      </c>
    </row>
    <row r="38" spans="1:12" ht="45">
      <c r="A38" s="181">
        <v>46193</v>
      </c>
      <c r="B38" s="182" t="s">
        <v>3222</v>
      </c>
      <c r="C38" s="182" t="s">
        <v>251</v>
      </c>
      <c r="D38" s="182" t="s">
        <v>3223</v>
      </c>
      <c r="E38" s="182" t="s">
        <v>250</v>
      </c>
      <c r="F38" s="182" t="s">
        <v>2804</v>
      </c>
      <c r="G38" s="183">
        <v>168.12</v>
      </c>
      <c r="H38" s="183">
        <v>0</v>
      </c>
      <c r="I38" s="183">
        <v>154.33420000000001</v>
      </c>
      <c r="J38" s="183">
        <v>154.33420000000001</v>
      </c>
      <c r="K38" s="182" t="s">
        <v>3224</v>
      </c>
      <c r="L38">
        <f>VLOOKUP(C38,'[1]SR No. party'!$A:$B,2,0)</f>
        <v>4</v>
      </c>
    </row>
    <row r="39" spans="1:12" ht="33.75">
      <c r="A39" s="181">
        <v>46193</v>
      </c>
      <c r="B39" s="182" t="s">
        <v>3225</v>
      </c>
      <c r="C39" s="182" t="s">
        <v>258</v>
      </c>
      <c r="D39" s="182" t="s">
        <v>2863</v>
      </c>
      <c r="E39" s="182" t="s">
        <v>253</v>
      </c>
      <c r="F39" s="182" t="s">
        <v>272</v>
      </c>
      <c r="G39" s="183">
        <v>12</v>
      </c>
      <c r="H39" s="183">
        <v>0</v>
      </c>
      <c r="I39" s="183">
        <v>9</v>
      </c>
      <c r="J39" s="183">
        <v>9</v>
      </c>
      <c r="K39" s="182" t="s">
        <v>3226</v>
      </c>
      <c r="L39">
        <f>VLOOKUP(C39,'[1]SR No. party'!$A:$B,2,0)</f>
        <v>1</v>
      </c>
    </row>
    <row r="40" spans="1:12" ht="33.75">
      <c r="A40" s="181">
        <v>46193</v>
      </c>
      <c r="B40" s="182" t="s">
        <v>3225</v>
      </c>
      <c r="C40" s="182" t="s">
        <v>258</v>
      </c>
      <c r="D40" s="182" t="s">
        <v>2863</v>
      </c>
      <c r="E40" s="182" t="s">
        <v>253</v>
      </c>
      <c r="F40" s="182" t="s">
        <v>272</v>
      </c>
      <c r="G40" s="183">
        <v>30.2</v>
      </c>
      <c r="H40" s="183">
        <v>0</v>
      </c>
      <c r="I40" s="183">
        <v>22.65</v>
      </c>
      <c r="J40" s="183">
        <v>22.65</v>
      </c>
      <c r="K40" s="182" t="s">
        <v>3227</v>
      </c>
      <c r="L40">
        <f>VLOOKUP(C40,'[1]SR No. party'!$A:$B,2,0)</f>
        <v>1</v>
      </c>
    </row>
    <row r="41" spans="1:12" ht="33.75">
      <c r="A41" s="181">
        <v>46193</v>
      </c>
      <c r="B41" s="182" t="s">
        <v>3225</v>
      </c>
      <c r="C41" s="182" t="s">
        <v>258</v>
      </c>
      <c r="D41" s="182" t="s">
        <v>2863</v>
      </c>
      <c r="E41" s="182" t="s">
        <v>253</v>
      </c>
      <c r="F41" s="182" t="s">
        <v>272</v>
      </c>
      <c r="G41" s="183">
        <v>0.91</v>
      </c>
      <c r="H41" s="183">
        <v>0</v>
      </c>
      <c r="I41" s="183">
        <v>0.6825</v>
      </c>
      <c r="J41" s="183">
        <v>0.6825</v>
      </c>
      <c r="K41" s="182" t="s">
        <v>3228</v>
      </c>
      <c r="L41">
        <f>VLOOKUP(C41,'[1]SR No. party'!$A:$B,2,0)</f>
        <v>1</v>
      </c>
    </row>
    <row r="42" spans="1:12" ht="45">
      <c r="A42" s="181">
        <v>46193</v>
      </c>
      <c r="B42" s="182" t="s">
        <v>3229</v>
      </c>
      <c r="C42" s="182" t="s">
        <v>277</v>
      </c>
      <c r="D42" s="182"/>
      <c r="E42" s="182" t="s">
        <v>259</v>
      </c>
      <c r="F42" s="182" t="s">
        <v>2805</v>
      </c>
      <c r="G42" s="183">
        <v>727.75</v>
      </c>
      <c r="H42" s="183">
        <v>0</v>
      </c>
      <c r="I42" s="183">
        <v>724.11130000000003</v>
      </c>
      <c r="J42" s="183">
        <v>724.11130000000003</v>
      </c>
      <c r="K42" s="182" t="s">
        <v>3230</v>
      </c>
      <c r="L42">
        <f>VLOOKUP(C42,'[1]SR No. party'!$A:$B,2,0)</f>
        <v>5</v>
      </c>
    </row>
    <row r="43" spans="1:12" ht="56.25">
      <c r="A43" s="181">
        <v>46193</v>
      </c>
      <c r="B43" s="182" t="s">
        <v>3231</v>
      </c>
      <c r="C43" s="182" t="s">
        <v>2834</v>
      </c>
      <c r="D43" s="182"/>
      <c r="E43" s="182" t="s">
        <v>259</v>
      </c>
      <c r="F43" s="182" t="s">
        <v>2805</v>
      </c>
      <c r="G43" s="183">
        <v>1000</v>
      </c>
      <c r="H43" s="183">
        <v>0</v>
      </c>
      <c r="I43" s="183">
        <v>995</v>
      </c>
      <c r="J43" s="183">
        <v>995</v>
      </c>
      <c r="K43" s="182" t="s">
        <v>3232</v>
      </c>
      <c r="L43" t="e">
        <f>VLOOKUP(C43,'[1]SR No. party'!$A:$B,2,0)</f>
        <v>#N/A</v>
      </c>
    </row>
    <row r="44" spans="1:12" ht="78.75">
      <c r="A44" s="181">
        <v>46193</v>
      </c>
      <c r="B44" s="182" t="s">
        <v>3233</v>
      </c>
      <c r="C44" s="182" t="s">
        <v>257</v>
      </c>
      <c r="D44" s="182" t="s">
        <v>3234</v>
      </c>
      <c r="E44" s="182" t="s">
        <v>253</v>
      </c>
      <c r="F44" s="182" t="s">
        <v>282</v>
      </c>
      <c r="G44" s="183">
        <v>11.808999999999999</v>
      </c>
      <c r="H44" s="183">
        <v>0</v>
      </c>
      <c r="I44" s="183">
        <v>8.8567999999999998</v>
      </c>
      <c r="J44" s="183">
        <v>8.8567999999999998</v>
      </c>
      <c r="K44" s="182" t="s">
        <v>3235</v>
      </c>
      <c r="L44">
        <f>VLOOKUP(C44,'[1]SR No. party'!$A:$B,2,0)</f>
        <v>2</v>
      </c>
    </row>
    <row r="45" spans="1:12" ht="101.25">
      <c r="A45" s="181">
        <v>46193</v>
      </c>
      <c r="B45" s="182" t="s">
        <v>3233</v>
      </c>
      <c r="C45" s="182" t="s">
        <v>257</v>
      </c>
      <c r="D45" s="182" t="s">
        <v>2877</v>
      </c>
      <c r="E45" s="182" t="s">
        <v>253</v>
      </c>
      <c r="F45" s="182" t="s">
        <v>272</v>
      </c>
      <c r="G45" s="183">
        <v>12.79</v>
      </c>
      <c r="H45" s="183">
        <v>0</v>
      </c>
      <c r="I45" s="183">
        <v>9.5924999999999994</v>
      </c>
      <c r="J45" s="183">
        <v>9.5924999999999994</v>
      </c>
      <c r="K45" s="182" t="s">
        <v>3236</v>
      </c>
      <c r="L45">
        <f>VLOOKUP(C45,'[1]SR No. party'!$A:$B,2,0)</f>
        <v>2</v>
      </c>
    </row>
    <row r="46" spans="1:12" ht="78.75">
      <c r="A46" s="181">
        <v>46193</v>
      </c>
      <c r="B46" s="182" t="s">
        <v>3233</v>
      </c>
      <c r="C46" s="182" t="s">
        <v>257</v>
      </c>
      <c r="D46" s="182" t="s">
        <v>2863</v>
      </c>
      <c r="E46" s="182" t="s">
        <v>253</v>
      </c>
      <c r="F46" s="182" t="s">
        <v>272</v>
      </c>
      <c r="G46" s="183">
        <v>825.35</v>
      </c>
      <c r="H46" s="183">
        <v>0</v>
      </c>
      <c r="I46" s="183">
        <v>619.01250000000005</v>
      </c>
      <c r="J46" s="183">
        <v>619.01250000000005</v>
      </c>
      <c r="K46" s="182" t="s">
        <v>3237</v>
      </c>
      <c r="L46">
        <f>VLOOKUP(C46,'[1]SR No. party'!$A:$B,2,0)</f>
        <v>2</v>
      </c>
    </row>
    <row r="47" spans="1:12" ht="78.75">
      <c r="A47" s="181">
        <v>46193</v>
      </c>
      <c r="B47" s="182" t="s">
        <v>3233</v>
      </c>
      <c r="C47" s="182" t="s">
        <v>257</v>
      </c>
      <c r="D47" s="182" t="s">
        <v>2866</v>
      </c>
      <c r="E47" s="182" t="s">
        <v>253</v>
      </c>
      <c r="F47" s="182" t="s">
        <v>272</v>
      </c>
      <c r="G47" s="183">
        <v>391.959</v>
      </c>
      <c r="H47" s="183">
        <v>0</v>
      </c>
      <c r="I47" s="183">
        <v>293.96929999999998</v>
      </c>
      <c r="J47" s="183">
        <v>293.96929999999998</v>
      </c>
      <c r="K47" s="182" t="s">
        <v>3235</v>
      </c>
      <c r="L47">
        <f>VLOOKUP(C47,'[1]SR No. party'!$A:$B,2,0)</f>
        <v>2</v>
      </c>
    </row>
    <row r="48" spans="1:12" ht="67.5">
      <c r="A48" s="181">
        <v>46193</v>
      </c>
      <c r="B48" s="182" t="s">
        <v>3233</v>
      </c>
      <c r="C48" s="182" t="s">
        <v>257</v>
      </c>
      <c r="D48" s="182" t="s">
        <v>2863</v>
      </c>
      <c r="E48" s="182" t="s">
        <v>253</v>
      </c>
      <c r="F48" s="182" t="s">
        <v>272</v>
      </c>
      <c r="G48" s="183">
        <v>11.98</v>
      </c>
      <c r="H48" s="183">
        <v>0</v>
      </c>
      <c r="I48" s="183">
        <v>8.9849999999999994</v>
      </c>
      <c r="J48" s="183">
        <v>8.9849999999999994</v>
      </c>
      <c r="K48" s="182" t="s">
        <v>3238</v>
      </c>
      <c r="L48">
        <f>VLOOKUP(C48,'[1]SR No. party'!$A:$B,2,0)</f>
        <v>2</v>
      </c>
    </row>
    <row r="49" spans="1:12" ht="78.75">
      <c r="A49" s="181">
        <v>46193</v>
      </c>
      <c r="B49" s="182" t="s">
        <v>3233</v>
      </c>
      <c r="C49" s="182" t="s">
        <v>257</v>
      </c>
      <c r="D49" s="182" t="s">
        <v>2863</v>
      </c>
      <c r="E49" s="182" t="s">
        <v>253</v>
      </c>
      <c r="F49" s="182" t="s">
        <v>272</v>
      </c>
      <c r="G49" s="183">
        <v>83.38</v>
      </c>
      <c r="H49" s="183">
        <v>0</v>
      </c>
      <c r="I49" s="183">
        <v>62.534999999999997</v>
      </c>
      <c r="J49" s="183">
        <v>62.534999999999997</v>
      </c>
      <c r="K49" s="182" t="s">
        <v>3239</v>
      </c>
      <c r="L49">
        <f>VLOOKUP(C49,'[1]SR No. party'!$A:$B,2,0)</f>
        <v>2</v>
      </c>
    </row>
    <row r="50" spans="1:12" ht="33.75">
      <c r="A50" s="181">
        <v>46193</v>
      </c>
      <c r="B50" s="182" t="s">
        <v>3240</v>
      </c>
      <c r="C50" s="182" t="s">
        <v>258</v>
      </c>
      <c r="D50" s="182"/>
      <c r="E50" s="182" t="s">
        <v>259</v>
      </c>
      <c r="F50" s="182" t="s">
        <v>2923</v>
      </c>
      <c r="G50" s="183">
        <v>8.6189999999999998</v>
      </c>
      <c r="H50" s="183">
        <v>0</v>
      </c>
      <c r="I50" s="183">
        <v>8.6189999999999998</v>
      </c>
      <c r="J50" s="183">
        <v>8.6189999999999998</v>
      </c>
      <c r="K50" s="182" t="s">
        <v>3241</v>
      </c>
      <c r="L50">
        <f>VLOOKUP(C50,'[1]SR No. party'!$A:$B,2,0)</f>
        <v>1</v>
      </c>
    </row>
    <row r="51" spans="1:12" ht="22.5">
      <c r="A51" s="181">
        <v>46193</v>
      </c>
      <c r="B51" s="182" t="s">
        <v>3242</v>
      </c>
      <c r="C51" s="182" t="s">
        <v>258</v>
      </c>
      <c r="D51" s="182"/>
      <c r="E51" s="182" t="s">
        <v>259</v>
      </c>
      <c r="F51" s="182" t="s">
        <v>2805</v>
      </c>
      <c r="G51" s="183">
        <v>1447.1859999999999</v>
      </c>
      <c r="H51" s="183">
        <v>0</v>
      </c>
      <c r="I51" s="183">
        <v>1439.9501</v>
      </c>
      <c r="J51" s="183">
        <v>1439.9501</v>
      </c>
      <c r="K51" s="182" t="s">
        <v>3243</v>
      </c>
      <c r="L51">
        <f>VLOOKUP(C51,'[1]SR No. party'!$A:$B,2,0)</f>
        <v>1</v>
      </c>
    </row>
    <row r="52" spans="1:12" ht="33.75">
      <c r="A52" s="181">
        <v>46193</v>
      </c>
      <c r="B52" s="182" t="s">
        <v>3242</v>
      </c>
      <c r="C52" s="182" t="s">
        <v>258</v>
      </c>
      <c r="D52" s="182"/>
      <c r="E52" s="182" t="s">
        <v>259</v>
      </c>
      <c r="F52" s="182" t="s">
        <v>2923</v>
      </c>
      <c r="G52" s="183">
        <v>912.36099999999999</v>
      </c>
      <c r="H52" s="183">
        <v>0</v>
      </c>
      <c r="I52" s="183">
        <v>912.36099999999999</v>
      </c>
      <c r="J52" s="183">
        <v>912.36099999999999</v>
      </c>
      <c r="K52" s="182" t="s">
        <v>3244</v>
      </c>
      <c r="L52">
        <f>VLOOKUP(C52,'[1]SR No. party'!$A:$B,2,0)</f>
        <v>1</v>
      </c>
    </row>
    <row r="53" spans="1:12" ht="22.5">
      <c r="A53" s="181">
        <v>46193</v>
      </c>
      <c r="B53" s="182" t="s">
        <v>3242</v>
      </c>
      <c r="C53" s="182" t="s">
        <v>258</v>
      </c>
      <c r="D53" s="182"/>
      <c r="E53" s="182" t="s">
        <v>259</v>
      </c>
      <c r="F53" s="182" t="s">
        <v>2805</v>
      </c>
      <c r="G53" s="183">
        <v>9000</v>
      </c>
      <c r="H53" s="183">
        <v>0</v>
      </c>
      <c r="I53" s="183">
        <v>8955</v>
      </c>
      <c r="J53" s="183">
        <v>8955</v>
      </c>
      <c r="K53" s="182" t="s">
        <v>3243</v>
      </c>
      <c r="L53">
        <f>VLOOKUP(C53,'[1]SR No. party'!$A:$B,2,0)</f>
        <v>1</v>
      </c>
    </row>
    <row r="54" spans="1:12" ht="78.75">
      <c r="A54" s="181">
        <v>46193</v>
      </c>
      <c r="B54" s="182" t="s">
        <v>3245</v>
      </c>
      <c r="C54" s="182" t="s">
        <v>2875</v>
      </c>
      <c r="D54" s="182" t="s">
        <v>2822</v>
      </c>
      <c r="E54" s="182" t="s">
        <v>250</v>
      </c>
      <c r="F54" s="182" t="s">
        <v>2804</v>
      </c>
      <c r="G54" s="183">
        <v>46.018000000000001</v>
      </c>
      <c r="H54" s="183">
        <v>0</v>
      </c>
      <c r="I54" s="183">
        <v>42.244500000000002</v>
      </c>
      <c r="J54" s="183">
        <v>42.244500000000002</v>
      </c>
      <c r="K54" s="182" t="s">
        <v>3246</v>
      </c>
      <c r="L54" t="e">
        <f>VLOOKUP(C54,'[1]SR No. party'!$A:$B,2,0)</f>
        <v>#N/A</v>
      </c>
    </row>
    <row r="55" spans="1:12" ht="67.5">
      <c r="A55" s="181">
        <v>46193</v>
      </c>
      <c r="B55" s="182" t="s">
        <v>3247</v>
      </c>
      <c r="C55" s="182" t="s">
        <v>2881</v>
      </c>
      <c r="D55" s="182"/>
      <c r="E55" s="182" t="s">
        <v>259</v>
      </c>
      <c r="F55" s="182" t="s">
        <v>2805</v>
      </c>
      <c r="G55" s="183">
        <v>504.38</v>
      </c>
      <c r="H55" s="183">
        <v>0</v>
      </c>
      <c r="I55" s="183">
        <v>501.85809999999998</v>
      </c>
      <c r="J55" s="183">
        <v>501.85809999999998</v>
      </c>
      <c r="K55" s="182" t="s">
        <v>3248</v>
      </c>
      <c r="L55" t="e">
        <f>VLOOKUP(C55,'[1]SR No. party'!$A:$B,2,0)</f>
        <v>#N/A</v>
      </c>
    </row>
    <row r="56" spans="1:12" ht="67.5">
      <c r="A56" s="181">
        <v>46193</v>
      </c>
      <c r="B56" s="182" t="s">
        <v>3249</v>
      </c>
      <c r="C56" s="182" t="s">
        <v>257</v>
      </c>
      <c r="D56" s="182" t="s">
        <v>3250</v>
      </c>
      <c r="E56" s="182" t="s">
        <v>250</v>
      </c>
      <c r="F56" s="182" t="s">
        <v>2804</v>
      </c>
      <c r="G56" s="183">
        <v>46.08</v>
      </c>
      <c r="H56" s="183">
        <v>0</v>
      </c>
      <c r="I56" s="183">
        <v>42.301400000000001</v>
      </c>
      <c r="J56" s="183">
        <v>42.301400000000001</v>
      </c>
      <c r="K56" s="182" t="s">
        <v>3251</v>
      </c>
      <c r="L56">
        <f>VLOOKUP(C56,'[1]SR No. party'!$A:$B,2,0)</f>
        <v>2</v>
      </c>
    </row>
    <row r="57" spans="1:12" ht="78.75">
      <c r="A57" s="181">
        <v>46193</v>
      </c>
      <c r="B57" s="182" t="s">
        <v>3249</v>
      </c>
      <c r="C57" s="182" t="s">
        <v>257</v>
      </c>
      <c r="D57" s="182" t="s">
        <v>2862</v>
      </c>
      <c r="E57" s="182" t="s">
        <v>250</v>
      </c>
      <c r="F57" s="182" t="s">
        <v>2804</v>
      </c>
      <c r="G57" s="183">
        <v>145.93</v>
      </c>
      <c r="H57" s="183">
        <v>0</v>
      </c>
      <c r="I57" s="183">
        <v>133.96369999999999</v>
      </c>
      <c r="J57" s="183">
        <v>133.96369999999999</v>
      </c>
      <c r="K57" s="182" t="s">
        <v>3252</v>
      </c>
      <c r="L57">
        <f>VLOOKUP(C57,'[1]SR No. party'!$A:$B,2,0)</f>
        <v>2</v>
      </c>
    </row>
    <row r="58" spans="1:12" ht="67.5">
      <c r="A58" s="181">
        <v>46193</v>
      </c>
      <c r="B58" s="182" t="s">
        <v>3249</v>
      </c>
      <c r="C58" s="182" t="s">
        <v>257</v>
      </c>
      <c r="D58" s="182" t="s">
        <v>2822</v>
      </c>
      <c r="E58" s="182" t="s">
        <v>250</v>
      </c>
      <c r="F58" s="182" t="s">
        <v>2804</v>
      </c>
      <c r="G58" s="183">
        <v>33.46</v>
      </c>
      <c r="H58" s="183">
        <v>0</v>
      </c>
      <c r="I58" s="183">
        <v>30.7163</v>
      </c>
      <c r="J58" s="183">
        <v>30.7163</v>
      </c>
      <c r="K58" s="182" t="s">
        <v>3253</v>
      </c>
      <c r="L58">
        <f>VLOOKUP(C58,'[1]SR No. party'!$A:$B,2,0)</f>
        <v>2</v>
      </c>
    </row>
    <row r="59" spans="1:12" ht="67.5">
      <c r="A59" s="181">
        <v>46193</v>
      </c>
      <c r="B59" s="182" t="s">
        <v>3249</v>
      </c>
      <c r="C59" s="182" t="s">
        <v>257</v>
      </c>
      <c r="D59" s="182" t="s">
        <v>274</v>
      </c>
      <c r="E59" s="182" t="s">
        <v>250</v>
      </c>
      <c r="F59" s="182" t="s">
        <v>2804</v>
      </c>
      <c r="G59" s="183">
        <v>564.86</v>
      </c>
      <c r="H59" s="183">
        <v>0</v>
      </c>
      <c r="I59" s="183">
        <v>518.54150000000004</v>
      </c>
      <c r="J59" s="183">
        <v>518.54150000000004</v>
      </c>
      <c r="K59" s="182" t="s">
        <v>3254</v>
      </c>
      <c r="L59">
        <f>VLOOKUP(C59,'[1]SR No. party'!$A:$B,2,0)</f>
        <v>2</v>
      </c>
    </row>
    <row r="60" spans="1:12" ht="45">
      <c r="A60" s="181">
        <v>46193</v>
      </c>
      <c r="B60" s="182" t="s">
        <v>3255</v>
      </c>
      <c r="C60" s="182" t="s">
        <v>249</v>
      </c>
      <c r="D60" s="182"/>
      <c r="E60" s="182" t="s">
        <v>259</v>
      </c>
      <c r="F60" s="182" t="s">
        <v>2805</v>
      </c>
      <c r="G60" s="183">
        <v>1300</v>
      </c>
      <c r="H60" s="183">
        <v>0</v>
      </c>
      <c r="I60" s="183">
        <v>1293.5</v>
      </c>
      <c r="J60" s="183">
        <v>1293.5</v>
      </c>
      <c r="K60" s="182" t="s">
        <v>3256</v>
      </c>
      <c r="L60">
        <f>VLOOKUP(C60,'[1]SR No. party'!$A:$B,2,0)</f>
        <v>3</v>
      </c>
    </row>
    <row r="61" spans="1:12">
      <c r="G61">
        <f>SUBTOTAL(9,G4:G60)</f>
        <v>22465.457000000002</v>
      </c>
      <c r="I61">
        <f>SUBTOTAL(9,I4:I60)</f>
        <v>21783.755799999999</v>
      </c>
    </row>
  </sheetData>
  <mergeCells count="2">
    <mergeCell ref="A1:L1"/>
    <mergeCell ref="A2:L2"/>
  </mergeCells>
  <pageMargins left="0.75" right="0.75" top="1" bottom="1" header="0" footer="0"/>
  <pageSetup paperSize="9" orientation="landscape" r:id="rId1"/>
  <headerFooter alignWithMargins="0">
    <oddFooter>&amp;L&amp;"Arial"&amp;8&amp;BPage &amp;P of &amp;N&amp;B &amp;C&amp;"Arial"&amp;8&amp;B8/20/2025 2:57:33 PM&amp;B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D32"/>
  <sheetViews>
    <sheetView zoomScaleNormal="100" workbookViewId="0">
      <selection activeCell="D32" sqref="A1:D32"/>
    </sheetView>
  </sheetViews>
  <sheetFormatPr defaultColWidth="9" defaultRowHeight="15"/>
  <cols>
    <col min="1" max="1" width="51.7109375" style="63" customWidth="1"/>
    <col min="2" max="2" width="20.28515625" style="63" customWidth="1"/>
    <col min="3" max="3" width="21.7109375" style="63" customWidth="1"/>
    <col min="4" max="4" width="23.42578125" style="63" customWidth="1"/>
    <col min="5" max="5" width="9" style="63"/>
    <col min="6" max="6" width="13.140625" style="63" bestFit="1" customWidth="1"/>
    <col min="7" max="8" width="12" style="63" bestFit="1" customWidth="1"/>
    <col min="9" max="16384" width="9" style="63"/>
  </cols>
  <sheetData>
    <row r="1" spans="1:4" ht="27.75" customHeight="1">
      <c r="A1" s="221" t="s">
        <v>275</v>
      </c>
      <c r="B1" s="221"/>
      <c r="C1" s="221"/>
      <c r="D1" s="221"/>
    </row>
    <row r="2" spans="1:4" ht="15.75" customHeight="1">
      <c r="A2" s="218" t="s">
        <v>3317</v>
      </c>
      <c r="B2" s="218"/>
      <c r="C2" s="218" t="s">
        <v>3312</v>
      </c>
      <c r="D2" s="218"/>
    </row>
    <row r="3" spans="1:4">
      <c r="A3" s="288" t="s">
        <v>245</v>
      </c>
      <c r="B3" s="288" t="s">
        <v>246</v>
      </c>
      <c r="C3" s="288" t="s">
        <v>247</v>
      </c>
      <c r="D3" s="288" t="s">
        <v>248</v>
      </c>
    </row>
    <row r="4" spans="1:4">
      <c r="A4" s="198" t="s">
        <v>258</v>
      </c>
      <c r="B4" s="140" t="s">
        <v>250</v>
      </c>
      <c r="C4" s="142">
        <v>6631.107</v>
      </c>
      <c r="D4" s="142">
        <v>6087.3566000000001</v>
      </c>
    </row>
    <row r="5" spans="1:4">
      <c r="A5" s="198"/>
      <c r="B5" s="140" t="s">
        <v>253</v>
      </c>
      <c r="C5" s="142">
        <v>3642.8250000000007</v>
      </c>
      <c r="D5" s="142">
        <v>2732.1197999999999</v>
      </c>
    </row>
    <row r="6" spans="1:4">
      <c r="A6" s="139" t="s">
        <v>260</v>
      </c>
      <c r="B6" s="139"/>
      <c r="C6" s="141">
        <v>10273.932000000001</v>
      </c>
      <c r="D6" s="141">
        <v>8819.4763999999996</v>
      </c>
    </row>
    <row r="7" spans="1:4">
      <c r="A7" s="198" t="s">
        <v>257</v>
      </c>
      <c r="B7" s="140" t="s">
        <v>250</v>
      </c>
      <c r="C7" s="142">
        <v>1413.748</v>
      </c>
      <c r="D7" s="142">
        <v>1297.8205999999993</v>
      </c>
    </row>
    <row r="8" spans="1:4">
      <c r="A8" s="139" t="s">
        <v>2770</v>
      </c>
      <c r="B8" s="139"/>
      <c r="C8" s="141">
        <v>1413.748</v>
      </c>
      <c r="D8" s="141">
        <v>1297.8205999999993</v>
      </c>
    </row>
    <row r="9" spans="1:4">
      <c r="A9" s="198" t="s">
        <v>277</v>
      </c>
      <c r="B9" s="140" t="s">
        <v>253</v>
      </c>
      <c r="C9" s="142">
        <v>292.08000000000004</v>
      </c>
      <c r="D9" s="142">
        <v>219.06010000000003</v>
      </c>
    </row>
    <row r="10" spans="1:4">
      <c r="A10" s="139" t="s">
        <v>3313</v>
      </c>
      <c r="B10" s="139"/>
      <c r="C10" s="141">
        <v>292.08000000000004</v>
      </c>
      <c r="D10" s="141">
        <v>219.06010000000003</v>
      </c>
    </row>
    <row r="11" spans="1:4">
      <c r="A11" s="198" t="s">
        <v>660</v>
      </c>
      <c r="B11" s="140" t="s">
        <v>250</v>
      </c>
      <c r="C11" s="142">
        <v>453.46</v>
      </c>
      <c r="D11" s="142">
        <v>416.27629999999999</v>
      </c>
    </row>
    <row r="12" spans="1:4">
      <c r="A12" s="139" t="s">
        <v>2765</v>
      </c>
      <c r="B12" s="139"/>
      <c r="C12" s="141">
        <v>453.46</v>
      </c>
      <c r="D12" s="141">
        <v>416.27629999999999</v>
      </c>
    </row>
    <row r="13" spans="1:4">
      <c r="A13" s="198" t="s">
        <v>252</v>
      </c>
      <c r="B13" s="140" t="s">
        <v>253</v>
      </c>
      <c r="C13" s="142">
        <v>70.134</v>
      </c>
      <c r="D13" s="142">
        <v>52.600499999999997</v>
      </c>
    </row>
    <row r="14" spans="1:4">
      <c r="A14" s="139" t="s">
        <v>2758</v>
      </c>
      <c r="B14" s="139"/>
      <c r="C14" s="141">
        <v>70.134</v>
      </c>
      <c r="D14" s="141">
        <v>52.600499999999997</v>
      </c>
    </row>
    <row r="15" spans="1:4">
      <c r="A15" s="198" t="s">
        <v>276</v>
      </c>
      <c r="B15" s="140" t="s">
        <v>250</v>
      </c>
      <c r="C15" s="142">
        <v>22.089999999999996</v>
      </c>
      <c r="D15" s="142">
        <v>20.234399999999997</v>
      </c>
    </row>
    <row r="16" spans="1:4">
      <c r="A16" s="198"/>
      <c r="B16" s="140" t="s">
        <v>253</v>
      </c>
      <c r="C16" s="142">
        <v>101.36199999999999</v>
      </c>
      <c r="D16" s="142">
        <v>76.021600000000007</v>
      </c>
    </row>
    <row r="17" spans="1:4">
      <c r="A17" s="139" t="s">
        <v>2880</v>
      </c>
      <c r="B17" s="139"/>
      <c r="C17" s="141">
        <v>123.452</v>
      </c>
      <c r="D17" s="141">
        <v>96.256</v>
      </c>
    </row>
    <row r="18" spans="1:4">
      <c r="A18" s="198" t="s">
        <v>2718</v>
      </c>
      <c r="B18" s="140" t="s">
        <v>259</v>
      </c>
      <c r="C18" s="142">
        <v>510.9</v>
      </c>
      <c r="D18" s="142">
        <v>508.34550000000002</v>
      </c>
    </row>
    <row r="19" spans="1:4">
      <c r="A19" s="139" t="s">
        <v>2910</v>
      </c>
      <c r="B19" s="139"/>
      <c r="C19" s="141">
        <v>510.9</v>
      </c>
      <c r="D19" s="141">
        <v>508.34550000000002</v>
      </c>
    </row>
    <row r="20" spans="1:4">
      <c r="A20" s="198" t="s">
        <v>2834</v>
      </c>
      <c r="B20" s="140" t="s">
        <v>250</v>
      </c>
      <c r="C20" s="142">
        <v>1263.2880000000002</v>
      </c>
      <c r="D20" s="142">
        <v>1157.1721</v>
      </c>
    </row>
    <row r="21" spans="1:4">
      <c r="A21" s="198"/>
      <c r="B21" s="140" t="s">
        <v>253</v>
      </c>
      <c r="C21" s="142">
        <v>16.097000000000001</v>
      </c>
      <c r="D21" s="142">
        <v>12.072800000000001</v>
      </c>
    </row>
    <row r="22" spans="1:4">
      <c r="A22" s="139" t="s">
        <v>3315</v>
      </c>
      <c r="B22" s="139"/>
      <c r="C22" s="141">
        <v>1279.3850000000002</v>
      </c>
      <c r="D22" s="141">
        <v>1169.2448999999999</v>
      </c>
    </row>
    <row r="23" spans="1:4">
      <c r="A23" s="198" t="s">
        <v>2881</v>
      </c>
      <c r="B23" s="140" t="s">
        <v>250</v>
      </c>
      <c r="C23" s="142">
        <v>275.47000000000003</v>
      </c>
      <c r="D23" s="142">
        <v>252.88149999999999</v>
      </c>
    </row>
    <row r="24" spans="1:4">
      <c r="A24" s="139" t="s">
        <v>2889</v>
      </c>
      <c r="B24" s="139"/>
      <c r="C24" s="141">
        <v>275.47000000000003</v>
      </c>
      <c r="D24" s="141">
        <v>252.88149999999999</v>
      </c>
    </row>
    <row r="25" spans="1:4">
      <c r="A25" s="199" t="s">
        <v>102</v>
      </c>
      <c r="B25" s="199"/>
      <c r="C25" s="200">
        <v>14692.560999999998</v>
      </c>
      <c r="D25" s="200">
        <v>12831.961799999997</v>
      </c>
    </row>
    <row r="28" spans="1:4">
      <c r="B28" s="146" t="s">
        <v>246</v>
      </c>
      <c r="C28" s="146" t="s">
        <v>3318</v>
      </c>
      <c r="D28" s="146" t="s">
        <v>3316</v>
      </c>
    </row>
    <row r="29" spans="1:4">
      <c r="B29" s="80" t="s">
        <v>259</v>
      </c>
      <c r="C29" s="147">
        <v>510.9</v>
      </c>
      <c r="D29" s="147">
        <v>508.34550000000002</v>
      </c>
    </row>
    <row r="30" spans="1:4">
      <c r="B30" s="80" t="s">
        <v>250</v>
      </c>
      <c r="C30" s="147">
        <v>10059.163000000008</v>
      </c>
      <c r="D30" s="147">
        <v>9231.7415000000074</v>
      </c>
    </row>
    <row r="31" spans="1:4">
      <c r="B31" s="80" t="s">
        <v>253</v>
      </c>
      <c r="C31" s="147">
        <v>4122.4980000000014</v>
      </c>
      <c r="D31" s="147">
        <v>3091.8748000000001</v>
      </c>
    </row>
    <row r="32" spans="1:4">
      <c r="B32" s="146" t="s">
        <v>102</v>
      </c>
      <c r="C32" s="148">
        <v>14692.561000000009</v>
      </c>
      <c r="D32" s="148">
        <v>12831.961800000006</v>
      </c>
    </row>
  </sheetData>
  <mergeCells count="3">
    <mergeCell ref="A1:D1"/>
    <mergeCell ref="A2:B2"/>
    <mergeCell ref="C2:D2"/>
  </mergeCells>
  <pageMargins left="0.25" right="0.25" top="0.75" bottom="0.75" header="0.3" footer="0.3"/>
  <pageSetup scale="97" orientation="landscape" r:id="rId1"/>
  <headerFooter>
    <oddHeader>Page &amp;P of 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3:F61"/>
  <sheetViews>
    <sheetView topLeftCell="A4" workbookViewId="0">
      <selection activeCell="E26" sqref="A4:E26"/>
    </sheetView>
  </sheetViews>
  <sheetFormatPr defaultColWidth="9" defaultRowHeight="15"/>
  <cols>
    <col min="1" max="1" width="11.28515625" bestFit="1" customWidth="1"/>
    <col min="2" max="2" width="40.85546875" bestFit="1" customWidth="1"/>
    <col min="3" max="3" width="9.140625" style="50" bestFit="1" customWidth="1"/>
    <col min="4" max="4" width="14.140625" style="50" bestFit="1" customWidth="1"/>
    <col min="5" max="5" width="12.85546875" style="50" bestFit="1" customWidth="1"/>
    <col min="6" max="6" width="21.42578125" style="50" customWidth="1"/>
  </cols>
  <sheetData>
    <row r="3" spans="1:6">
      <c r="C3"/>
      <c r="D3" s="73" t="s">
        <v>262</v>
      </c>
      <c r="F3"/>
    </row>
    <row r="4" spans="1:6">
      <c r="A4" s="72" t="s">
        <v>2683</v>
      </c>
      <c r="B4" s="72" t="s">
        <v>245</v>
      </c>
      <c r="C4" s="72" t="s">
        <v>246</v>
      </c>
      <c r="D4" t="s">
        <v>263</v>
      </c>
      <c r="E4" t="s">
        <v>264</v>
      </c>
      <c r="F4"/>
    </row>
    <row r="5" spans="1:6">
      <c r="A5">
        <v>1</v>
      </c>
      <c r="B5" t="s">
        <v>258</v>
      </c>
      <c r="C5" t="s">
        <v>250</v>
      </c>
      <c r="D5" s="50">
        <v>6631.107</v>
      </c>
      <c r="E5" s="50">
        <v>6087.3566000000001</v>
      </c>
      <c r="F5"/>
    </row>
    <row r="6" spans="1:6">
      <c r="C6" t="s">
        <v>253</v>
      </c>
      <c r="D6" s="50">
        <v>3642.8250000000007</v>
      </c>
      <c r="E6" s="50">
        <v>2732.1197999999999</v>
      </c>
      <c r="F6"/>
    </row>
    <row r="7" spans="1:6">
      <c r="B7" t="s">
        <v>260</v>
      </c>
      <c r="C7"/>
      <c r="D7" s="50">
        <v>10273.932000000001</v>
      </c>
      <c r="E7" s="50">
        <v>8819.4763999999996</v>
      </c>
      <c r="F7"/>
    </row>
    <row r="8" spans="1:6">
      <c r="A8">
        <v>2</v>
      </c>
      <c r="B8" t="s">
        <v>257</v>
      </c>
      <c r="C8" t="s">
        <v>250</v>
      </c>
      <c r="D8" s="50">
        <v>1413.748</v>
      </c>
      <c r="E8" s="50">
        <v>1297.8205999999993</v>
      </c>
      <c r="F8"/>
    </row>
    <row r="9" spans="1:6">
      <c r="B9" t="s">
        <v>2770</v>
      </c>
      <c r="C9"/>
      <c r="D9" s="50">
        <v>1413.748</v>
      </c>
      <c r="E9" s="50">
        <v>1297.8205999999993</v>
      </c>
      <c r="F9"/>
    </row>
    <row r="10" spans="1:6">
      <c r="A10">
        <v>5</v>
      </c>
      <c r="B10" t="s">
        <v>277</v>
      </c>
      <c r="C10" t="s">
        <v>253</v>
      </c>
      <c r="D10" s="50">
        <v>292.08000000000004</v>
      </c>
      <c r="E10" s="50">
        <v>219.06010000000003</v>
      </c>
      <c r="F10"/>
    </row>
    <row r="11" spans="1:6">
      <c r="B11" t="s">
        <v>3313</v>
      </c>
      <c r="C11"/>
      <c r="D11" s="50">
        <v>292.08000000000004</v>
      </c>
      <c r="E11" s="50">
        <v>219.06010000000003</v>
      </c>
      <c r="F11"/>
    </row>
    <row r="12" spans="1:6">
      <c r="A12">
        <v>6</v>
      </c>
      <c r="B12" t="s">
        <v>660</v>
      </c>
      <c r="C12" t="s">
        <v>250</v>
      </c>
      <c r="D12" s="50">
        <v>453.46</v>
      </c>
      <c r="E12" s="50">
        <v>416.27629999999999</v>
      </c>
      <c r="F12"/>
    </row>
    <row r="13" spans="1:6">
      <c r="B13" t="s">
        <v>2765</v>
      </c>
      <c r="C13"/>
      <c r="D13" s="50">
        <v>453.46</v>
      </c>
      <c r="E13" s="50">
        <v>416.27629999999999</v>
      </c>
      <c r="F13"/>
    </row>
    <row r="14" spans="1:6">
      <c r="A14">
        <v>7</v>
      </c>
      <c r="B14" t="s">
        <v>252</v>
      </c>
      <c r="C14" t="s">
        <v>253</v>
      </c>
      <c r="D14" s="50">
        <v>70.134</v>
      </c>
      <c r="E14" s="50">
        <v>52.600499999999997</v>
      </c>
      <c r="F14"/>
    </row>
    <row r="15" spans="1:6">
      <c r="B15" t="s">
        <v>2758</v>
      </c>
      <c r="C15"/>
      <c r="D15" s="50">
        <v>70.134</v>
      </c>
      <c r="E15" s="50">
        <v>52.600499999999997</v>
      </c>
      <c r="F15"/>
    </row>
    <row r="16" spans="1:6">
      <c r="A16">
        <v>8</v>
      </c>
      <c r="B16" t="s">
        <v>276</v>
      </c>
      <c r="C16" t="s">
        <v>250</v>
      </c>
      <c r="D16" s="50">
        <v>22.089999999999996</v>
      </c>
      <c r="E16" s="50">
        <v>20.234399999999997</v>
      </c>
      <c r="F16"/>
    </row>
    <row r="17" spans="1:5" customFormat="1">
      <c r="C17" t="s">
        <v>253</v>
      </c>
      <c r="D17" s="50">
        <v>101.36199999999999</v>
      </c>
      <c r="E17" s="50">
        <v>76.021600000000007</v>
      </c>
    </row>
    <row r="18" spans="1:5" customFormat="1">
      <c r="B18" t="s">
        <v>2880</v>
      </c>
      <c r="D18" s="50">
        <v>123.452</v>
      </c>
      <c r="E18" s="50">
        <v>96.256</v>
      </c>
    </row>
    <row r="19" spans="1:5" customFormat="1">
      <c r="A19">
        <v>22</v>
      </c>
      <c r="B19" t="s">
        <v>2718</v>
      </c>
      <c r="C19" t="s">
        <v>259</v>
      </c>
      <c r="D19" s="50">
        <v>510.9</v>
      </c>
      <c r="E19" s="50">
        <v>508.34550000000002</v>
      </c>
    </row>
    <row r="20" spans="1:5" customFormat="1">
      <c r="B20" t="s">
        <v>2910</v>
      </c>
      <c r="D20" s="50">
        <v>510.9</v>
      </c>
      <c r="E20" s="50">
        <v>508.34550000000002</v>
      </c>
    </row>
    <row r="21" spans="1:5" customFormat="1">
      <c r="A21" t="s">
        <v>2823</v>
      </c>
      <c r="B21" t="s">
        <v>2834</v>
      </c>
      <c r="C21" t="s">
        <v>250</v>
      </c>
      <c r="D21" s="50">
        <v>1263.2880000000002</v>
      </c>
      <c r="E21" s="50">
        <v>1157.1721</v>
      </c>
    </row>
    <row r="22" spans="1:5" customFormat="1">
      <c r="C22" t="s">
        <v>253</v>
      </c>
      <c r="D22" s="50">
        <v>16.097000000000001</v>
      </c>
      <c r="E22" s="50">
        <v>12.072800000000001</v>
      </c>
    </row>
    <row r="23" spans="1:5" customFormat="1">
      <c r="B23" t="s">
        <v>3315</v>
      </c>
      <c r="D23" s="50">
        <v>1279.3850000000002</v>
      </c>
      <c r="E23" s="50">
        <v>1169.2448999999999</v>
      </c>
    </row>
    <row r="24" spans="1:5" customFormat="1">
      <c r="B24" t="s">
        <v>2881</v>
      </c>
      <c r="C24" t="s">
        <v>250</v>
      </c>
      <c r="D24" s="50">
        <v>275.47000000000003</v>
      </c>
      <c r="E24" s="50">
        <v>252.88149999999999</v>
      </c>
    </row>
    <row r="25" spans="1:5" customFormat="1">
      <c r="B25" t="s">
        <v>2889</v>
      </c>
      <c r="D25" s="50">
        <v>275.47000000000003</v>
      </c>
      <c r="E25" s="50">
        <v>252.88149999999999</v>
      </c>
    </row>
    <row r="26" spans="1:5" customFormat="1">
      <c r="A26" t="s">
        <v>102</v>
      </c>
      <c r="D26" s="50">
        <v>14692.560999999998</v>
      </c>
      <c r="E26" s="50">
        <v>12831.961799999997</v>
      </c>
    </row>
    <row r="27" spans="1:5" customFormat="1"/>
    <row r="28" spans="1:5" customFormat="1"/>
    <row r="29" spans="1:5" customFormat="1"/>
    <row r="30" spans="1:5" customFormat="1"/>
    <row r="31" spans="1:5" customFormat="1"/>
    <row r="32" spans="1:5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7D1C-417C-4362-BCBE-E60FC902B3A0}">
  <sheetPr codeName="Sheet21"/>
  <dimension ref="A3:C8"/>
  <sheetViews>
    <sheetView workbookViewId="0">
      <selection activeCell="C8" sqref="A4:C8"/>
    </sheetView>
  </sheetViews>
  <sheetFormatPr defaultRowHeight="15"/>
  <cols>
    <col min="1" max="1" width="11.28515625" bestFit="1" customWidth="1"/>
    <col min="2" max="2" width="14.140625" bestFit="1" customWidth="1"/>
    <col min="3" max="3" width="12.85546875" bestFit="1" customWidth="1"/>
  </cols>
  <sheetData>
    <row r="3" spans="1:3">
      <c r="B3" s="72" t="s">
        <v>262</v>
      </c>
    </row>
    <row r="4" spans="1:3">
      <c r="A4" s="72" t="s">
        <v>246</v>
      </c>
      <c r="B4" t="s">
        <v>263</v>
      </c>
      <c r="C4" t="s">
        <v>264</v>
      </c>
    </row>
    <row r="5" spans="1:3">
      <c r="A5" t="s">
        <v>259</v>
      </c>
      <c r="B5" s="279">
        <v>510.9</v>
      </c>
      <c r="C5" s="279">
        <v>508.34550000000002</v>
      </c>
    </row>
    <row r="6" spans="1:3">
      <c r="A6" t="s">
        <v>250</v>
      </c>
      <c r="B6" s="279">
        <v>10059.163000000008</v>
      </c>
      <c r="C6" s="279">
        <v>9231.7415000000074</v>
      </c>
    </row>
    <row r="7" spans="1:3">
      <c r="A7" t="s">
        <v>253</v>
      </c>
      <c r="B7" s="279">
        <v>4122.4980000000014</v>
      </c>
      <c r="C7" s="279">
        <v>3091.8748000000001</v>
      </c>
    </row>
    <row r="8" spans="1:3">
      <c r="A8" t="s">
        <v>102</v>
      </c>
      <c r="B8" s="279">
        <v>14692.561000000009</v>
      </c>
      <c r="C8" s="279">
        <v>12831.961800000006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O314"/>
  <sheetViews>
    <sheetView showGridLines="0" topLeftCell="A302" workbookViewId="0">
      <selection activeCell="F3" sqref="F3"/>
    </sheetView>
  </sheetViews>
  <sheetFormatPr defaultColWidth="9.140625" defaultRowHeight="15"/>
  <cols>
    <col min="1" max="1" width="8.7109375" customWidth="1"/>
    <col min="2" max="2" width="18.140625" customWidth="1"/>
    <col min="3" max="3" width="19.7109375" customWidth="1"/>
    <col min="4" max="4" width="27.85546875" customWidth="1"/>
    <col min="5" max="5" width="9.42578125" bestFit="1" customWidth="1"/>
    <col min="6" max="6" width="13.140625" customWidth="1"/>
    <col min="7" max="7" width="11.140625" bestFit="1" customWidth="1"/>
    <col min="8" max="8" width="8.5703125" bestFit="1" customWidth="1"/>
    <col min="9" max="10" width="11.140625" bestFit="1" customWidth="1"/>
    <col min="11" max="11" width="24.7109375" customWidth="1"/>
    <col min="13" max="13" width="12" customWidth="1"/>
  </cols>
  <sheetData>
    <row r="1" spans="1:15" ht="18">
      <c r="A1" s="219" t="s">
        <v>281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80"/>
    </row>
    <row r="2" spans="1:15" ht="15.75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80"/>
    </row>
    <row r="3" spans="1:15" ht="22.5">
      <c r="A3" s="71" t="s">
        <v>93</v>
      </c>
      <c r="B3" s="71" t="s">
        <v>266</v>
      </c>
      <c r="C3" s="71" t="s">
        <v>245</v>
      </c>
      <c r="D3" s="71" t="s">
        <v>267</v>
      </c>
      <c r="E3" s="71" t="s">
        <v>246</v>
      </c>
      <c r="F3" s="71" t="s">
        <v>268</v>
      </c>
      <c r="G3" s="71" t="s">
        <v>247</v>
      </c>
      <c r="H3" s="71" t="s">
        <v>269</v>
      </c>
      <c r="I3" s="71" t="s">
        <v>248</v>
      </c>
      <c r="J3" s="71" t="s">
        <v>270</v>
      </c>
      <c r="K3" s="71" t="s">
        <v>271</v>
      </c>
      <c r="L3" s="81" t="s">
        <v>2683</v>
      </c>
      <c r="N3" s="137"/>
      <c r="O3" s="138"/>
    </row>
    <row r="4" spans="1:15">
      <c r="A4" s="181">
        <v>46193</v>
      </c>
      <c r="B4" s="182" t="s">
        <v>2969</v>
      </c>
      <c r="C4" s="182" t="s">
        <v>660</v>
      </c>
      <c r="D4" s="182" t="s">
        <v>274</v>
      </c>
      <c r="E4" s="182" t="s">
        <v>250</v>
      </c>
      <c r="F4" s="182" t="s">
        <v>2804</v>
      </c>
      <c r="G4" s="183">
        <v>97.41</v>
      </c>
      <c r="H4" s="183">
        <v>1.8</v>
      </c>
      <c r="I4" s="183">
        <v>89.422399999999996</v>
      </c>
      <c r="J4" s="183">
        <v>91.175799999999995</v>
      </c>
      <c r="K4" s="182" t="s">
        <v>2970</v>
      </c>
      <c r="L4">
        <f>VLOOKUP(C4,'[1]SR No. party'!$A:$B,2,0)</f>
        <v>6</v>
      </c>
    </row>
    <row r="5" spans="1:15">
      <c r="A5" s="181">
        <v>46193</v>
      </c>
      <c r="B5" s="182" t="s">
        <v>2969</v>
      </c>
      <c r="C5" s="182" t="s">
        <v>660</v>
      </c>
      <c r="D5" s="182" t="s">
        <v>2911</v>
      </c>
      <c r="E5" s="182" t="s">
        <v>250</v>
      </c>
      <c r="F5" s="182" t="s">
        <v>2804</v>
      </c>
      <c r="G5" s="183">
        <v>4.59</v>
      </c>
      <c r="H5" s="183">
        <v>2.5</v>
      </c>
      <c r="I5" s="183">
        <v>4.2135999999999996</v>
      </c>
      <c r="J5" s="183">
        <v>4.3284000000000002</v>
      </c>
      <c r="K5" s="182" t="s">
        <v>2912</v>
      </c>
      <c r="L5">
        <f>VLOOKUP(C5,'[1]SR No. party'!$A:$B,2,0)</f>
        <v>6</v>
      </c>
    </row>
    <row r="6" spans="1:15">
      <c r="A6" s="181">
        <v>46193</v>
      </c>
      <c r="B6" s="182" t="s">
        <v>2969</v>
      </c>
      <c r="C6" s="182" t="s">
        <v>660</v>
      </c>
      <c r="D6" s="182" t="s">
        <v>2971</v>
      </c>
      <c r="E6" s="182" t="s">
        <v>250</v>
      </c>
      <c r="F6" s="182" t="s">
        <v>2804</v>
      </c>
      <c r="G6" s="183">
        <v>81.5</v>
      </c>
      <c r="H6" s="183">
        <v>1.8</v>
      </c>
      <c r="I6" s="183">
        <v>74.816999999999993</v>
      </c>
      <c r="J6" s="183">
        <v>76.284000000000006</v>
      </c>
      <c r="K6" s="182" t="s">
        <v>2972</v>
      </c>
      <c r="L6">
        <f>VLOOKUP(C6,'[1]SR No. party'!$A:$B,2,0)</f>
        <v>6</v>
      </c>
    </row>
    <row r="7" spans="1:15">
      <c r="A7" s="181">
        <v>46193</v>
      </c>
      <c r="B7" s="182" t="s">
        <v>2969</v>
      </c>
      <c r="C7" s="182" t="s">
        <v>660</v>
      </c>
      <c r="D7" s="182" t="s">
        <v>274</v>
      </c>
      <c r="E7" s="182" t="s">
        <v>250</v>
      </c>
      <c r="F7" s="182" t="s">
        <v>2804</v>
      </c>
      <c r="G7" s="183">
        <v>102.02</v>
      </c>
      <c r="H7" s="183">
        <v>1.8</v>
      </c>
      <c r="I7" s="183">
        <v>93.654399999999995</v>
      </c>
      <c r="J7" s="183">
        <v>95.490700000000004</v>
      </c>
      <c r="K7" s="182" t="s">
        <v>2973</v>
      </c>
      <c r="L7">
        <f>VLOOKUP(C7,'[1]SR No. party'!$A:$B,2,0)</f>
        <v>6</v>
      </c>
    </row>
    <row r="8" spans="1:15">
      <c r="A8" s="181">
        <v>46193</v>
      </c>
      <c r="B8" s="182" t="s">
        <v>2969</v>
      </c>
      <c r="C8" s="182" t="s">
        <v>660</v>
      </c>
      <c r="D8" s="182" t="s">
        <v>274</v>
      </c>
      <c r="E8" s="182" t="s">
        <v>250</v>
      </c>
      <c r="F8" s="182" t="s">
        <v>2804</v>
      </c>
      <c r="G8" s="183">
        <v>80.3</v>
      </c>
      <c r="H8" s="183">
        <v>1.8</v>
      </c>
      <c r="I8" s="183">
        <v>73.715400000000002</v>
      </c>
      <c r="J8" s="183">
        <v>75.160799999999995</v>
      </c>
      <c r="K8" s="182" t="s">
        <v>2974</v>
      </c>
      <c r="L8">
        <f>VLOOKUP(C8,'[1]SR No. party'!$A:$B,2,0)</f>
        <v>6</v>
      </c>
    </row>
    <row r="9" spans="1:15">
      <c r="A9" s="181">
        <v>46193</v>
      </c>
      <c r="B9" s="182" t="s">
        <v>2969</v>
      </c>
      <c r="C9" s="182" t="s">
        <v>660</v>
      </c>
      <c r="D9" s="182" t="s">
        <v>2896</v>
      </c>
      <c r="E9" s="182" t="s">
        <v>250</v>
      </c>
      <c r="F9" s="182" t="s">
        <v>2804</v>
      </c>
      <c r="G9" s="183">
        <v>87.64</v>
      </c>
      <c r="H9" s="183">
        <v>1.5</v>
      </c>
      <c r="I9" s="183">
        <v>80.453500000000005</v>
      </c>
      <c r="J9" s="183">
        <v>81.768100000000004</v>
      </c>
      <c r="K9" s="182" t="s">
        <v>2975</v>
      </c>
      <c r="L9">
        <f>VLOOKUP(C9,'[1]SR No. party'!$A:$B,2,0)</f>
        <v>6</v>
      </c>
    </row>
    <row r="10" spans="1:15">
      <c r="A10" s="181">
        <v>46193</v>
      </c>
      <c r="B10" s="182" t="s">
        <v>2976</v>
      </c>
      <c r="C10" s="182" t="s">
        <v>258</v>
      </c>
      <c r="D10" s="182" t="s">
        <v>2977</v>
      </c>
      <c r="E10" s="182" t="s">
        <v>250</v>
      </c>
      <c r="F10" s="182" t="s">
        <v>2804</v>
      </c>
      <c r="G10" s="183">
        <v>5.2370000000000001</v>
      </c>
      <c r="H10" s="183">
        <v>0</v>
      </c>
      <c r="I10" s="183">
        <v>4.8075999999999999</v>
      </c>
      <c r="J10" s="183">
        <v>4.8075999999999999</v>
      </c>
      <c r="K10" s="182" t="s">
        <v>2865</v>
      </c>
      <c r="L10">
        <f>VLOOKUP(C10,'[1]SR No. party'!$A:$B,2,0)</f>
        <v>1</v>
      </c>
    </row>
    <row r="11" spans="1:15">
      <c r="A11" s="181">
        <v>46193</v>
      </c>
      <c r="B11" s="182" t="s">
        <v>2976</v>
      </c>
      <c r="C11" s="182" t="s">
        <v>258</v>
      </c>
      <c r="D11" s="182" t="s">
        <v>2977</v>
      </c>
      <c r="E11" s="182" t="s">
        <v>250</v>
      </c>
      <c r="F11" s="182" t="s">
        <v>2804</v>
      </c>
      <c r="G11" s="183">
        <v>5.5090000000000003</v>
      </c>
      <c r="H11" s="183">
        <v>0</v>
      </c>
      <c r="I11" s="183">
        <v>5.0572999999999997</v>
      </c>
      <c r="J11" s="183">
        <v>5.0572999999999997</v>
      </c>
      <c r="K11" s="182" t="s">
        <v>2865</v>
      </c>
      <c r="L11">
        <f>VLOOKUP(C11,'[1]SR No. party'!$A:$B,2,0)</f>
        <v>1</v>
      </c>
    </row>
    <row r="12" spans="1:15">
      <c r="A12" s="181">
        <v>46193</v>
      </c>
      <c r="B12" s="182" t="s">
        <v>2976</v>
      </c>
      <c r="C12" s="182" t="s">
        <v>258</v>
      </c>
      <c r="D12" s="182" t="s">
        <v>2977</v>
      </c>
      <c r="E12" s="182" t="s">
        <v>250</v>
      </c>
      <c r="F12" s="182" t="s">
        <v>2804</v>
      </c>
      <c r="G12" s="183">
        <v>5.5069999999999997</v>
      </c>
      <c r="H12" s="183">
        <v>0</v>
      </c>
      <c r="I12" s="183">
        <v>5.0553999999999997</v>
      </c>
      <c r="J12" s="183">
        <v>5.0553999999999997</v>
      </c>
      <c r="K12" s="182" t="s">
        <v>2865</v>
      </c>
      <c r="L12">
        <f>VLOOKUP(C12,'[1]SR No. party'!$A:$B,2,0)</f>
        <v>1</v>
      </c>
    </row>
    <row r="13" spans="1:15">
      <c r="A13" s="181">
        <v>46193</v>
      </c>
      <c r="B13" s="182" t="s">
        <v>2976</v>
      </c>
      <c r="C13" s="182" t="s">
        <v>258</v>
      </c>
      <c r="D13" s="182" t="s">
        <v>2977</v>
      </c>
      <c r="E13" s="182" t="s">
        <v>250</v>
      </c>
      <c r="F13" s="182" t="s">
        <v>2804</v>
      </c>
      <c r="G13" s="183">
        <v>5.8540000000000001</v>
      </c>
      <c r="H13" s="183">
        <v>0</v>
      </c>
      <c r="I13" s="183">
        <v>5.3739999999999997</v>
      </c>
      <c r="J13" s="183">
        <v>5.3739999999999997</v>
      </c>
      <c r="K13" s="182" t="s">
        <v>2865</v>
      </c>
      <c r="L13">
        <f>VLOOKUP(C13,'[1]SR No. party'!$A:$B,2,0)</f>
        <v>1</v>
      </c>
    </row>
    <row r="14" spans="1:15">
      <c r="A14" s="181">
        <v>46193</v>
      </c>
      <c r="B14" s="182" t="s">
        <v>2976</v>
      </c>
      <c r="C14" s="182" t="s">
        <v>258</v>
      </c>
      <c r="D14" s="182" t="s">
        <v>2977</v>
      </c>
      <c r="E14" s="182" t="s">
        <v>250</v>
      </c>
      <c r="F14" s="182" t="s">
        <v>2804</v>
      </c>
      <c r="G14" s="183">
        <v>5.2160000000000002</v>
      </c>
      <c r="H14" s="183">
        <v>0</v>
      </c>
      <c r="I14" s="183">
        <v>4.7882999999999996</v>
      </c>
      <c r="J14" s="183">
        <v>4.7882999999999996</v>
      </c>
      <c r="K14" s="182" t="s">
        <v>2865</v>
      </c>
      <c r="L14">
        <f>VLOOKUP(C14,'[1]SR No. party'!$A:$B,2,0)</f>
        <v>1</v>
      </c>
    </row>
    <row r="15" spans="1:15">
      <c r="A15" s="181">
        <v>46193</v>
      </c>
      <c r="B15" s="182" t="s">
        <v>2976</v>
      </c>
      <c r="C15" s="182" t="s">
        <v>258</v>
      </c>
      <c r="D15" s="182" t="s">
        <v>2977</v>
      </c>
      <c r="E15" s="182" t="s">
        <v>250</v>
      </c>
      <c r="F15" s="182" t="s">
        <v>2804</v>
      </c>
      <c r="G15" s="183">
        <v>5.9119999999999999</v>
      </c>
      <c r="H15" s="183">
        <v>0</v>
      </c>
      <c r="I15" s="183">
        <v>5.4272</v>
      </c>
      <c r="J15" s="183">
        <v>5.4272</v>
      </c>
      <c r="K15" s="182" t="s">
        <v>2865</v>
      </c>
      <c r="L15">
        <f>VLOOKUP(C15,'[1]SR No. party'!$A:$B,2,0)</f>
        <v>1</v>
      </c>
    </row>
    <row r="16" spans="1:15">
      <c r="A16" s="181">
        <v>46193</v>
      </c>
      <c r="B16" s="182" t="s">
        <v>2976</v>
      </c>
      <c r="C16" s="182" t="s">
        <v>258</v>
      </c>
      <c r="D16" s="182" t="s">
        <v>2977</v>
      </c>
      <c r="E16" s="182" t="s">
        <v>250</v>
      </c>
      <c r="F16" s="182" t="s">
        <v>2804</v>
      </c>
      <c r="G16" s="183">
        <v>5.3979999999999997</v>
      </c>
      <c r="H16" s="183">
        <v>0</v>
      </c>
      <c r="I16" s="183">
        <v>4.9554</v>
      </c>
      <c r="J16" s="183">
        <v>4.9554</v>
      </c>
      <c r="K16" s="182" t="s">
        <v>2865</v>
      </c>
      <c r="L16">
        <f>VLOOKUP(C16,'[1]SR No. party'!$A:$B,2,0)</f>
        <v>1</v>
      </c>
    </row>
    <row r="17" spans="1:12">
      <c r="A17" s="181">
        <v>46193</v>
      </c>
      <c r="B17" s="182" t="s">
        <v>2976</v>
      </c>
      <c r="C17" s="182" t="s">
        <v>258</v>
      </c>
      <c r="D17" s="182" t="s">
        <v>2977</v>
      </c>
      <c r="E17" s="182" t="s">
        <v>250</v>
      </c>
      <c r="F17" s="182" t="s">
        <v>2804</v>
      </c>
      <c r="G17" s="183">
        <v>5.3479999999999999</v>
      </c>
      <c r="H17" s="183">
        <v>0</v>
      </c>
      <c r="I17" s="183">
        <v>4.9095000000000004</v>
      </c>
      <c r="J17" s="183">
        <v>4.9095000000000004</v>
      </c>
      <c r="K17" s="182" t="s">
        <v>2865</v>
      </c>
      <c r="L17">
        <f>VLOOKUP(C17,'[1]SR No. party'!$A:$B,2,0)</f>
        <v>1</v>
      </c>
    </row>
    <row r="18" spans="1:12">
      <c r="A18" s="181">
        <v>46193</v>
      </c>
      <c r="B18" s="182" t="s">
        <v>2976</v>
      </c>
      <c r="C18" s="182" t="s">
        <v>258</v>
      </c>
      <c r="D18" s="182" t="s">
        <v>2977</v>
      </c>
      <c r="E18" s="182" t="s">
        <v>250</v>
      </c>
      <c r="F18" s="182" t="s">
        <v>2804</v>
      </c>
      <c r="G18" s="183">
        <v>5.5369999999999999</v>
      </c>
      <c r="H18" s="183">
        <v>0</v>
      </c>
      <c r="I18" s="183">
        <v>5.0830000000000002</v>
      </c>
      <c r="J18" s="183">
        <v>5.0830000000000002</v>
      </c>
      <c r="K18" s="182" t="s">
        <v>2865</v>
      </c>
      <c r="L18">
        <f>VLOOKUP(C18,'[1]SR No. party'!$A:$B,2,0)</f>
        <v>1</v>
      </c>
    </row>
    <row r="19" spans="1:12">
      <c r="A19" s="181">
        <v>46193</v>
      </c>
      <c r="B19" s="182" t="s">
        <v>2976</v>
      </c>
      <c r="C19" s="182" t="s">
        <v>258</v>
      </c>
      <c r="D19" s="182" t="s">
        <v>2977</v>
      </c>
      <c r="E19" s="182" t="s">
        <v>250</v>
      </c>
      <c r="F19" s="182" t="s">
        <v>2804</v>
      </c>
      <c r="G19" s="183">
        <v>5.4960000000000004</v>
      </c>
      <c r="H19" s="183">
        <v>0</v>
      </c>
      <c r="I19" s="183">
        <v>5.0453000000000001</v>
      </c>
      <c r="J19" s="183">
        <v>5.0453000000000001</v>
      </c>
      <c r="K19" s="182" t="s">
        <v>2865</v>
      </c>
      <c r="L19">
        <f>VLOOKUP(C19,'[1]SR No. party'!$A:$B,2,0)</f>
        <v>1</v>
      </c>
    </row>
    <row r="20" spans="1:12" ht="22.5">
      <c r="A20" s="181">
        <v>46193</v>
      </c>
      <c r="B20" s="182" t="s">
        <v>2978</v>
      </c>
      <c r="C20" s="182" t="s">
        <v>258</v>
      </c>
      <c r="D20" s="182" t="s">
        <v>2979</v>
      </c>
      <c r="E20" s="182" t="s">
        <v>250</v>
      </c>
      <c r="F20" s="182" t="s">
        <v>2804</v>
      </c>
      <c r="G20" s="183">
        <v>14.3</v>
      </c>
      <c r="H20" s="183">
        <v>0</v>
      </c>
      <c r="I20" s="183">
        <v>13.1274</v>
      </c>
      <c r="J20" s="183">
        <v>13.1274</v>
      </c>
      <c r="K20" s="182" t="s">
        <v>2894</v>
      </c>
      <c r="L20">
        <f>VLOOKUP(C20,'[1]SR No. party'!$A:$B,2,0)</f>
        <v>1</v>
      </c>
    </row>
    <row r="21" spans="1:12" ht="22.5">
      <c r="A21" s="181">
        <v>46193</v>
      </c>
      <c r="B21" s="182" t="s">
        <v>2978</v>
      </c>
      <c r="C21" s="182" t="s">
        <v>258</v>
      </c>
      <c r="D21" s="182" t="s">
        <v>2980</v>
      </c>
      <c r="E21" s="182" t="s">
        <v>250</v>
      </c>
      <c r="F21" s="182" t="s">
        <v>2804</v>
      </c>
      <c r="G21" s="183">
        <v>19.015000000000001</v>
      </c>
      <c r="H21" s="183">
        <v>0</v>
      </c>
      <c r="I21" s="183">
        <v>17.4558</v>
      </c>
      <c r="J21" s="183">
        <v>17.4558</v>
      </c>
      <c r="K21" s="182" t="s">
        <v>2894</v>
      </c>
      <c r="L21">
        <f>VLOOKUP(C21,'[1]SR No. party'!$A:$B,2,0)</f>
        <v>1</v>
      </c>
    </row>
    <row r="22" spans="1:12" ht="22.5">
      <c r="A22" s="181">
        <v>46193</v>
      </c>
      <c r="B22" s="182" t="s">
        <v>2978</v>
      </c>
      <c r="C22" s="182" t="s">
        <v>258</v>
      </c>
      <c r="D22" s="182" t="s">
        <v>2893</v>
      </c>
      <c r="E22" s="182" t="s">
        <v>250</v>
      </c>
      <c r="F22" s="182" t="s">
        <v>2804</v>
      </c>
      <c r="G22" s="183">
        <v>31.145</v>
      </c>
      <c r="H22" s="183">
        <v>0</v>
      </c>
      <c r="I22" s="183">
        <v>28.591100000000001</v>
      </c>
      <c r="J22" s="183">
        <v>28.591100000000001</v>
      </c>
      <c r="K22" s="182" t="s">
        <v>2894</v>
      </c>
      <c r="L22">
        <f>VLOOKUP(C22,'[1]SR No. party'!$A:$B,2,0)</f>
        <v>1</v>
      </c>
    </row>
    <row r="23" spans="1:12" ht="22.5">
      <c r="A23" s="181">
        <v>46193</v>
      </c>
      <c r="B23" s="182" t="s">
        <v>2978</v>
      </c>
      <c r="C23" s="182" t="s">
        <v>258</v>
      </c>
      <c r="D23" s="182" t="s">
        <v>2981</v>
      </c>
      <c r="E23" s="182" t="s">
        <v>250</v>
      </c>
      <c r="F23" s="182" t="s">
        <v>2804</v>
      </c>
      <c r="G23" s="183">
        <v>31.289000000000001</v>
      </c>
      <c r="H23" s="183">
        <v>0</v>
      </c>
      <c r="I23" s="183">
        <v>28.723299999999998</v>
      </c>
      <c r="J23" s="183">
        <v>28.723299999999998</v>
      </c>
      <c r="K23" s="182" t="s">
        <v>2894</v>
      </c>
      <c r="L23">
        <f>VLOOKUP(C23,'[1]SR No. party'!$A:$B,2,0)</f>
        <v>1</v>
      </c>
    </row>
    <row r="24" spans="1:12" ht="22.5">
      <c r="A24" s="181">
        <v>46193</v>
      </c>
      <c r="B24" s="182" t="s">
        <v>2978</v>
      </c>
      <c r="C24" s="182" t="s">
        <v>258</v>
      </c>
      <c r="D24" s="182" t="s">
        <v>2893</v>
      </c>
      <c r="E24" s="182" t="s">
        <v>250</v>
      </c>
      <c r="F24" s="182" t="s">
        <v>2804</v>
      </c>
      <c r="G24" s="183">
        <v>29.591999999999999</v>
      </c>
      <c r="H24" s="183">
        <v>0</v>
      </c>
      <c r="I24" s="183">
        <v>27.165500000000002</v>
      </c>
      <c r="J24" s="183">
        <v>27.165500000000002</v>
      </c>
      <c r="K24" s="182" t="s">
        <v>2894</v>
      </c>
      <c r="L24">
        <f>VLOOKUP(C24,'[1]SR No. party'!$A:$B,2,0)</f>
        <v>1</v>
      </c>
    </row>
    <row r="25" spans="1:12" ht="22.5">
      <c r="A25" s="181">
        <v>46193</v>
      </c>
      <c r="B25" s="182" t="s">
        <v>2978</v>
      </c>
      <c r="C25" s="182" t="s">
        <v>258</v>
      </c>
      <c r="D25" s="182" t="s">
        <v>2981</v>
      </c>
      <c r="E25" s="182" t="s">
        <v>250</v>
      </c>
      <c r="F25" s="182" t="s">
        <v>2804</v>
      </c>
      <c r="G25" s="183">
        <v>30.812000000000001</v>
      </c>
      <c r="H25" s="183">
        <v>0</v>
      </c>
      <c r="I25" s="183">
        <v>28.285399999999999</v>
      </c>
      <c r="J25" s="183">
        <v>28.285399999999999</v>
      </c>
      <c r="K25" s="182" t="s">
        <v>2894</v>
      </c>
      <c r="L25">
        <f>VLOOKUP(C25,'[1]SR No. party'!$A:$B,2,0)</f>
        <v>1</v>
      </c>
    </row>
    <row r="26" spans="1:12" ht="22.5">
      <c r="A26" s="181">
        <v>46193</v>
      </c>
      <c r="B26" s="182" t="s">
        <v>2978</v>
      </c>
      <c r="C26" s="182" t="s">
        <v>258</v>
      </c>
      <c r="D26" s="182" t="s">
        <v>2979</v>
      </c>
      <c r="E26" s="182" t="s">
        <v>250</v>
      </c>
      <c r="F26" s="182" t="s">
        <v>2804</v>
      </c>
      <c r="G26" s="183">
        <v>14.667999999999999</v>
      </c>
      <c r="H26" s="183">
        <v>0</v>
      </c>
      <c r="I26" s="183">
        <v>13.465199999999999</v>
      </c>
      <c r="J26" s="183">
        <v>13.465199999999999</v>
      </c>
      <c r="K26" s="182" t="s">
        <v>2894</v>
      </c>
      <c r="L26">
        <f>VLOOKUP(C26,'[1]SR No. party'!$A:$B,2,0)</f>
        <v>1</v>
      </c>
    </row>
    <row r="27" spans="1:12" ht="22.5">
      <c r="A27" s="181">
        <v>46193</v>
      </c>
      <c r="B27" s="182" t="s">
        <v>2978</v>
      </c>
      <c r="C27" s="182" t="s">
        <v>258</v>
      </c>
      <c r="D27" s="182" t="s">
        <v>2980</v>
      </c>
      <c r="E27" s="182" t="s">
        <v>250</v>
      </c>
      <c r="F27" s="182" t="s">
        <v>2804</v>
      </c>
      <c r="G27" s="183">
        <v>18.866</v>
      </c>
      <c r="H27" s="183">
        <v>0</v>
      </c>
      <c r="I27" s="183">
        <v>17.318999999999999</v>
      </c>
      <c r="J27" s="183">
        <v>17.318999999999999</v>
      </c>
      <c r="K27" s="182" t="s">
        <v>2894</v>
      </c>
      <c r="L27">
        <f>VLOOKUP(C27,'[1]SR No. party'!$A:$B,2,0)</f>
        <v>1</v>
      </c>
    </row>
    <row r="28" spans="1:12" ht="22.5">
      <c r="A28" s="181">
        <v>46193</v>
      </c>
      <c r="B28" s="182" t="s">
        <v>2978</v>
      </c>
      <c r="C28" s="182" t="s">
        <v>258</v>
      </c>
      <c r="D28" s="182" t="s">
        <v>2929</v>
      </c>
      <c r="E28" s="182" t="s">
        <v>250</v>
      </c>
      <c r="F28" s="182" t="s">
        <v>2804</v>
      </c>
      <c r="G28" s="183">
        <v>30.57</v>
      </c>
      <c r="H28" s="183">
        <v>0</v>
      </c>
      <c r="I28" s="183">
        <v>28.063300000000002</v>
      </c>
      <c r="J28" s="183">
        <v>28.063300000000002</v>
      </c>
      <c r="K28" s="182" t="s">
        <v>2894</v>
      </c>
      <c r="L28">
        <f>VLOOKUP(C28,'[1]SR No. party'!$A:$B,2,0)</f>
        <v>1</v>
      </c>
    </row>
    <row r="29" spans="1:12" ht="22.5">
      <c r="A29" s="181">
        <v>46193</v>
      </c>
      <c r="B29" s="182" t="s">
        <v>2978</v>
      </c>
      <c r="C29" s="182" t="s">
        <v>258</v>
      </c>
      <c r="D29" s="182" t="s">
        <v>2981</v>
      </c>
      <c r="E29" s="182" t="s">
        <v>250</v>
      </c>
      <c r="F29" s="182" t="s">
        <v>2804</v>
      </c>
      <c r="G29" s="183">
        <v>31.709</v>
      </c>
      <c r="H29" s="183">
        <v>0</v>
      </c>
      <c r="I29" s="183">
        <v>29.108899999999998</v>
      </c>
      <c r="J29" s="183">
        <v>29.108899999999998</v>
      </c>
      <c r="K29" s="182" t="s">
        <v>2894</v>
      </c>
      <c r="L29">
        <f>VLOOKUP(C29,'[1]SR No. party'!$A:$B,2,0)</f>
        <v>1</v>
      </c>
    </row>
    <row r="30" spans="1:12" ht="22.5">
      <c r="A30" s="181">
        <v>46193</v>
      </c>
      <c r="B30" s="182" t="s">
        <v>2978</v>
      </c>
      <c r="C30" s="182" t="s">
        <v>258</v>
      </c>
      <c r="D30" s="182" t="s">
        <v>2979</v>
      </c>
      <c r="E30" s="182" t="s">
        <v>250</v>
      </c>
      <c r="F30" s="182" t="s">
        <v>2804</v>
      </c>
      <c r="G30" s="183">
        <v>13.698</v>
      </c>
      <c r="H30" s="183">
        <v>0</v>
      </c>
      <c r="I30" s="183">
        <v>12.5748</v>
      </c>
      <c r="J30" s="183">
        <v>12.5748</v>
      </c>
      <c r="K30" s="182" t="s">
        <v>2894</v>
      </c>
      <c r="L30">
        <f>VLOOKUP(C30,'[1]SR No. party'!$A:$B,2,0)</f>
        <v>1</v>
      </c>
    </row>
    <row r="31" spans="1:12" ht="22.5">
      <c r="A31" s="181">
        <v>46193</v>
      </c>
      <c r="B31" s="182" t="s">
        <v>2978</v>
      </c>
      <c r="C31" s="182" t="s">
        <v>258</v>
      </c>
      <c r="D31" s="182" t="s">
        <v>2979</v>
      </c>
      <c r="E31" s="182" t="s">
        <v>250</v>
      </c>
      <c r="F31" s="182" t="s">
        <v>2804</v>
      </c>
      <c r="G31" s="183">
        <v>14.218999999999999</v>
      </c>
      <c r="H31" s="183">
        <v>0</v>
      </c>
      <c r="I31" s="183">
        <v>13.053000000000001</v>
      </c>
      <c r="J31" s="183">
        <v>13.053000000000001</v>
      </c>
      <c r="K31" s="182" t="s">
        <v>2894</v>
      </c>
      <c r="L31">
        <f>VLOOKUP(C31,'[1]SR No. party'!$A:$B,2,0)</f>
        <v>1</v>
      </c>
    </row>
    <row r="32" spans="1:12" ht="22.5">
      <c r="A32" s="181">
        <v>46193</v>
      </c>
      <c r="B32" s="182" t="s">
        <v>2978</v>
      </c>
      <c r="C32" s="182" t="s">
        <v>258</v>
      </c>
      <c r="D32" s="182" t="s">
        <v>2979</v>
      </c>
      <c r="E32" s="182" t="s">
        <v>250</v>
      </c>
      <c r="F32" s="182" t="s">
        <v>2804</v>
      </c>
      <c r="G32" s="183">
        <v>14.813000000000001</v>
      </c>
      <c r="H32" s="183">
        <v>0</v>
      </c>
      <c r="I32" s="183">
        <v>13.5983</v>
      </c>
      <c r="J32" s="183">
        <v>13.5983</v>
      </c>
      <c r="K32" s="182" t="s">
        <v>2894</v>
      </c>
      <c r="L32">
        <f>VLOOKUP(C32,'[1]SR No. party'!$A:$B,2,0)</f>
        <v>1</v>
      </c>
    </row>
    <row r="33" spans="1:12" ht="22.5">
      <c r="A33" s="181">
        <v>46193</v>
      </c>
      <c r="B33" s="182" t="s">
        <v>2978</v>
      </c>
      <c r="C33" s="182" t="s">
        <v>258</v>
      </c>
      <c r="D33" s="182" t="s">
        <v>2929</v>
      </c>
      <c r="E33" s="182" t="s">
        <v>250</v>
      </c>
      <c r="F33" s="182" t="s">
        <v>2804</v>
      </c>
      <c r="G33" s="183">
        <v>28.794</v>
      </c>
      <c r="H33" s="183">
        <v>0</v>
      </c>
      <c r="I33" s="183">
        <v>26.4329</v>
      </c>
      <c r="J33" s="183">
        <v>26.4329</v>
      </c>
      <c r="K33" s="182" t="s">
        <v>2894</v>
      </c>
      <c r="L33">
        <f>VLOOKUP(C33,'[1]SR No. party'!$A:$B,2,0)</f>
        <v>1</v>
      </c>
    </row>
    <row r="34" spans="1:12" ht="22.5">
      <c r="A34" s="181">
        <v>46193</v>
      </c>
      <c r="B34" s="182" t="s">
        <v>2978</v>
      </c>
      <c r="C34" s="182" t="s">
        <v>258</v>
      </c>
      <c r="D34" s="182" t="s">
        <v>2893</v>
      </c>
      <c r="E34" s="182" t="s">
        <v>250</v>
      </c>
      <c r="F34" s="182" t="s">
        <v>2804</v>
      </c>
      <c r="G34" s="183">
        <v>30.614999999999998</v>
      </c>
      <c r="H34" s="183">
        <v>0</v>
      </c>
      <c r="I34" s="183">
        <v>28.104600000000001</v>
      </c>
      <c r="J34" s="183">
        <v>28.104600000000001</v>
      </c>
      <c r="K34" s="182" t="s">
        <v>2894</v>
      </c>
      <c r="L34">
        <f>VLOOKUP(C34,'[1]SR No. party'!$A:$B,2,0)</f>
        <v>1</v>
      </c>
    </row>
    <row r="35" spans="1:12" ht="22.5">
      <c r="A35" s="181">
        <v>46193</v>
      </c>
      <c r="B35" s="182" t="s">
        <v>2978</v>
      </c>
      <c r="C35" s="182" t="s">
        <v>258</v>
      </c>
      <c r="D35" s="182" t="s">
        <v>2980</v>
      </c>
      <c r="E35" s="182" t="s">
        <v>250</v>
      </c>
      <c r="F35" s="182" t="s">
        <v>2804</v>
      </c>
      <c r="G35" s="183">
        <v>19.170000000000002</v>
      </c>
      <c r="H35" s="183">
        <v>0</v>
      </c>
      <c r="I35" s="183">
        <v>17.598099999999999</v>
      </c>
      <c r="J35" s="183">
        <v>17.598099999999999</v>
      </c>
      <c r="K35" s="182" t="s">
        <v>2894</v>
      </c>
      <c r="L35">
        <f>VLOOKUP(C35,'[1]SR No. party'!$A:$B,2,0)</f>
        <v>1</v>
      </c>
    </row>
    <row r="36" spans="1:12" ht="22.5">
      <c r="A36" s="181">
        <v>46193</v>
      </c>
      <c r="B36" s="182" t="s">
        <v>2978</v>
      </c>
      <c r="C36" s="182" t="s">
        <v>258</v>
      </c>
      <c r="D36" s="182" t="s">
        <v>2929</v>
      </c>
      <c r="E36" s="182" t="s">
        <v>250</v>
      </c>
      <c r="F36" s="182" t="s">
        <v>2804</v>
      </c>
      <c r="G36" s="183">
        <v>28.986999999999998</v>
      </c>
      <c r="H36" s="183">
        <v>0</v>
      </c>
      <c r="I36" s="183">
        <v>26.610099999999999</v>
      </c>
      <c r="J36" s="183">
        <v>26.610099999999999</v>
      </c>
      <c r="K36" s="182" t="s">
        <v>2894</v>
      </c>
      <c r="L36">
        <f>VLOOKUP(C36,'[1]SR No. party'!$A:$B,2,0)</f>
        <v>1</v>
      </c>
    </row>
    <row r="37" spans="1:12" ht="22.5">
      <c r="A37" s="181">
        <v>46193</v>
      </c>
      <c r="B37" s="182" t="s">
        <v>2982</v>
      </c>
      <c r="C37" s="182" t="s">
        <v>277</v>
      </c>
      <c r="D37" s="182" t="s">
        <v>2983</v>
      </c>
      <c r="E37" s="182" t="s">
        <v>253</v>
      </c>
      <c r="F37" s="182" t="s">
        <v>272</v>
      </c>
      <c r="G37" s="183">
        <v>36.159999999999997</v>
      </c>
      <c r="H37" s="183">
        <v>2.35</v>
      </c>
      <c r="I37" s="183">
        <v>27.12</v>
      </c>
      <c r="J37" s="183">
        <v>27.969799999999999</v>
      </c>
      <c r="K37" s="182" t="s">
        <v>2984</v>
      </c>
      <c r="L37">
        <f>VLOOKUP(C37,'[1]SR No. party'!$A:$B,2,0)</f>
        <v>5</v>
      </c>
    </row>
    <row r="38" spans="1:12" ht="22.5">
      <c r="A38" s="181">
        <v>46193</v>
      </c>
      <c r="B38" s="182" t="s">
        <v>2982</v>
      </c>
      <c r="C38" s="182" t="s">
        <v>277</v>
      </c>
      <c r="D38" s="182" t="s">
        <v>2985</v>
      </c>
      <c r="E38" s="182" t="s">
        <v>253</v>
      </c>
      <c r="F38" s="182" t="s">
        <v>272</v>
      </c>
      <c r="G38" s="183">
        <v>247.95</v>
      </c>
      <c r="H38" s="183">
        <v>3</v>
      </c>
      <c r="I38" s="183">
        <v>185.96250000000001</v>
      </c>
      <c r="J38" s="183">
        <v>193.40100000000001</v>
      </c>
      <c r="K38" s="182" t="s">
        <v>2986</v>
      </c>
      <c r="L38">
        <f>VLOOKUP(C38,'[1]SR No. party'!$A:$B,2,0)</f>
        <v>5</v>
      </c>
    </row>
    <row r="39" spans="1:12" ht="22.5">
      <c r="A39" s="181">
        <v>46193</v>
      </c>
      <c r="B39" s="182" t="s">
        <v>2987</v>
      </c>
      <c r="C39" s="182" t="s">
        <v>258</v>
      </c>
      <c r="D39" s="182" t="s">
        <v>2890</v>
      </c>
      <c r="E39" s="182" t="s">
        <v>253</v>
      </c>
      <c r="F39" s="182" t="s">
        <v>282</v>
      </c>
      <c r="G39" s="183">
        <v>14.456</v>
      </c>
      <c r="H39" s="183">
        <v>0</v>
      </c>
      <c r="I39" s="183">
        <v>10.842000000000001</v>
      </c>
      <c r="J39" s="183">
        <v>10.842000000000001</v>
      </c>
      <c r="K39" s="182" t="s">
        <v>2988</v>
      </c>
      <c r="L39">
        <f>VLOOKUP(C39,'[1]SR No. party'!$A:$B,2,0)</f>
        <v>1</v>
      </c>
    </row>
    <row r="40" spans="1:12" ht="22.5">
      <c r="A40" s="181">
        <v>46193</v>
      </c>
      <c r="B40" s="182" t="s">
        <v>2987</v>
      </c>
      <c r="C40" s="182" t="s">
        <v>258</v>
      </c>
      <c r="D40" s="182" t="s">
        <v>2890</v>
      </c>
      <c r="E40" s="182" t="s">
        <v>253</v>
      </c>
      <c r="F40" s="182" t="s">
        <v>282</v>
      </c>
      <c r="G40" s="183">
        <v>14.454000000000001</v>
      </c>
      <c r="H40" s="183">
        <v>0</v>
      </c>
      <c r="I40" s="183">
        <v>10.8405</v>
      </c>
      <c r="J40" s="183">
        <v>10.8405</v>
      </c>
      <c r="K40" s="182" t="s">
        <v>2988</v>
      </c>
      <c r="L40">
        <f>VLOOKUP(C40,'[1]SR No. party'!$A:$B,2,0)</f>
        <v>1</v>
      </c>
    </row>
    <row r="41" spans="1:12" ht="22.5">
      <c r="A41" s="181">
        <v>46193</v>
      </c>
      <c r="B41" s="182" t="s">
        <v>2987</v>
      </c>
      <c r="C41" s="182" t="s">
        <v>258</v>
      </c>
      <c r="D41" s="182" t="s">
        <v>2890</v>
      </c>
      <c r="E41" s="182" t="s">
        <v>253</v>
      </c>
      <c r="F41" s="182" t="s">
        <v>282</v>
      </c>
      <c r="G41" s="183">
        <v>14.054</v>
      </c>
      <c r="H41" s="183">
        <v>0</v>
      </c>
      <c r="I41" s="183">
        <v>10.5405</v>
      </c>
      <c r="J41" s="183">
        <v>10.5405</v>
      </c>
      <c r="K41" s="182" t="s">
        <v>2988</v>
      </c>
      <c r="L41">
        <f>VLOOKUP(C41,'[1]SR No. party'!$A:$B,2,0)</f>
        <v>1</v>
      </c>
    </row>
    <row r="42" spans="1:12" ht="22.5">
      <c r="A42" s="181">
        <v>46193</v>
      </c>
      <c r="B42" s="182" t="s">
        <v>2987</v>
      </c>
      <c r="C42" s="182" t="s">
        <v>258</v>
      </c>
      <c r="D42" s="182" t="s">
        <v>2890</v>
      </c>
      <c r="E42" s="182" t="s">
        <v>253</v>
      </c>
      <c r="F42" s="182" t="s">
        <v>282</v>
      </c>
      <c r="G42" s="183">
        <v>14.401999999999999</v>
      </c>
      <c r="H42" s="183">
        <v>0</v>
      </c>
      <c r="I42" s="183">
        <v>10.801500000000001</v>
      </c>
      <c r="J42" s="183">
        <v>10.801500000000001</v>
      </c>
      <c r="K42" s="182" t="s">
        <v>2988</v>
      </c>
      <c r="L42">
        <f>VLOOKUP(C42,'[1]SR No. party'!$A:$B,2,0)</f>
        <v>1</v>
      </c>
    </row>
    <row r="43" spans="1:12" ht="22.5">
      <c r="A43" s="181">
        <v>46193</v>
      </c>
      <c r="B43" s="182" t="s">
        <v>2987</v>
      </c>
      <c r="C43" s="182" t="s">
        <v>258</v>
      </c>
      <c r="D43" s="182" t="s">
        <v>2890</v>
      </c>
      <c r="E43" s="182" t="s">
        <v>253</v>
      </c>
      <c r="F43" s="182" t="s">
        <v>282</v>
      </c>
      <c r="G43" s="183">
        <v>14.342000000000001</v>
      </c>
      <c r="H43" s="183">
        <v>0</v>
      </c>
      <c r="I43" s="183">
        <v>10.756500000000001</v>
      </c>
      <c r="J43" s="183">
        <v>10.756500000000001</v>
      </c>
      <c r="K43" s="182" t="s">
        <v>2988</v>
      </c>
      <c r="L43">
        <f>VLOOKUP(C43,'[1]SR No. party'!$A:$B,2,0)</f>
        <v>1</v>
      </c>
    </row>
    <row r="44" spans="1:12" ht="22.5">
      <c r="A44" s="181">
        <v>46193</v>
      </c>
      <c r="B44" s="182" t="s">
        <v>2987</v>
      </c>
      <c r="C44" s="182" t="s">
        <v>258</v>
      </c>
      <c r="D44" s="182" t="s">
        <v>2890</v>
      </c>
      <c r="E44" s="182" t="s">
        <v>253</v>
      </c>
      <c r="F44" s="182" t="s">
        <v>282</v>
      </c>
      <c r="G44" s="183">
        <v>14.909000000000001</v>
      </c>
      <c r="H44" s="183">
        <v>0</v>
      </c>
      <c r="I44" s="183">
        <v>11.181800000000001</v>
      </c>
      <c r="J44" s="183">
        <v>11.181800000000001</v>
      </c>
      <c r="K44" s="182" t="s">
        <v>2988</v>
      </c>
      <c r="L44">
        <f>VLOOKUP(C44,'[1]SR No. party'!$A:$B,2,0)</f>
        <v>1</v>
      </c>
    </row>
    <row r="45" spans="1:12" ht="22.5">
      <c r="A45" s="181">
        <v>46193</v>
      </c>
      <c r="B45" s="182" t="s">
        <v>2987</v>
      </c>
      <c r="C45" s="182" t="s">
        <v>258</v>
      </c>
      <c r="D45" s="182" t="s">
        <v>2890</v>
      </c>
      <c r="E45" s="182" t="s">
        <v>253</v>
      </c>
      <c r="F45" s="182" t="s">
        <v>282</v>
      </c>
      <c r="G45" s="183">
        <v>14.304</v>
      </c>
      <c r="H45" s="183">
        <v>0</v>
      </c>
      <c r="I45" s="183">
        <v>10.728</v>
      </c>
      <c r="J45" s="183">
        <v>10.728</v>
      </c>
      <c r="K45" s="182" t="s">
        <v>2988</v>
      </c>
      <c r="L45">
        <f>VLOOKUP(C45,'[1]SR No. party'!$A:$B,2,0)</f>
        <v>1</v>
      </c>
    </row>
    <row r="46" spans="1:12" ht="22.5">
      <c r="A46" s="181">
        <v>46193</v>
      </c>
      <c r="B46" s="182" t="s">
        <v>2987</v>
      </c>
      <c r="C46" s="182" t="s">
        <v>258</v>
      </c>
      <c r="D46" s="182" t="s">
        <v>2890</v>
      </c>
      <c r="E46" s="182" t="s">
        <v>253</v>
      </c>
      <c r="F46" s="182" t="s">
        <v>282</v>
      </c>
      <c r="G46" s="183">
        <v>14.226000000000001</v>
      </c>
      <c r="H46" s="183">
        <v>0</v>
      </c>
      <c r="I46" s="183">
        <v>10.669499999999999</v>
      </c>
      <c r="J46" s="183">
        <v>10.669499999999999</v>
      </c>
      <c r="K46" s="182" t="s">
        <v>2988</v>
      </c>
      <c r="L46">
        <f>VLOOKUP(C46,'[1]SR No. party'!$A:$B,2,0)</f>
        <v>1</v>
      </c>
    </row>
    <row r="47" spans="1:12" ht="22.5">
      <c r="A47" s="181">
        <v>46193</v>
      </c>
      <c r="B47" s="182" t="s">
        <v>2987</v>
      </c>
      <c r="C47" s="182" t="s">
        <v>258</v>
      </c>
      <c r="D47" s="182" t="s">
        <v>2890</v>
      </c>
      <c r="E47" s="182" t="s">
        <v>253</v>
      </c>
      <c r="F47" s="182" t="s">
        <v>282</v>
      </c>
      <c r="G47" s="183">
        <v>14.276</v>
      </c>
      <c r="H47" s="183">
        <v>0</v>
      </c>
      <c r="I47" s="183">
        <v>10.707000000000001</v>
      </c>
      <c r="J47" s="183">
        <v>10.707000000000001</v>
      </c>
      <c r="K47" s="182" t="s">
        <v>2988</v>
      </c>
      <c r="L47">
        <f>VLOOKUP(C47,'[1]SR No. party'!$A:$B,2,0)</f>
        <v>1</v>
      </c>
    </row>
    <row r="48" spans="1:12" ht="22.5">
      <c r="A48" s="181">
        <v>46193</v>
      </c>
      <c r="B48" s="182" t="s">
        <v>2987</v>
      </c>
      <c r="C48" s="182" t="s">
        <v>258</v>
      </c>
      <c r="D48" s="182" t="s">
        <v>2890</v>
      </c>
      <c r="E48" s="182" t="s">
        <v>253</v>
      </c>
      <c r="F48" s="182" t="s">
        <v>282</v>
      </c>
      <c r="G48" s="183">
        <v>13.879</v>
      </c>
      <c r="H48" s="183">
        <v>0</v>
      </c>
      <c r="I48" s="183">
        <v>10.4093</v>
      </c>
      <c r="J48" s="183">
        <v>10.4093</v>
      </c>
      <c r="K48" s="182" t="s">
        <v>2988</v>
      </c>
      <c r="L48">
        <f>VLOOKUP(C48,'[1]SR No. party'!$A:$B,2,0)</f>
        <v>1</v>
      </c>
    </row>
    <row r="49" spans="1:12" ht="22.5">
      <c r="A49" s="181">
        <v>46193</v>
      </c>
      <c r="B49" s="182" t="s">
        <v>2987</v>
      </c>
      <c r="C49" s="182" t="s">
        <v>258</v>
      </c>
      <c r="D49" s="182" t="s">
        <v>2890</v>
      </c>
      <c r="E49" s="182" t="s">
        <v>253</v>
      </c>
      <c r="F49" s="182" t="s">
        <v>282</v>
      </c>
      <c r="G49" s="183">
        <v>14.513</v>
      </c>
      <c r="H49" s="183">
        <v>0</v>
      </c>
      <c r="I49" s="183">
        <v>10.8848</v>
      </c>
      <c r="J49" s="183">
        <v>10.8848</v>
      </c>
      <c r="K49" s="182" t="s">
        <v>2988</v>
      </c>
      <c r="L49">
        <f>VLOOKUP(C49,'[1]SR No. party'!$A:$B,2,0)</f>
        <v>1</v>
      </c>
    </row>
    <row r="50" spans="1:12" ht="22.5">
      <c r="A50" s="181">
        <v>46193</v>
      </c>
      <c r="B50" s="182" t="s">
        <v>2987</v>
      </c>
      <c r="C50" s="182" t="s">
        <v>258</v>
      </c>
      <c r="D50" s="182" t="s">
        <v>2890</v>
      </c>
      <c r="E50" s="182" t="s">
        <v>253</v>
      </c>
      <c r="F50" s="182" t="s">
        <v>282</v>
      </c>
      <c r="G50" s="183">
        <v>14.824</v>
      </c>
      <c r="H50" s="183">
        <v>0</v>
      </c>
      <c r="I50" s="183">
        <v>11.118</v>
      </c>
      <c r="J50" s="183">
        <v>11.118</v>
      </c>
      <c r="K50" s="182" t="s">
        <v>2988</v>
      </c>
      <c r="L50">
        <f>VLOOKUP(C50,'[1]SR No. party'!$A:$B,2,0)</f>
        <v>1</v>
      </c>
    </row>
    <row r="51" spans="1:12" ht="22.5">
      <c r="A51" s="181">
        <v>46193</v>
      </c>
      <c r="B51" s="182" t="s">
        <v>2987</v>
      </c>
      <c r="C51" s="182" t="s">
        <v>258</v>
      </c>
      <c r="D51" s="182" t="s">
        <v>2890</v>
      </c>
      <c r="E51" s="182" t="s">
        <v>253</v>
      </c>
      <c r="F51" s="182" t="s">
        <v>282</v>
      </c>
      <c r="G51" s="183">
        <v>15.077999999999999</v>
      </c>
      <c r="H51" s="183">
        <v>0</v>
      </c>
      <c r="I51" s="183">
        <v>11.3085</v>
      </c>
      <c r="J51" s="183">
        <v>11.3085</v>
      </c>
      <c r="K51" s="182" t="s">
        <v>2988</v>
      </c>
      <c r="L51">
        <f>VLOOKUP(C51,'[1]SR No. party'!$A:$B,2,0)</f>
        <v>1</v>
      </c>
    </row>
    <row r="52" spans="1:12">
      <c r="A52" s="181">
        <v>46193</v>
      </c>
      <c r="B52" s="182" t="s">
        <v>2989</v>
      </c>
      <c r="C52" s="182" t="s">
        <v>2718</v>
      </c>
      <c r="D52" s="182"/>
      <c r="E52" s="182" t="s">
        <v>259</v>
      </c>
      <c r="F52" s="182" t="s">
        <v>2805</v>
      </c>
      <c r="G52" s="183">
        <v>114.399</v>
      </c>
      <c r="H52" s="183">
        <v>0</v>
      </c>
      <c r="I52" s="183">
        <v>113.827</v>
      </c>
      <c r="J52" s="183">
        <v>113.827</v>
      </c>
      <c r="K52" s="182" t="s">
        <v>2990</v>
      </c>
      <c r="L52">
        <f>VLOOKUP(C52,'[1]SR No. party'!$A:$B,2,0)</f>
        <v>22</v>
      </c>
    </row>
    <row r="53" spans="1:12">
      <c r="A53" s="181">
        <v>46193</v>
      </c>
      <c r="B53" s="182" t="s">
        <v>2989</v>
      </c>
      <c r="C53" s="182" t="s">
        <v>2718</v>
      </c>
      <c r="D53" s="182"/>
      <c r="E53" s="182" t="s">
        <v>259</v>
      </c>
      <c r="F53" s="182" t="s">
        <v>2805</v>
      </c>
      <c r="G53" s="183">
        <v>396.50099999999998</v>
      </c>
      <c r="H53" s="183">
        <v>0</v>
      </c>
      <c r="I53" s="183">
        <v>394.51850000000002</v>
      </c>
      <c r="J53" s="183">
        <v>394.51850000000002</v>
      </c>
      <c r="K53" s="182" t="s">
        <v>2991</v>
      </c>
      <c r="L53">
        <f>VLOOKUP(C53,'[1]SR No. party'!$A:$B,2,0)</f>
        <v>22</v>
      </c>
    </row>
    <row r="54" spans="1:12" ht="22.5">
      <c r="A54" s="181">
        <v>46193</v>
      </c>
      <c r="B54" s="182" t="s">
        <v>2992</v>
      </c>
      <c r="C54" s="182" t="s">
        <v>252</v>
      </c>
      <c r="D54" s="182" t="s">
        <v>2863</v>
      </c>
      <c r="E54" s="182" t="s">
        <v>253</v>
      </c>
      <c r="F54" s="182" t="s">
        <v>272</v>
      </c>
      <c r="G54" s="183">
        <v>30.2</v>
      </c>
      <c r="H54" s="183">
        <v>0</v>
      </c>
      <c r="I54" s="183">
        <v>22.65</v>
      </c>
      <c r="J54" s="183">
        <v>22.65</v>
      </c>
      <c r="K54" s="182" t="s">
        <v>2993</v>
      </c>
      <c r="L54">
        <f>VLOOKUP(C54,'[1]SR No. party'!$A:$B,2,0)</f>
        <v>7</v>
      </c>
    </row>
    <row r="55" spans="1:12" ht="22.5">
      <c r="A55" s="181">
        <v>46193</v>
      </c>
      <c r="B55" s="182" t="s">
        <v>2994</v>
      </c>
      <c r="C55" s="182" t="s">
        <v>277</v>
      </c>
      <c r="D55" s="182" t="s">
        <v>2995</v>
      </c>
      <c r="E55" s="182" t="s">
        <v>253</v>
      </c>
      <c r="F55" s="182" t="s">
        <v>282</v>
      </c>
      <c r="G55" s="183">
        <v>3.9729999999999999</v>
      </c>
      <c r="H55" s="183">
        <v>4</v>
      </c>
      <c r="I55" s="183">
        <v>2.9798</v>
      </c>
      <c r="J55" s="183">
        <v>3.1387</v>
      </c>
      <c r="K55" s="182" t="s">
        <v>2996</v>
      </c>
      <c r="L55">
        <f>VLOOKUP(C55,'[1]SR No. party'!$A:$B,2,0)</f>
        <v>5</v>
      </c>
    </row>
    <row r="56" spans="1:12" ht="22.5">
      <c r="A56" s="181">
        <v>46193</v>
      </c>
      <c r="B56" s="182" t="s">
        <v>2994</v>
      </c>
      <c r="C56" s="182" t="s">
        <v>277</v>
      </c>
      <c r="D56" s="182" t="s">
        <v>2995</v>
      </c>
      <c r="E56" s="182" t="s">
        <v>253</v>
      </c>
      <c r="F56" s="182" t="s">
        <v>282</v>
      </c>
      <c r="G56" s="183">
        <v>3.9969999999999999</v>
      </c>
      <c r="H56" s="183">
        <v>4</v>
      </c>
      <c r="I56" s="183">
        <v>2.9977999999999998</v>
      </c>
      <c r="J56" s="183">
        <v>3.1576</v>
      </c>
      <c r="K56" s="182" t="s">
        <v>2996</v>
      </c>
      <c r="L56">
        <f>VLOOKUP(C56,'[1]SR No. party'!$A:$B,2,0)</f>
        <v>5</v>
      </c>
    </row>
    <row r="57" spans="1:12">
      <c r="A57" s="181">
        <v>46193</v>
      </c>
      <c r="B57" s="182" t="s">
        <v>2997</v>
      </c>
      <c r="C57" s="182" t="s">
        <v>258</v>
      </c>
      <c r="D57" s="182" t="s">
        <v>2940</v>
      </c>
      <c r="E57" s="182" t="s">
        <v>253</v>
      </c>
      <c r="F57" s="182" t="s">
        <v>272</v>
      </c>
      <c r="G57" s="183">
        <v>97.57</v>
      </c>
      <c r="H57" s="183">
        <v>0</v>
      </c>
      <c r="I57" s="183">
        <v>73.177499999999995</v>
      </c>
      <c r="J57" s="183">
        <v>73.177499999999995</v>
      </c>
      <c r="K57" s="182" t="s">
        <v>2998</v>
      </c>
      <c r="L57">
        <f>VLOOKUP(C57,'[1]SR No. party'!$A:$B,2,0)</f>
        <v>1</v>
      </c>
    </row>
    <row r="58" spans="1:12" ht="22.5">
      <c r="A58" s="181">
        <v>46193</v>
      </c>
      <c r="B58" s="182" t="s">
        <v>2997</v>
      </c>
      <c r="C58" s="182" t="s">
        <v>258</v>
      </c>
      <c r="D58" s="182" t="s">
        <v>2999</v>
      </c>
      <c r="E58" s="182" t="s">
        <v>253</v>
      </c>
      <c r="F58" s="182" t="s">
        <v>272</v>
      </c>
      <c r="G58" s="183">
        <v>111.72</v>
      </c>
      <c r="H58" s="183">
        <v>0</v>
      </c>
      <c r="I58" s="183">
        <v>83.79</v>
      </c>
      <c r="J58" s="183">
        <v>83.79</v>
      </c>
      <c r="K58" s="182" t="s">
        <v>3000</v>
      </c>
      <c r="L58">
        <f>VLOOKUP(C58,'[1]SR No. party'!$A:$B,2,0)</f>
        <v>1</v>
      </c>
    </row>
    <row r="59" spans="1:12" ht="33.75">
      <c r="A59" s="181">
        <v>46193</v>
      </c>
      <c r="B59" s="182" t="s">
        <v>2997</v>
      </c>
      <c r="C59" s="182" t="s">
        <v>258</v>
      </c>
      <c r="D59" s="182" t="s">
        <v>3001</v>
      </c>
      <c r="E59" s="182" t="s">
        <v>253</v>
      </c>
      <c r="F59" s="182" t="s">
        <v>282</v>
      </c>
      <c r="G59" s="183">
        <v>253.75</v>
      </c>
      <c r="H59" s="183">
        <v>0</v>
      </c>
      <c r="I59" s="183">
        <v>190.3125</v>
      </c>
      <c r="J59" s="183">
        <v>190.3125</v>
      </c>
      <c r="K59" s="182" t="s">
        <v>3002</v>
      </c>
      <c r="L59">
        <f>VLOOKUP(C59,'[1]SR No. party'!$A:$B,2,0)</f>
        <v>1</v>
      </c>
    </row>
    <row r="60" spans="1:12" ht="22.5">
      <c r="A60" s="181">
        <v>46193</v>
      </c>
      <c r="B60" s="182" t="s">
        <v>3003</v>
      </c>
      <c r="C60" s="182" t="s">
        <v>252</v>
      </c>
      <c r="D60" s="182" t="s">
        <v>3004</v>
      </c>
      <c r="E60" s="182" t="s">
        <v>253</v>
      </c>
      <c r="F60" s="182" t="s">
        <v>282</v>
      </c>
      <c r="G60" s="183">
        <v>15.648</v>
      </c>
      <c r="H60" s="183">
        <v>3</v>
      </c>
      <c r="I60" s="183">
        <v>11.736000000000001</v>
      </c>
      <c r="J60" s="183">
        <v>12.205399999999999</v>
      </c>
      <c r="K60" s="182" t="s">
        <v>3005</v>
      </c>
      <c r="L60">
        <f>VLOOKUP(C60,'[1]SR No. party'!$A:$B,2,0)</f>
        <v>7</v>
      </c>
    </row>
    <row r="61" spans="1:12" ht="22.5">
      <c r="A61" s="181">
        <v>46193</v>
      </c>
      <c r="B61" s="182" t="s">
        <v>3006</v>
      </c>
      <c r="C61" s="182" t="s">
        <v>252</v>
      </c>
      <c r="D61" s="182" t="s">
        <v>2899</v>
      </c>
      <c r="E61" s="182" t="s">
        <v>253</v>
      </c>
      <c r="F61" s="182" t="s">
        <v>282</v>
      </c>
      <c r="G61" s="183">
        <v>8.5500000000000007</v>
      </c>
      <c r="H61" s="183">
        <v>3</v>
      </c>
      <c r="I61" s="183">
        <v>6.4124999999999996</v>
      </c>
      <c r="J61" s="183">
        <v>6.6689999999999996</v>
      </c>
      <c r="K61" s="182" t="s">
        <v>3007</v>
      </c>
      <c r="L61">
        <f>VLOOKUP(C61,'[1]SR No. party'!$A:$B,2,0)</f>
        <v>7</v>
      </c>
    </row>
    <row r="62" spans="1:12" ht="22.5">
      <c r="A62" s="181">
        <v>46193</v>
      </c>
      <c r="B62" s="182" t="s">
        <v>3006</v>
      </c>
      <c r="C62" s="182" t="s">
        <v>252</v>
      </c>
      <c r="D62" s="182" t="s">
        <v>2941</v>
      </c>
      <c r="E62" s="182" t="s">
        <v>253</v>
      </c>
      <c r="F62" s="182" t="s">
        <v>272</v>
      </c>
      <c r="G62" s="183">
        <v>15.736000000000001</v>
      </c>
      <c r="H62" s="183">
        <v>3</v>
      </c>
      <c r="I62" s="183">
        <v>11.802</v>
      </c>
      <c r="J62" s="183">
        <v>12.274100000000001</v>
      </c>
      <c r="K62" s="182" t="s">
        <v>3008</v>
      </c>
      <c r="L62">
        <f>VLOOKUP(C62,'[1]SR No. party'!$A:$B,2,0)</f>
        <v>7</v>
      </c>
    </row>
    <row r="63" spans="1:12" ht="22.5">
      <c r="A63" s="181">
        <v>46193</v>
      </c>
      <c r="B63" s="182" t="s">
        <v>3009</v>
      </c>
      <c r="C63" s="182" t="s">
        <v>2881</v>
      </c>
      <c r="D63" s="182" t="s">
        <v>2822</v>
      </c>
      <c r="E63" s="182" t="s">
        <v>250</v>
      </c>
      <c r="F63" s="182" t="s">
        <v>2804</v>
      </c>
      <c r="G63" s="183">
        <v>191.36</v>
      </c>
      <c r="H63" s="183">
        <v>1.7</v>
      </c>
      <c r="I63" s="183">
        <v>175.66849999999999</v>
      </c>
      <c r="J63" s="183">
        <v>178.92160000000001</v>
      </c>
      <c r="K63" s="182" t="s">
        <v>3010</v>
      </c>
      <c r="L63" t="e">
        <f>VLOOKUP(C63,'[1]SR No. party'!$A:$B,2,0)</f>
        <v>#N/A</v>
      </c>
    </row>
    <row r="64" spans="1:12" ht="22.5">
      <c r="A64" s="181">
        <v>46193</v>
      </c>
      <c r="B64" s="182" t="s">
        <v>3009</v>
      </c>
      <c r="C64" s="182" t="s">
        <v>2881</v>
      </c>
      <c r="D64" s="182" t="s">
        <v>2822</v>
      </c>
      <c r="E64" s="182" t="s">
        <v>250</v>
      </c>
      <c r="F64" s="182" t="s">
        <v>2804</v>
      </c>
      <c r="G64" s="183">
        <v>84.11</v>
      </c>
      <c r="H64" s="183">
        <v>2.2000000000000002</v>
      </c>
      <c r="I64" s="183">
        <v>77.212999999999994</v>
      </c>
      <c r="J64" s="183">
        <v>79.063400000000001</v>
      </c>
      <c r="K64" s="182" t="s">
        <v>3010</v>
      </c>
      <c r="L64" t="e">
        <f>VLOOKUP(C64,'[1]SR No. party'!$A:$B,2,0)</f>
        <v>#N/A</v>
      </c>
    </row>
    <row r="65" spans="1:12" ht="33.75">
      <c r="A65" s="181">
        <v>46193</v>
      </c>
      <c r="B65" s="182" t="s">
        <v>3011</v>
      </c>
      <c r="C65" s="182" t="s">
        <v>258</v>
      </c>
      <c r="D65" s="182" t="s">
        <v>3012</v>
      </c>
      <c r="E65" s="182" t="s">
        <v>253</v>
      </c>
      <c r="F65" s="182" t="s">
        <v>282</v>
      </c>
      <c r="G65" s="183">
        <v>7.6980000000000004</v>
      </c>
      <c r="H65" s="183">
        <v>0</v>
      </c>
      <c r="I65" s="183">
        <v>5.7735000000000003</v>
      </c>
      <c r="J65" s="183">
        <v>5.7735000000000003</v>
      </c>
      <c r="K65" s="182" t="s">
        <v>3013</v>
      </c>
      <c r="L65">
        <f>VLOOKUP(C65,'[1]SR No. party'!$A:$B,2,0)</f>
        <v>1</v>
      </c>
    </row>
    <row r="66" spans="1:12" ht="33.75">
      <c r="A66" s="181">
        <v>46193</v>
      </c>
      <c r="B66" s="182" t="s">
        <v>3011</v>
      </c>
      <c r="C66" s="182" t="s">
        <v>258</v>
      </c>
      <c r="D66" s="182" t="s">
        <v>3014</v>
      </c>
      <c r="E66" s="182" t="s">
        <v>253</v>
      </c>
      <c r="F66" s="182" t="s">
        <v>282</v>
      </c>
      <c r="G66" s="183">
        <v>4.891</v>
      </c>
      <c r="H66" s="183">
        <v>0</v>
      </c>
      <c r="I66" s="183">
        <v>3.6682999999999999</v>
      </c>
      <c r="J66" s="183">
        <v>3.6682999999999999</v>
      </c>
      <c r="K66" s="182" t="s">
        <v>3013</v>
      </c>
      <c r="L66">
        <f>VLOOKUP(C66,'[1]SR No. party'!$A:$B,2,0)</f>
        <v>1</v>
      </c>
    </row>
    <row r="67" spans="1:12" ht="33.75">
      <c r="A67" s="181">
        <v>46193</v>
      </c>
      <c r="B67" s="182" t="s">
        <v>3011</v>
      </c>
      <c r="C67" s="182" t="s">
        <v>258</v>
      </c>
      <c r="D67" s="182" t="s">
        <v>3015</v>
      </c>
      <c r="E67" s="182" t="s">
        <v>253</v>
      </c>
      <c r="F67" s="182" t="s">
        <v>282</v>
      </c>
      <c r="G67" s="183">
        <v>7.7110000000000003</v>
      </c>
      <c r="H67" s="183">
        <v>0</v>
      </c>
      <c r="I67" s="183">
        <v>5.7832999999999997</v>
      </c>
      <c r="J67" s="183">
        <v>5.7832999999999997</v>
      </c>
      <c r="K67" s="182" t="s">
        <v>3013</v>
      </c>
      <c r="L67">
        <f>VLOOKUP(C67,'[1]SR No. party'!$A:$B,2,0)</f>
        <v>1</v>
      </c>
    </row>
    <row r="68" spans="1:12" ht="33.75">
      <c r="A68" s="181">
        <v>46193</v>
      </c>
      <c r="B68" s="182" t="s">
        <v>3011</v>
      </c>
      <c r="C68" s="182" t="s">
        <v>258</v>
      </c>
      <c r="D68" s="182" t="s">
        <v>3014</v>
      </c>
      <c r="E68" s="182" t="s">
        <v>253</v>
      </c>
      <c r="F68" s="182" t="s">
        <v>282</v>
      </c>
      <c r="G68" s="183">
        <v>4.6520000000000001</v>
      </c>
      <c r="H68" s="183">
        <v>0</v>
      </c>
      <c r="I68" s="183">
        <v>3.4889999999999999</v>
      </c>
      <c r="J68" s="183">
        <v>3.4889999999999999</v>
      </c>
      <c r="K68" s="182" t="s">
        <v>3013</v>
      </c>
      <c r="L68">
        <f>VLOOKUP(C68,'[1]SR No. party'!$A:$B,2,0)</f>
        <v>1</v>
      </c>
    </row>
    <row r="69" spans="1:12" ht="33.75">
      <c r="A69" s="181">
        <v>46193</v>
      </c>
      <c r="B69" s="182" t="s">
        <v>3011</v>
      </c>
      <c r="C69" s="182" t="s">
        <v>258</v>
      </c>
      <c r="D69" s="182" t="s">
        <v>3014</v>
      </c>
      <c r="E69" s="182" t="s">
        <v>253</v>
      </c>
      <c r="F69" s="182" t="s">
        <v>282</v>
      </c>
      <c r="G69" s="183">
        <v>5.0199999999999996</v>
      </c>
      <c r="H69" s="183">
        <v>0</v>
      </c>
      <c r="I69" s="183">
        <v>3.7650000000000001</v>
      </c>
      <c r="J69" s="183">
        <v>3.7650000000000001</v>
      </c>
      <c r="K69" s="182" t="s">
        <v>3013</v>
      </c>
      <c r="L69">
        <f>VLOOKUP(C69,'[1]SR No. party'!$A:$B,2,0)</f>
        <v>1</v>
      </c>
    </row>
    <row r="70" spans="1:12" ht="33.75">
      <c r="A70" s="181">
        <v>46193</v>
      </c>
      <c r="B70" s="182" t="s">
        <v>3011</v>
      </c>
      <c r="C70" s="182" t="s">
        <v>258</v>
      </c>
      <c r="D70" s="182" t="s">
        <v>3014</v>
      </c>
      <c r="E70" s="182" t="s">
        <v>253</v>
      </c>
      <c r="F70" s="182" t="s">
        <v>282</v>
      </c>
      <c r="G70" s="183">
        <v>5.0069999999999997</v>
      </c>
      <c r="H70" s="183">
        <v>0</v>
      </c>
      <c r="I70" s="183">
        <v>3.7553000000000001</v>
      </c>
      <c r="J70" s="183">
        <v>3.7553000000000001</v>
      </c>
      <c r="K70" s="182" t="s">
        <v>3013</v>
      </c>
      <c r="L70">
        <f>VLOOKUP(C70,'[1]SR No. party'!$A:$B,2,0)</f>
        <v>1</v>
      </c>
    </row>
    <row r="71" spans="1:12" ht="33.75">
      <c r="A71" s="181">
        <v>46193</v>
      </c>
      <c r="B71" s="182" t="s">
        <v>3011</v>
      </c>
      <c r="C71" s="182" t="s">
        <v>258</v>
      </c>
      <c r="D71" s="182" t="s">
        <v>3014</v>
      </c>
      <c r="E71" s="182" t="s">
        <v>253</v>
      </c>
      <c r="F71" s="182" t="s">
        <v>282</v>
      </c>
      <c r="G71" s="183">
        <v>5.0880000000000001</v>
      </c>
      <c r="H71" s="183">
        <v>0</v>
      </c>
      <c r="I71" s="183">
        <v>3.8159999999999998</v>
      </c>
      <c r="J71" s="183">
        <v>3.8159999999999998</v>
      </c>
      <c r="K71" s="182" t="s">
        <v>3013</v>
      </c>
      <c r="L71">
        <f>VLOOKUP(C71,'[1]SR No. party'!$A:$B,2,0)</f>
        <v>1</v>
      </c>
    </row>
    <row r="72" spans="1:12" ht="33.75">
      <c r="A72" s="181">
        <v>46193</v>
      </c>
      <c r="B72" s="182" t="s">
        <v>3011</v>
      </c>
      <c r="C72" s="182" t="s">
        <v>258</v>
      </c>
      <c r="D72" s="182" t="s">
        <v>3016</v>
      </c>
      <c r="E72" s="182" t="s">
        <v>253</v>
      </c>
      <c r="F72" s="182" t="s">
        <v>282</v>
      </c>
      <c r="G72" s="183">
        <v>6.1449999999999996</v>
      </c>
      <c r="H72" s="183">
        <v>0</v>
      </c>
      <c r="I72" s="183">
        <v>4.6087999999999996</v>
      </c>
      <c r="J72" s="183">
        <v>4.6087999999999996</v>
      </c>
      <c r="K72" s="182" t="s">
        <v>3013</v>
      </c>
      <c r="L72">
        <f>VLOOKUP(C72,'[1]SR No. party'!$A:$B,2,0)</f>
        <v>1</v>
      </c>
    </row>
    <row r="73" spans="1:12" ht="33.75">
      <c r="A73" s="181">
        <v>46193</v>
      </c>
      <c r="B73" s="182" t="s">
        <v>3011</v>
      </c>
      <c r="C73" s="182" t="s">
        <v>258</v>
      </c>
      <c r="D73" s="182" t="s">
        <v>3017</v>
      </c>
      <c r="E73" s="182" t="s">
        <v>253</v>
      </c>
      <c r="F73" s="182" t="s">
        <v>282</v>
      </c>
      <c r="G73" s="183">
        <v>8.0289999999999999</v>
      </c>
      <c r="H73" s="183">
        <v>0</v>
      </c>
      <c r="I73" s="183">
        <v>6.0217999999999998</v>
      </c>
      <c r="J73" s="183">
        <v>6.0217999999999998</v>
      </c>
      <c r="K73" s="182" t="s">
        <v>3013</v>
      </c>
      <c r="L73">
        <f>VLOOKUP(C73,'[1]SR No. party'!$A:$B,2,0)</f>
        <v>1</v>
      </c>
    </row>
    <row r="74" spans="1:12" ht="33.75">
      <c r="A74" s="181">
        <v>46193</v>
      </c>
      <c r="B74" s="182" t="s">
        <v>3011</v>
      </c>
      <c r="C74" s="182" t="s">
        <v>258</v>
      </c>
      <c r="D74" s="182" t="s">
        <v>3014</v>
      </c>
      <c r="E74" s="182" t="s">
        <v>253</v>
      </c>
      <c r="F74" s="182" t="s">
        <v>282</v>
      </c>
      <c r="G74" s="183">
        <v>4.694</v>
      </c>
      <c r="H74" s="183">
        <v>0</v>
      </c>
      <c r="I74" s="183">
        <v>3.5205000000000002</v>
      </c>
      <c r="J74" s="183">
        <v>3.5205000000000002</v>
      </c>
      <c r="K74" s="182" t="s">
        <v>3013</v>
      </c>
      <c r="L74">
        <f>VLOOKUP(C74,'[1]SR No. party'!$A:$B,2,0)</f>
        <v>1</v>
      </c>
    </row>
    <row r="75" spans="1:12" ht="33.75">
      <c r="A75" s="181">
        <v>46193</v>
      </c>
      <c r="B75" s="182" t="s">
        <v>3011</v>
      </c>
      <c r="C75" s="182" t="s">
        <v>258</v>
      </c>
      <c r="D75" s="182" t="s">
        <v>3014</v>
      </c>
      <c r="E75" s="182" t="s">
        <v>253</v>
      </c>
      <c r="F75" s="182" t="s">
        <v>282</v>
      </c>
      <c r="G75" s="183">
        <v>4.6929999999999996</v>
      </c>
      <c r="H75" s="183">
        <v>0</v>
      </c>
      <c r="I75" s="183">
        <v>3.5198</v>
      </c>
      <c r="J75" s="183">
        <v>3.5198</v>
      </c>
      <c r="K75" s="182" t="s">
        <v>3013</v>
      </c>
      <c r="L75">
        <f>VLOOKUP(C75,'[1]SR No. party'!$A:$B,2,0)</f>
        <v>1</v>
      </c>
    </row>
    <row r="76" spans="1:12" ht="33.75">
      <c r="A76" s="181">
        <v>46193</v>
      </c>
      <c r="B76" s="182" t="s">
        <v>3011</v>
      </c>
      <c r="C76" s="182" t="s">
        <v>258</v>
      </c>
      <c r="D76" s="182" t="s">
        <v>3018</v>
      </c>
      <c r="E76" s="182" t="s">
        <v>253</v>
      </c>
      <c r="F76" s="182" t="s">
        <v>282</v>
      </c>
      <c r="G76" s="183">
        <v>6.9669999999999996</v>
      </c>
      <c r="H76" s="183">
        <v>0</v>
      </c>
      <c r="I76" s="183">
        <v>5.2252999999999998</v>
      </c>
      <c r="J76" s="183">
        <v>5.2252999999999998</v>
      </c>
      <c r="K76" s="182" t="s">
        <v>3013</v>
      </c>
      <c r="L76">
        <f>VLOOKUP(C76,'[1]SR No. party'!$A:$B,2,0)</f>
        <v>1</v>
      </c>
    </row>
    <row r="77" spans="1:12" ht="33.75">
      <c r="A77" s="181">
        <v>46193</v>
      </c>
      <c r="B77" s="182" t="s">
        <v>3011</v>
      </c>
      <c r="C77" s="182" t="s">
        <v>258</v>
      </c>
      <c r="D77" s="182" t="s">
        <v>3019</v>
      </c>
      <c r="E77" s="182" t="s">
        <v>253</v>
      </c>
      <c r="F77" s="182" t="s">
        <v>282</v>
      </c>
      <c r="G77" s="183">
        <v>7.1210000000000004</v>
      </c>
      <c r="H77" s="183">
        <v>0</v>
      </c>
      <c r="I77" s="183">
        <v>5.3407999999999998</v>
      </c>
      <c r="J77" s="183">
        <v>5.3407999999999998</v>
      </c>
      <c r="K77" s="182" t="s">
        <v>3013</v>
      </c>
      <c r="L77">
        <f>VLOOKUP(C77,'[1]SR No. party'!$A:$B,2,0)</f>
        <v>1</v>
      </c>
    </row>
    <row r="78" spans="1:12" ht="33.75">
      <c r="A78" s="181">
        <v>46193</v>
      </c>
      <c r="B78" s="182" t="s">
        <v>3011</v>
      </c>
      <c r="C78" s="182" t="s">
        <v>258</v>
      </c>
      <c r="D78" s="182" t="s">
        <v>3020</v>
      </c>
      <c r="E78" s="182" t="s">
        <v>253</v>
      </c>
      <c r="F78" s="182" t="s">
        <v>282</v>
      </c>
      <c r="G78" s="183">
        <v>7.2859999999999996</v>
      </c>
      <c r="H78" s="183">
        <v>0</v>
      </c>
      <c r="I78" s="183">
        <v>5.4645000000000001</v>
      </c>
      <c r="J78" s="183">
        <v>5.4645000000000001</v>
      </c>
      <c r="K78" s="182" t="s">
        <v>3013</v>
      </c>
      <c r="L78">
        <f>VLOOKUP(C78,'[1]SR No. party'!$A:$B,2,0)</f>
        <v>1</v>
      </c>
    </row>
    <row r="79" spans="1:12" ht="33.75">
      <c r="A79" s="181">
        <v>46193</v>
      </c>
      <c r="B79" s="182" t="s">
        <v>3011</v>
      </c>
      <c r="C79" s="182" t="s">
        <v>258</v>
      </c>
      <c r="D79" s="182" t="s">
        <v>3021</v>
      </c>
      <c r="E79" s="182" t="s">
        <v>253</v>
      </c>
      <c r="F79" s="182" t="s">
        <v>282</v>
      </c>
      <c r="G79" s="183">
        <v>7.2430000000000003</v>
      </c>
      <c r="H79" s="183">
        <v>0</v>
      </c>
      <c r="I79" s="183">
        <v>5.4322999999999997</v>
      </c>
      <c r="J79" s="183">
        <v>5.4322999999999997</v>
      </c>
      <c r="K79" s="182" t="s">
        <v>3013</v>
      </c>
      <c r="L79">
        <f>VLOOKUP(C79,'[1]SR No. party'!$A:$B,2,0)</f>
        <v>1</v>
      </c>
    </row>
    <row r="80" spans="1:12" ht="33.75">
      <c r="A80" s="181">
        <v>46193</v>
      </c>
      <c r="B80" s="182" t="s">
        <v>3011</v>
      </c>
      <c r="C80" s="182" t="s">
        <v>258</v>
      </c>
      <c r="D80" s="182" t="s">
        <v>3022</v>
      </c>
      <c r="E80" s="182" t="s">
        <v>253</v>
      </c>
      <c r="F80" s="182" t="s">
        <v>282</v>
      </c>
      <c r="G80" s="183">
        <v>7.5590000000000002</v>
      </c>
      <c r="H80" s="183">
        <v>0</v>
      </c>
      <c r="I80" s="183">
        <v>5.6692999999999998</v>
      </c>
      <c r="J80" s="183">
        <v>5.6692999999999998</v>
      </c>
      <c r="K80" s="182" t="s">
        <v>3013</v>
      </c>
      <c r="L80">
        <f>VLOOKUP(C80,'[1]SR No. party'!$A:$B,2,0)</f>
        <v>1</v>
      </c>
    </row>
    <row r="81" spans="1:12" ht="33.75">
      <c r="A81" s="181">
        <v>46193</v>
      </c>
      <c r="B81" s="182" t="s">
        <v>3011</v>
      </c>
      <c r="C81" s="182" t="s">
        <v>258</v>
      </c>
      <c r="D81" s="182" t="s">
        <v>3023</v>
      </c>
      <c r="E81" s="182" t="s">
        <v>253</v>
      </c>
      <c r="F81" s="182" t="s">
        <v>282</v>
      </c>
      <c r="G81" s="183">
        <v>6.6710000000000003</v>
      </c>
      <c r="H81" s="183">
        <v>0</v>
      </c>
      <c r="I81" s="183">
        <v>5.0033000000000003</v>
      </c>
      <c r="J81" s="183">
        <v>5.0033000000000003</v>
      </c>
      <c r="K81" s="182" t="s">
        <v>3013</v>
      </c>
      <c r="L81">
        <f>VLOOKUP(C81,'[1]SR No. party'!$A:$B,2,0)</f>
        <v>1</v>
      </c>
    </row>
    <row r="82" spans="1:12" ht="22.5">
      <c r="A82" s="181">
        <v>46193</v>
      </c>
      <c r="B82" s="182" t="s">
        <v>3024</v>
      </c>
      <c r="C82" s="182" t="s">
        <v>258</v>
      </c>
      <c r="D82" s="182" t="s">
        <v>3025</v>
      </c>
      <c r="E82" s="182" t="s">
        <v>250</v>
      </c>
      <c r="F82" s="182" t="s">
        <v>2804</v>
      </c>
      <c r="G82" s="183">
        <v>72.617999999999995</v>
      </c>
      <c r="H82" s="183">
        <v>0</v>
      </c>
      <c r="I82" s="183">
        <v>66.663300000000007</v>
      </c>
      <c r="J82" s="183">
        <v>66.663300000000007</v>
      </c>
      <c r="K82" s="182" t="s">
        <v>3026</v>
      </c>
      <c r="L82">
        <f>VLOOKUP(C82,'[1]SR No. party'!$A:$B,2,0)</f>
        <v>1</v>
      </c>
    </row>
    <row r="83" spans="1:12" ht="33.75">
      <c r="A83" s="181">
        <v>46193</v>
      </c>
      <c r="B83" s="182" t="s">
        <v>3027</v>
      </c>
      <c r="C83" s="182" t="s">
        <v>2834</v>
      </c>
      <c r="D83" s="182" t="s">
        <v>3028</v>
      </c>
      <c r="E83" s="182" t="s">
        <v>250</v>
      </c>
      <c r="F83" s="182" t="s">
        <v>2856</v>
      </c>
      <c r="G83" s="183">
        <v>31.802</v>
      </c>
      <c r="H83" s="183">
        <v>0.7</v>
      </c>
      <c r="I83" s="183">
        <v>29.130600000000001</v>
      </c>
      <c r="J83" s="183">
        <v>29.353200000000001</v>
      </c>
      <c r="K83" s="182" t="s">
        <v>3029</v>
      </c>
      <c r="L83" t="e">
        <f>VLOOKUP(C83,'[1]SR No. party'!$A:$B,2,0)</f>
        <v>#N/A</v>
      </c>
    </row>
    <row r="84" spans="1:12" ht="22.5">
      <c r="A84" s="181">
        <v>46193</v>
      </c>
      <c r="B84" s="182" t="s">
        <v>3027</v>
      </c>
      <c r="C84" s="182" t="s">
        <v>2834</v>
      </c>
      <c r="D84" s="182" t="s">
        <v>3030</v>
      </c>
      <c r="E84" s="182" t="s">
        <v>250</v>
      </c>
      <c r="F84" s="182" t="s">
        <v>2856</v>
      </c>
      <c r="G84" s="183">
        <v>4.5709999999999997</v>
      </c>
      <c r="H84" s="183">
        <v>0.7</v>
      </c>
      <c r="I84" s="183">
        <v>4.1870000000000003</v>
      </c>
      <c r="J84" s="183">
        <v>4.2190000000000003</v>
      </c>
      <c r="K84" s="182" t="s">
        <v>3029</v>
      </c>
      <c r="L84" t="e">
        <f>VLOOKUP(C84,'[1]SR No. party'!$A:$B,2,0)</f>
        <v>#N/A</v>
      </c>
    </row>
    <row r="85" spans="1:12" ht="22.5">
      <c r="A85" s="181">
        <v>46193</v>
      </c>
      <c r="B85" s="182" t="s">
        <v>3027</v>
      </c>
      <c r="C85" s="182" t="s">
        <v>2834</v>
      </c>
      <c r="D85" s="182" t="s">
        <v>3030</v>
      </c>
      <c r="E85" s="182" t="s">
        <v>250</v>
      </c>
      <c r="F85" s="182" t="s">
        <v>2856</v>
      </c>
      <c r="G85" s="183">
        <v>4.5609999999999999</v>
      </c>
      <c r="H85" s="183">
        <v>0.7</v>
      </c>
      <c r="I85" s="183">
        <v>4.1779000000000002</v>
      </c>
      <c r="J85" s="183">
        <v>4.2098000000000004</v>
      </c>
      <c r="K85" s="182" t="s">
        <v>3029</v>
      </c>
      <c r="L85" t="e">
        <f>VLOOKUP(C85,'[1]SR No. party'!$A:$B,2,0)</f>
        <v>#N/A</v>
      </c>
    </row>
    <row r="86" spans="1:12" ht="22.5">
      <c r="A86" s="181">
        <v>46193</v>
      </c>
      <c r="B86" s="182" t="s">
        <v>3027</v>
      </c>
      <c r="C86" s="182" t="s">
        <v>2834</v>
      </c>
      <c r="D86" s="182" t="s">
        <v>3030</v>
      </c>
      <c r="E86" s="182" t="s">
        <v>250</v>
      </c>
      <c r="F86" s="182" t="s">
        <v>2856</v>
      </c>
      <c r="G86" s="183">
        <v>4.5620000000000003</v>
      </c>
      <c r="H86" s="183">
        <v>0.7</v>
      </c>
      <c r="I86" s="183">
        <v>4.1787999999999998</v>
      </c>
      <c r="J86" s="183">
        <v>4.2107000000000001</v>
      </c>
      <c r="K86" s="182" t="s">
        <v>3029</v>
      </c>
      <c r="L86" t="e">
        <f>VLOOKUP(C86,'[1]SR No. party'!$A:$B,2,0)</f>
        <v>#N/A</v>
      </c>
    </row>
    <row r="87" spans="1:12" ht="22.5">
      <c r="A87" s="181">
        <v>46193</v>
      </c>
      <c r="B87" s="182" t="s">
        <v>3027</v>
      </c>
      <c r="C87" s="182" t="s">
        <v>2834</v>
      </c>
      <c r="D87" s="182" t="s">
        <v>3030</v>
      </c>
      <c r="E87" s="182" t="s">
        <v>250</v>
      </c>
      <c r="F87" s="182" t="s">
        <v>2856</v>
      </c>
      <c r="G87" s="183">
        <v>4.5720000000000001</v>
      </c>
      <c r="H87" s="183">
        <v>0.7</v>
      </c>
      <c r="I87" s="183">
        <v>4.1879999999999997</v>
      </c>
      <c r="J87" s="183">
        <v>4.22</v>
      </c>
      <c r="K87" s="182" t="s">
        <v>3029</v>
      </c>
      <c r="L87" t="e">
        <f>VLOOKUP(C87,'[1]SR No. party'!$A:$B,2,0)</f>
        <v>#N/A</v>
      </c>
    </row>
    <row r="88" spans="1:12" ht="22.5">
      <c r="A88" s="181">
        <v>46193</v>
      </c>
      <c r="B88" s="182" t="s">
        <v>3027</v>
      </c>
      <c r="C88" s="182" t="s">
        <v>2834</v>
      </c>
      <c r="D88" s="182" t="s">
        <v>3030</v>
      </c>
      <c r="E88" s="182" t="s">
        <v>250</v>
      </c>
      <c r="F88" s="182" t="s">
        <v>2856</v>
      </c>
      <c r="G88" s="183">
        <v>4.5679999999999996</v>
      </c>
      <c r="H88" s="183">
        <v>0.7</v>
      </c>
      <c r="I88" s="183">
        <v>4.1843000000000004</v>
      </c>
      <c r="J88" s="183">
        <v>4.2163000000000004</v>
      </c>
      <c r="K88" s="182" t="s">
        <v>3029</v>
      </c>
      <c r="L88" t="e">
        <f>VLOOKUP(C88,'[1]SR No. party'!$A:$B,2,0)</f>
        <v>#N/A</v>
      </c>
    </row>
    <row r="89" spans="1:12" ht="22.5">
      <c r="A89" s="181">
        <v>46193</v>
      </c>
      <c r="B89" s="182" t="s">
        <v>3027</v>
      </c>
      <c r="C89" s="182" t="s">
        <v>2834</v>
      </c>
      <c r="D89" s="182" t="s">
        <v>3030</v>
      </c>
      <c r="E89" s="182" t="s">
        <v>250</v>
      </c>
      <c r="F89" s="182" t="s">
        <v>2856</v>
      </c>
      <c r="G89" s="183">
        <v>4.5529999999999999</v>
      </c>
      <c r="H89" s="183">
        <v>0.7</v>
      </c>
      <c r="I89" s="183">
        <v>4.1704999999999997</v>
      </c>
      <c r="J89" s="183">
        <v>4.2023999999999999</v>
      </c>
      <c r="K89" s="182" t="s">
        <v>3029</v>
      </c>
      <c r="L89" t="e">
        <f>VLOOKUP(C89,'[1]SR No. party'!$A:$B,2,0)</f>
        <v>#N/A</v>
      </c>
    </row>
    <row r="90" spans="1:12" ht="22.5">
      <c r="A90" s="181">
        <v>46193</v>
      </c>
      <c r="B90" s="182" t="s">
        <v>3027</v>
      </c>
      <c r="C90" s="182" t="s">
        <v>2834</v>
      </c>
      <c r="D90" s="182" t="s">
        <v>3030</v>
      </c>
      <c r="E90" s="182" t="s">
        <v>250</v>
      </c>
      <c r="F90" s="182" t="s">
        <v>2856</v>
      </c>
      <c r="G90" s="183">
        <v>4.5810000000000004</v>
      </c>
      <c r="H90" s="183">
        <v>0.7</v>
      </c>
      <c r="I90" s="183">
        <v>4.1962000000000002</v>
      </c>
      <c r="J90" s="183">
        <v>4.2282999999999999</v>
      </c>
      <c r="K90" s="182" t="s">
        <v>3029</v>
      </c>
      <c r="L90" t="e">
        <f>VLOOKUP(C90,'[1]SR No. party'!$A:$B,2,0)</f>
        <v>#N/A</v>
      </c>
    </row>
    <row r="91" spans="1:12" ht="22.5">
      <c r="A91" s="181">
        <v>46193</v>
      </c>
      <c r="B91" s="182" t="s">
        <v>3027</v>
      </c>
      <c r="C91" s="182" t="s">
        <v>2834</v>
      </c>
      <c r="D91" s="182" t="s">
        <v>3030</v>
      </c>
      <c r="E91" s="182" t="s">
        <v>250</v>
      </c>
      <c r="F91" s="182" t="s">
        <v>2856</v>
      </c>
      <c r="G91" s="183">
        <v>4.5359999999999996</v>
      </c>
      <c r="H91" s="183">
        <v>0.7</v>
      </c>
      <c r="I91" s="183">
        <v>4.1550000000000002</v>
      </c>
      <c r="J91" s="183">
        <v>4.1867000000000001</v>
      </c>
      <c r="K91" s="182" t="s">
        <v>3029</v>
      </c>
      <c r="L91" t="e">
        <f>VLOOKUP(C91,'[1]SR No. party'!$A:$B,2,0)</f>
        <v>#N/A</v>
      </c>
    </row>
    <row r="92" spans="1:12" ht="22.5">
      <c r="A92" s="181">
        <v>46193</v>
      </c>
      <c r="B92" s="182" t="s">
        <v>3027</v>
      </c>
      <c r="C92" s="182" t="s">
        <v>2834</v>
      </c>
      <c r="D92" s="182" t="s">
        <v>3030</v>
      </c>
      <c r="E92" s="182" t="s">
        <v>250</v>
      </c>
      <c r="F92" s="182" t="s">
        <v>2856</v>
      </c>
      <c r="G92" s="183">
        <v>4.4909999999999997</v>
      </c>
      <c r="H92" s="183">
        <v>0.7</v>
      </c>
      <c r="I92" s="183">
        <v>4.1138000000000003</v>
      </c>
      <c r="J92" s="183">
        <v>4.1452</v>
      </c>
      <c r="K92" s="182" t="s">
        <v>3029</v>
      </c>
      <c r="L92" t="e">
        <f>VLOOKUP(C92,'[1]SR No. party'!$A:$B,2,0)</f>
        <v>#N/A</v>
      </c>
    </row>
    <row r="93" spans="1:12" ht="22.5">
      <c r="A93" s="181">
        <v>46193</v>
      </c>
      <c r="B93" s="182" t="s">
        <v>3027</v>
      </c>
      <c r="C93" s="182" t="s">
        <v>2834</v>
      </c>
      <c r="D93" s="182" t="s">
        <v>3030</v>
      </c>
      <c r="E93" s="182" t="s">
        <v>250</v>
      </c>
      <c r="F93" s="182" t="s">
        <v>2856</v>
      </c>
      <c r="G93" s="183">
        <v>4.4610000000000003</v>
      </c>
      <c r="H93" s="183">
        <v>0.7</v>
      </c>
      <c r="I93" s="183">
        <v>4.0862999999999996</v>
      </c>
      <c r="J93" s="183">
        <v>4.1174999999999997</v>
      </c>
      <c r="K93" s="182" t="s">
        <v>3029</v>
      </c>
      <c r="L93" t="e">
        <f>VLOOKUP(C93,'[1]SR No. party'!$A:$B,2,0)</f>
        <v>#N/A</v>
      </c>
    </row>
    <row r="94" spans="1:12" ht="33.75">
      <c r="A94" s="181">
        <v>46193</v>
      </c>
      <c r="B94" s="182" t="s">
        <v>3027</v>
      </c>
      <c r="C94" s="182" t="s">
        <v>2834</v>
      </c>
      <c r="D94" s="182" t="s">
        <v>3028</v>
      </c>
      <c r="E94" s="182" t="s">
        <v>250</v>
      </c>
      <c r="F94" s="182" t="s">
        <v>2856</v>
      </c>
      <c r="G94" s="183">
        <v>31.683</v>
      </c>
      <c r="H94" s="183">
        <v>0.7</v>
      </c>
      <c r="I94" s="183">
        <v>29.021599999999999</v>
      </c>
      <c r="J94" s="183">
        <v>29.243400000000001</v>
      </c>
      <c r="K94" s="182" t="s">
        <v>3029</v>
      </c>
      <c r="L94" t="e">
        <f>VLOOKUP(C94,'[1]SR No. party'!$A:$B,2,0)</f>
        <v>#N/A</v>
      </c>
    </row>
    <row r="95" spans="1:12" ht="33.75">
      <c r="A95" s="181">
        <v>46193</v>
      </c>
      <c r="B95" s="182" t="s">
        <v>3027</v>
      </c>
      <c r="C95" s="182" t="s">
        <v>2834</v>
      </c>
      <c r="D95" s="182" t="s">
        <v>3028</v>
      </c>
      <c r="E95" s="182" t="s">
        <v>250</v>
      </c>
      <c r="F95" s="182" t="s">
        <v>2856</v>
      </c>
      <c r="G95" s="183">
        <v>31.323</v>
      </c>
      <c r="H95" s="183">
        <v>0.7</v>
      </c>
      <c r="I95" s="183">
        <v>28.6919</v>
      </c>
      <c r="J95" s="183">
        <v>28.911100000000001</v>
      </c>
      <c r="K95" s="182" t="s">
        <v>3029</v>
      </c>
      <c r="L95" t="e">
        <f>VLOOKUP(C95,'[1]SR No. party'!$A:$B,2,0)</f>
        <v>#N/A</v>
      </c>
    </row>
    <row r="96" spans="1:12" ht="33.75">
      <c r="A96" s="181">
        <v>46193</v>
      </c>
      <c r="B96" s="182" t="s">
        <v>3027</v>
      </c>
      <c r="C96" s="182" t="s">
        <v>2834</v>
      </c>
      <c r="D96" s="182" t="s">
        <v>3028</v>
      </c>
      <c r="E96" s="182" t="s">
        <v>250</v>
      </c>
      <c r="F96" s="182" t="s">
        <v>2856</v>
      </c>
      <c r="G96" s="183">
        <v>31.484999999999999</v>
      </c>
      <c r="H96" s="183">
        <v>0.7</v>
      </c>
      <c r="I96" s="183">
        <v>28.840299999999999</v>
      </c>
      <c r="J96" s="183">
        <v>29.060700000000001</v>
      </c>
      <c r="K96" s="182" t="s">
        <v>3029</v>
      </c>
      <c r="L96" t="e">
        <f>VLOOKUP(C96,'[1]SR No. party'!$A:$B,2,0)</f>
        <v>#N/A</v>
      </c>
    </row>
    <row r="97" spans="1:12" ht="33.75">
      <c r="A97" s="181">
        <v>46193</v>
      </c>
      <c r="B97" s="182" t="s">
        <v>3031</v>
      </c>
      <c r="C97" s="182" t="s">
        <v>258</v>
      </c>
      <c r="D97" s="182" t="s">
        <v>3032</v>
      </c>
      <c r="E97" s="182" t="s">
        <v>253</v>
      </c>
      <c r="F97" s="182" t="s">
        <v>272</v>
      </c>
      <c r="G97" s="183">
        <v>218.3</v>
      </c>
      <c r="H97" s="183">
        <v>0</v>
      </c>
      <c r="I97" s="183">
        <v>163.72499999999999</v>
      </c>
      <c r="J97" s="183">
        <v>163.72499999999999</v>
      </c>
      <c r="K97" s="182" t="s">
        <v>3033</v>
      </c>
      <c r="L97">
        <f>VLOOKUP(C97,'[1]SR No. party'!$A:$B,2,0)</f>
        <v>1</v>
      </c>
    </row>
    <row r="98" spans="1:12" ht="22.5">
      <c r="A98" s="181">
        <v>46193</v>
      </c>
      <c r="B98" s="182" t="s">
        <v>3031</v>
      </c>
      <c r="C98" s="182" t="s">
        <v>258</v>
      </c>
      <c r="D98" s="182" t="s">
        <v>3034</v>
      </c>
      <c r="E98" s="182" t="s">
        <v>253</v>
      </c>
      <c r="F98" s="182" t="s">
        <v>272</v>
      </c>
      <c r="G98" s="183">
        <v>81.477999999999994</v>
      </c>
      <c r="H98" s="183">
        <v>0</v>
      </c>
      <c r="I98" s="183">
        <v>61.108499999999999</v>
      </c>
      <c r="J98" s="183">
        <v>61.108499999999999</v>
      </c>
      <c r="K98" s="182" t="s">
        <v>2864</v>
      </c>
      <c r="L98">
        <f>VLOOKUP(C98,'[1]SR No. party'!$A:$B,2,0)</f>
        <v>1</v>
      </c>
    </row>
    <row r="99" spans="1:12" ht="22.5">
      <c r="A99" s="181">
        <v>46193</v>
      </c>
      <c r="B99" s="182" t="s">
        <v>3031</v>
      </c>
      <c r="C99" s="182" t="s">
        <v>258</v>
      </c>
      <c r="D99" s="182" t="s">
        <v>3035</v>
      </c>
      <c r="E99" s="182" t="s">
        <v>253</v>
      </c>
      <c r="F99" s="182" t="s">
        <v>272</v>
      </c>
      <c r="G99" s="183">
        <v>18.28</v>
      </c>
      <c r="H99" s="183">
        <v>0</v>
      </c>
      <c r="I99" s="183">
        <v>13.71</v>
      </c>
      <c r="J99" s="183">
        <v>13.71</v>
      </c>
      <c r="K99" s="182" t="s">
        <v>2916</v>
      </c>
      <c r="L99">
        <f>VLOOKUP(C99,'[1]SR No. party'!$A:$B,2,0)</f>
        <v>1</v>
      </c>
    </row>
    <row r="100" spans="1:12" ht="22.5">
      <c r="A100" s="181">
        <v>46193</v>
      </c>
      <c r="B100" s="182" t="s">
        <v>3031</v>
      </c>
      <c r="C100" s="182" t="s">
        <v>258</v>
      </c>
      <c r="D100" s="182" t="s">
        <v>3036</v>
      </c>
      <c r="E100" s="182" t="s">
        <v>253</v>
      </c>
      <c r="F100" s="182" t="s">
        <v>272</v>
      </c>
      <c r="G100" s="183">
        <v>30.33</v>
      </c>
      <c r="H100" s="183">
        <v>0</v>
      </c>
      <c r="I100" s="183">
        <v>22.747499999999999</v>
      </c>
      <c r="J100" s="183">
        <v>22.747499999999999</v>
      </c>
      <c r="K100" s="182" t="s">
        <v>2916</v>
      </c>
      <c r="L100">
        <f>VLOOKUP(C100,'[1]SR No. party'!$A:$B,2,0)</f>
        <v>1</v>
      </c>
    </row>
    <row r="101" spans="1:12" ht="22.5">
      <c r="A101" s="181">
        <v>46193</v>
      </c>
      <c r="B101" s="182" t="s">
        <v>3031</v>
      </c>
      <c r="C101" s="182" t="s">
        <v>258</v>
      </c>
      <c r="D101" s="182" t="s">
        <v>3037</v>
      </c>
      <c r="E101" s="182" t="s">
        <v>253</v>
      </c>
      <c r="F101" s="182" t="s">
        <v>272</v>
      </c>
      <c r="G101" s="183">
        <v>15.95</v>
      </c>
      <c r="H101" s="183">
        <v>0</v>
      </c>
      <c r="I101" s="183">
        <v>11.9625</v>
      </c>
      <c r="J101" s="183">
        <v>11.9625</v>
      </c>
      <c r="K101" s="182" t="s">
        <v>2916</v>
      </c>
      <c r="L101">
        <f>VLOOKUP(C101,'[1]SR No. party'!$A:$B,2,0)</f>
        <v>1</v>
      </c>
    </row>
    <row r="102" spans="1:12" ht="33.75">
      <c r="A102" s="181">
        <v>46193</v>
      </c>
      <c r="B102" s="182" t="s">
        <v>3031</v>
      </c>
      <c r="C102" s="182" t="s">
        <v>258</v>
      </c>
      <c r="D102" s="182" t="s">
        <v>3038</v>
      </c>
      <c r="E102" s="182" t="s">
        <v>253</v>
      </c>
      <c r="F102" s="182" t="s">
        <v>272</v>
      </c>
      <c r="G102" s="183">
        <v>74.48</v>
      </c>
      <c r="H102" s="183">
        <v>0</v>
      </c>
      <c r="I102" s="183">
        <v>55.86</v>
      </c>
      <c r="J102" s="183">
        <v>55.86</v>
      </c>
      <c r="K102" s="182" t="s">
        <v>2917</v>
      </c>
      <c r="L102">
        <f>VLOOKUP(C102,'[1]SR No. party'!$A:$B,2,0)</f>
        <v>1</v>
      </c>
    </row>
    <row r="103" spans="1:12" ht="33.75">
      <c r="A103" s="181">
        <v>46193</v>
      </c>
      <c r="B103" s="182" t="s">
        <v>3031</v>
      </c>
      <c r="C103" s="182" t="s">
        <v>258</v>
      </c>
      <c r="D103" s="182" t="s">
        <v>3039</v>
      </c>
      <c r="E103" s="182" t="s">
        <v>253</v>
      </c>
      <c r="F103" s="182" t="s">
        <v>272</v>
      </c>
      <c r="G103" s="183">
        <v>67.66</v>
      </c>
      <c r="H103" s="183">
        <v>0</v>
      </c>
      <c r="I103" s="183">
        <v>50.744999999999997</v>
      </c>
      <c r="J103" s="183">
        <v>50.744999999999997</v>
      </c>
      <c r="K103" s="182" t="s">
        <v>2917</v>
      </c>
      <c r="L103">
        <f>VLOOKUP(C103,'[1]SR No. party'!$A:$B,2,0)</f>
        <v>1</v>
      </c>
    </row>
    <row r="104" spans="1:12" ht="33.75">
      <c r="A104" s="181">
        <v>46193</v>
      </c>
      <c r="B104" s="182" t="s">
        <v>3031</v>
      </c>
      <c r="C104" s="182" t="s">
        <v>258</v>
      </c>
      <c r="D104" s="182" t="s">
        <v>3040</v>
      </c>
      <c r="E104" s="182" t="s">
        <v>253</v>
      </c>
      <c r="F104" s="182" t="s">
        <v>282</v>
      </c>
      <c r="G104" s="183">
        <v>238.37</v>
      </c>
      <c r="H104" s="183">
        <v>0</v>
      </c>
      <c r="I104" s="183">
        <v>178.7775</v>
      </c>
      <c r="J104" s="183">
        <v>178.7775</v>
      </c>
      <c r="K104" s="182" t="s">
        <v>3041</v>
      </c>
      <c r="L104">
        <f>VLOOKUP(C104,'[1]SR No. party'!$A:$B,2,0)</f>
        <v>1</v>
      </c>
    </row>
    <row r="105" spans="1:12" ht="22.5">
      <c r="A105" s="181">
        <v>46193</v>
      </c>
      <c r="B105" s="182" t="s">
        <v>3031</v>
      </c>
      <c r="C105" s="182" t="s">
        <v>258</v>
      </c>
      <c r="D105" s="182" t="s">
        <v>3042</v>
      </c>
      <c r="E105" s="182" t="s">
        <v>253</v>
      </c>
      <c r="F105" s="182" t="s">
        <v>282</v>
      </c>
      <c r="G105" s="183">
        <v>252.67</v>
      </c>
      <c r="H105" s="183">
        <v>0</v>
      </c>
      <c r="I105" s="183">
        <v>189.5025</v>
      </c>
      <c r="J105" s="183">
        <v>189.5025</v>
      </c>
      <c r="K105" s="182" t="s">
        <v>2915</v>
      </c>
      <c r="L105">
        <f>VLOOKUP(C105,'[1]SR No. party'!$A:$B,2,0)</f>
        <v>1</v>
      </c>
    </row>
    <row r="106" spans="1:12">
      <c r="A106" s="181">
        <v>46193</v>
      </c>
      <c r="B106" s="182" t="s">
        <v>3031</v>
      </c>
      <c r="C106" s="182" t="s">
        <v>258</v>
      </c>
      <c r="D106" s="182" t="s">
        <v>3043</v>
      </c>
      <c r="E106" s="182" t="s">
        <v>253</v>
      </c>
      <c r="F106" s="182" t="s">
        <v>282</v>
      </c>
      <c r="G106" s="183">
        <v>104.09</v>
      </c>
      <c r="H106" s="183">
        <v>0</v>
      </c>
      <c r="I106" s="183">
        <v>78.067499999999995</v>
      </c>
      <c r="J106" s="183">
        <v>78.067499999999995</v>
      </c>
      <c r="K106" s="182" t="s">
        <v>3044</v>
      </c>
      <c r="L106">
        <f>VLOOKUP(C106,'[1]SR No. party'!$A:$B,2,0)</f>
        <v>1</v>
      </c>
    </row>
    <row r="107" spans="1:12" ht="33.75">
      <c r="A107" s="181">
        <v>46193</v>
      </c>
      <c r="B107" s="182" t="s">
        <v>3031</v>
      </c>
      <c r="C107" s="182" t="s">
        <v>258</v>
      </c>
      <c r="D107" s="182" t="s">
        <v>3045</v>
      </c>
      <c r="E107" s="182" t="s">
        <v>253</v>
      </c>
      <c r="F107" s="182" t="s">
        <v>282</v>
      </c>
      <c r="G107" s="183">
        <v>232.82</v>
      </c>
      <c r="H107" s="183">
        <v>0</v>
      </c>
      <c r="I107" s="183">
        <v>174.61500000000001</v>
      </c>
      <c r="J107" s="183">
        <v>174.61500000000001</v>
      </c>
      <c r="K107" s="182" t="s">
        <v>2920</v>
      </c>
      <c r="L107">
        <f>VLOOKUP(C107,'[1]SR No. party'!$A:$B,2,0)</f>
        <v>1</v>
      </c>
    </row>
    <row r="108" spans="1:12">
      <c r="A108" s="181">
        <v>46193</v>
      </c>
      <c r="B108" s="182" t="s">
        <v>3031</v>
      </c>
      <c r="C108" s="182" t="s">
        <v>258</v>
      </c>
      <c r="D108" s="182" t="s">
        <v>3046</v>
      </c>
      <c r="E108" s="182" t="s">
        <v>253</v>
      </c>
      <c r="F108" s="182" t="s">
        <v>282</v>
      </c>
      <c r="G108" s="183">
        <v>14.14</v>
      </c>
      <c r="H108" s="183">
        <v>0</v>
      </c>
      <c r="I108" s="183">
        <v>10.605</v>
      </c>
      <c r="J108" s="183">
        <v>10.605</v>
      </c>
      <c r="K108" s="182" t="s">
        <v>3047</v>
      </c>
      <c r="L108">
        <f>VLOOKUP(C108,'[1]SR No. party'!$A:$B,2,0)</f>
        <v>1</v>
      </c>
    </row>
    <row r="109" spans="1:12" ht="22.5">
      <c r="A109" s="181">
        <v>46193</v>
      </c>
      <c r="B109" s="182" t="s">
        <v>3031</v>
      </c>
      <c r="C109" s="182" t="s">
        <v>258</v>
      </c>
      <c r="D109" s="182" t="s">
        <v>3048</v>
      </c>
      <c r="E109" s="182" t="s">
        <v>253</v>
      </c>
      <c r="F109" s="182" t="s">
        <v>282</v>
      </c>
      <c r="G109" s="183">
        <v>200.08</v>
      </c>
      <c r="H109" s="183">
        <v>0</v>
      </c>
      <c r="I109" s="183">
        <v>150.06</v>
      </c>
      <c r="J109" s="183">
        <v>150.06</v>
      </c>
      <c r="K109" s="182" t="s">
        <v>3049</v>
      </c>
      <c r="L109">
        <f>VLOOKUP(C109,'[1]SR No. party'!$A:$B,2,0)</f>
        <v>1</v>
      </c>
    </row>
    <row r="110" spans="1:12">
      <c r="A110" s="181">
        <v>46193</v>
      </c>
      <c r="B110" s="182" t="s">
        <v>3031</v>
      </c>
      <c r="C110" s="182" t="s">
        <v>258</v>
      </c>
      <c r="D110" s="182" t="s">
        <v>3050</v>
      </c>
      <c r="E110" s="182" t="s">
        <v>253</v>
      </c>
      <c r="F110" s="182" t="s">
        <v>282</v>
      </c>
      <c r="G110" s="183">
        <v>5.53</v>
      </c>
      <c r="H110" s="183">
        <v>0</v>
      </c>
      <c r="I110" s="183">
        <v>4.1475</v>
      </c>
      <c r="J110" s="183">
        <v>4.1475</v>
      </c>
      <c r="K110" s="182" t="s">
        <v>3051</v>
      </c>
      <c r="L110">
        <f>VLOOKUP(C110,'[1]SR No. party'!$A:$B,2,0)</f>
        <v>1</v>
      </c>
    </row>
    <row r="111" spans="1:12" ht="22.5">
      <c r="A111" s="181">
        <v>46193</v>
      </c>
      <c r="B111" s="182" t="s">
        <v>3031</v>
      </c>
      <c r="C111" s="182" t="s">
        <v>258</v>
      </c>
      <c r="D111" s="182" t="s">
        <v>3052</v>
      </c>
      <c r="E111" s="182" t="s">
        <v>253</v>
      </c>
      <c r="F111" s="182" t="s">
        <v>282</v>
      </c>
      <c r="G111" s="183">
        <v>153.11000000000001</v>
      </c>
      <c r="H111" s="183">
        <v>0</v>
      </c>
      <c r="I111" s="183">
        <v>114.8325</v>
      </c>
      <c r="J111" s="183">
        <v>114.8325</v>
      </c>
      <c r="K111" s="182" t="s">
        <v>3049</v>
      </c>
      <c r="L111">
        <f>VLOOKUP(C111,'[1]SR No. party'!$A:$B,2,0)</f>
        <v>1</v>
      </c>
    </row>
    <row r="112" spans="1:12" ht="33.75">
      <c r="A112" s="181">
        <v>46193</v>
      </c>
      <c r="B112" s="182" t="s">
        <v>3031</v>
      </c>
      <c r="C112" s="182" t="s">
        <v>258</v>
      </c>
      <c r="D112" s="182" t="s">
        <v>3053</v>
      </c>
      <c r="E112" s="182" t="s">
        <v>253</v>
      </c>
      <c r="F112" s="182" t="s">
        <v>282</v>
      </c>
      <c r="G112" s="183">
        <v>308.39</v>
      </c>
      <c r="H112" s="183">
        <v>0</v>
      </c>
      <c r="I112" s="183">
        <v>231.29249999999999</v>
      </c>
      <c r="J112" s="183">
        <v>231.29249999999999</v>
      </c>
      <c r="K112" s="182" t="s">
        <v>2919</v>
      </c>
      <c r="L112">
        <f>VLOOKUP(C112,'[1]SR No. party'!$A:$B,2,0)</f>
        <v>1</v>
      </c>
    </row>
    <row r="113" spans="1:12" ht="22.5">
      <c r="A113" s="181">
        <v>46193</v>
      </c>
      <c r="B113" s="182" t="s">
        <v>3031</v>
      </c>
      <c r="C113" s="182" t="s">
        <v>258</v>
      </c>
      <c r="D113" s="182" t="s">
        <v>3054</v>
      </c>
      <c r="E113" s="182" t="s">
        <v>253</v>
      </c>
      <c r="F113" s="182" t="s">
        <v>282</v>
      </c>
      <c r="G113" s="183">
        <v>248.8</v>
      </c>
      <c r="H113" s="183">
        <v>0</v>
      </c>
      <c r="I113" s="183">
        <v>186.6</v>
      </c>
      <c r="J113" s="183">
        <v>186.6</v>
      </c>
      <c r="K113" s="182" t="s">
        <v>3055</v>
      </c>
      <c r="L113">
        <f>VLOOKUP(C113,'[1]SR No. party'!$A:$B,2,0)</f>
        <v>1</v>
      </c>
    </row>
    <row r="114" spans="1:12" ht="33.75">
      <c r="A114" s="181">
        <v>46193</v>
      </c>
      <c r="B114" s="182" t="s">
        <v>3031</v>
      </c>
      <c r="C114" s="182" t="s">
        <v>258</v>
      </c>
      <c r="D114" s="182" t="s">
        <v>3056</v>
      </c>
      <c r="E114" s="182" t="s">
        <v>253</v>
      </c>
      <c r="F114" s="182" t="s">
        <v>272</v>
      </c>
      <c r="G114" s="183">
        <v>367.54</v>
      </c>
      <c r="H114" s="183">
        <v>0</v>
      </c>
      <c r="I114" s="183">
        <v>275.65499999999997</v>
      </c>
      <c r="J114" s="183">
        <v>275.65499999999997</v>
      </c>
      <c r="K114" s="182" t="s">
        <v>3057</v>
      </c>
      <c r="L114">
        <f>VLOOKUP(C114,'[1]SR No. party'!$A:$B,2,0)</f>
        <v>1</v>
      </c>
    </row>
    <row r="115" spans="1:12">
      <c r="A115" s="181">
        <v>46193</v>
      </c>
      <c r="B115" s="182" t="s">
        <v>3031</v>
      </c>
      <c r="C115" s="182" t="s">
        <v>258</v>
      </c>
      <c r="D115" s="182" t="s">
        <v>2918</v>
      </c>
      <c r="E115" s="182" t="s">
        <v>253</v>
      </c>
      <c r="F115" s="182" t="s">
        <v>272</v>
      </c>
      <c r="G115" s="183">
        <v>9.7569999999999997</v>
      </c>
      <c r="H115" s="183">
        <v>0</v>
      </c>
      <c r="I115" s="183">
        <v>7.3178000000000001</v>
      </c>
      <c r="J115" s="183">
        <v>7.3178000000000001</v>
      </c>
      <c r="K115" s="182" t="s">
        <v>2864</v>
      </c>
      <c r="L115">
        <f>VLOOKUP(C115,'[1]SR No. party'!$A:$B,2,0)</f>
        <v>1</v>
      </c>
    </row>
    <row r="116" spans="1:12" ht="22.5">
      <c r="A116" s="181">
        <v>46193</v>
      </c>
      <c r="B116" s="182" t="s">
        <v>3058</v>
      </c>
      <c r="C116" s="182" t="s">
        <v>2834</v>
      </c>
      <c r="D116" s="182" t="s">
        <v>2822</v>
      </c>
      <c r="E116" s="182" t="s">
        <v>250</v>
      </c>
      <c r="F116" s="182" t="s">
        <v>2856</v>
      </c>
      <c r="G116" s="183">
        <v>7.0590000000000002</v>
      </c>
      <c r="H116" s="183">
        <v>0.7</v>
      </c>
      <c r="I116" s="183">
        <v>6.4660000000000002</v>
      </c>
      <c r="J116" s="183">
        <v>6.5155000000000003</v>
      </c>
      <c r="K116" s="182" t="s">
        <v>3059</v>
      </c>
      <c r="L116" t="e">
        <f>VLOOKUP(C116,'[1]SR No. party'!$A:$B,2,0)</f>
        <v>#N/A</v>
      </c>
    </row>
    <row r="117" spans="1:12" ht="22.5">
      <c r="A117" s="181">
        <v>46193</v>
      </c>
      <c r="B117" s="182" t="s">
        <v>3060</v>
      </c>
      <c r="C117" s="182" t="s">
        <v>2834</v>
      </c>
      <c r="D117" s="182" t="s">
        <v>2822</v>
      </c>
      <c r="E117" s="182" t="s">
        <v>250</v>
      </c>
      <c r="F117" s="182" t="s">
        <v>2856</v>
      </c>
      <c r="G117" s="183">
        <v>19.829000000000001</v>
      </c>
      <c r="H117" s="183">
        <v>0.7</v>
      </c>
      <c r="I117" s="183">
        <v>18.163399999999999</v>
      </c>
      <c r="J117" s="183">
        <v>18.302199999999999</v>
      </c>
      <c r="K117" s="182" t="s">
        <v>3061</v>
      </c>
      <c r="L117" t="e">
        <f>VLOOKUP(C117,'[1]SR No. party'!$A:$B,2,0)</f>
        <v>#N/A</v>
      </c>
    </row>
    <row r="118" spans="1:12">
      <c r="A118" s="181">
        <v>46193</v>
      </c>
      <c r="B118" s="182" t="s">
        <v>3062</v>
      </c>
      <c r="C118" s="182" t="s">
        <v>258</v>
      </c>
      <c r="D118" s="182" t="s">
        <v>3063</v>
      </c>
      <c r="E118" s="182" t="s">
        <v>250</v>
      </c>
      <c r="F118" s="182" t="s">
        <v>2804</v>
      </c>
      <c r="G118" s="183">
        <v>1457.12</v>
      </c>
      <c r="H118" s="183">
        <v>0</v>
      </c>
      <c r="I118" s="183">
        <v>1337.6361999999999</v>
      </c>
      <c r="J118" s="183">
        <v>1337.6361999999999</v>
      </c>
      <c r="K118" s="182" t="s">
        <v>3064</v>
      </c>
      <c r="L118">
        <f>VLOOKUP(C118,'[1]SR No. party'!$A:$B,2,0)</f>
        <v>1</v>
      </c>
    </row>
    <row r="119" spans="1:12" ht="22.5">
      <c r="A119" s="181">
        <v>46193</v>
      </c>
      <c r="B119" s="182" t="s">
        <v>3065</v>
      </c>
      <c r="C119" s="182" t="s">
        <v>2834</v>
      </c>
      <c r="D119" s="182" t="s">
        <v>2833</v>
      </c>
      <c r="E119" s="182" t="s">
        <v>250</v>
      </c>
      <c r="F119" s="182" t="s">
        <v>2856</v>
      </c>
      <c r="G119" s="183">
        <v>38.590000000000003</v>
      </c>
      <c r="H119" s="183">
        <v>0.7</v>
      </c>
      <c r="I119" s="183">
        <v>35.348399999999998</v>
      </c>
      <c r="J119" s="183">
        <v>35.618600000000001</v>
      </c>
      <c r="K119" s="182" t="s">
        <v>3066</v>
      </c>
      <c r="L119" t="e">
        <f>VLOOKUP(C119,'[1]SR No. party'!$A:$B,2,0)</f>
        <v>#N/A</v>
      </c>
    </row>
    <row r="120" spans="1:12" ht="22.5">
      <c r="A120" s="181">
        <v>46193</v>
      </c>
      <c r="B120" s="182" t="s">
        <v>3067</v>
      </c>
      <c r="C120" s="182" t="s">
        <v>2834</v>
      </c>
      <c r="D120" s="182" t="s">
        <v>3068</v>
      </c>
      <c r="E120" s="182" t="s">
        <v>253</v>
      </c>
      <c r="F120" s="182" t="s">
        <v>282</v>
      </c>
      <c r="G120" s="183">
        <v>16.097000000000001</v>
      </c>
      <c r="H120" s="183">
        <v>0.7</v>
      </c>
      <c r="I120" s="183">
        <v>12.072800000000001</v>
      </c>
      <c r="J120" s="183">
        <v>12.1854</v>
      </c>
      <c r="K120" s="182" t="s">
        <v>3069</v>
      </c>
      <c r="L120" t="e">
        <f>VLOOKUP(C120,'[1]SR No. party'!$A:$B,2,0)</f>
        <v>#N/A</v>
      </c>
    </row>
    <row r="121" spans="1:12">
      <c r="A121" s="181">
        <v>46193</v>
      </c>
      <c r="B121" s="182" t="s">
        <v>3070</v>
      </c>
      <c r="C121" s="182" t="s">
        <v>258</v>
      </c>
      <c r="D121" s="182" t="s">
        <v>3071</v>
      </c>
      <c r="E121" s="182" t="s">
        <v>250</v>
      </c>
      <c r="F121" s="182" t="s">
        <v>2804</v>
      </c>
      <c r="G121" s="183">
        <v>1349.18</v>
      </c>
      <c r="H121" s="183">
        <v>0</v>
      </c>
      <c r="I121" s="183">
        <v>1238.5472</v>
      </c>
      <c r="J121" s="183">
        <v>1238.5472</v>
      </c>
      <c r="K121" s="182" t="s">
        <v>3072</v>
      </c>
      <c r="L121">
        <f>VLOOKUP(C121,'[1]SR No. party'!$A:$B,2,0)</f>
        <v>1</v>
      </c>
    </row>
    <row r="122" spans="1:12">
      <c r="A122" s="181">
        <v>46193</v>
      </c>
      <c r="B122" s="182" t="s">
        <v>3073</v>
      </c>
      <c r="C122" s="182" t="s">
        <v>257</v>
      </c>
      <c r="D122" s="182" t="s">
        <v>2822</v>
      </c>
      <c r="E122" s="182" t="s">
        <v>250</v>
      </c>
      <c r="F122" s="182" t="s">
        <v>2804</v>
      </c>
      <c r="G122" s="183">
        <v>15.62</v>
      </c>
      <c r="H122" s="183">
        <v>0</v>
      </c>
      <c r="I122" s="183">
        <v>14.3392</v>
      </c>
      <c r="J122" s="183">
        <v>14.3392</v>
      </c>
      <c r="K122" s="182" t="s">
        <v>3074</v>
      </c>
      <c r="L122">
        <f>VLOOKUP(C122,'[1]SR No. party'!$A:$B,2,0)</f>
        <v>2</v>
      </c>
    </row>
    <row r="123" spans="1:12">
      <c r="A123" s="181">
        <v>46193</v>
      </c>
      <c r="B123" s="182" t="s">
        <v>3073</v>
      </c>
      <c r="C123" s="182" t="s">
        <v>257</v>
      </c>
      <c r="D123" s="182" t="s">
        <v>3075</v>
      </c>
      <c r="E123" s="182" t="s">
        <v>250</v>
      </c>
      <c r="F123" s="182" t="s">
        <v>2804</v>
      </c>
      <c r="G123" s="183">
        <v>48.81</v>
      </c>
      <c r="H123" s="183">
        <v>0</v>
      </c>
      <c r="I123" s="183">
        <v>44.807600000000001</v>
      </c>
      <c r="J123" s="183">
        <v>44.807600000000001</v>
      </c>
      <c r="K123" s="182" t="s">
        <v>3076</v>
      </c>
      <c r="L123">
        <f>VLOOKUP(C123,'[1]SR No. party'!$A:$B,2,0)</f>
        <v>2</v>
      </c>
    </row>
    <row r="124" spans="1:12">
      <c r="A124" s="181">
        <v>46193</v>
      </c>
      <c r="B124" s="182" t="s">
        <v>3073</v>
      </c>
      <c r="C124" s="182" t="s">
        <v>257</v>
      </c>
      <c r="D124" s="182" t="s">
        <v>274</v>
      </c>
      <c r="E124" s="182" t="s">
        <v>250</v>
      </c>
      <c r="F124" s="182" t="s">
        <v>2804</v>
      </c>
      <c r="G124" s="183">
        <v>46.24</v>
      </c>
      <c r="H124" s="183">
        <v>0</v>
      </c>
      <c r="I124" s="183">
        <v>42.448300000000003</v>
      </c>
      <c r="J124" s="183">
        <v>42.448300000000003</v>
      </c>
      <c r="K124" s="182" t="s">
        <v>3077</v>
      </c>
      <c r="L124">
        <f>VLOOKUP(C124,'[1]SR No. party'!$A:$B,2,0)</f>
        <v>2</v>
      </c>
    </row>
    <row r="125" spans="1:12">
      <c r="A125" s="181">
        <v>46193</v>
      </c>
      <c r="B125" s="182" t="s">
        <v>3073</v>
      </c>
      <c r="C125" s="182" t="s">
        <v>257</v>
      </c>
      <c r="D125" s="182" t="s">
        <v>2833</v>
      </c>
      <c r="E125" s="182" t="s">
        <v>250</v>
      </c>
      <c r="F125" s="182" t="s">
        <v>2804</v>
      </c>
      <c r="G125" s="183">
        <v>530.98</v>
      </c>
      <c r="H125" s="183">
        <v>0</v>
      </c>
      <c r="I125" s="183">
        <v>487.43959999999998</v>
      </c>
      <c r="J125" s="183">
        <v>487.43959999999998</v>
      </c>
      <c r="K125" s="182" t="s">
        <v>3078</v>
      </c>
      <c r="L125">
        <f>VLOOKUP(C125,'[1]SR No. party'!$A:$B,2,0)</f>
        <v>2</v>
      </c>
    </row>
    <row r="126" spans="1:12">
      <c r="A126" s="181">
        <v>46193</v>
      </c>
      <c r="B126" s="182" t="s">
        <v>3073</v>
      </c>
      <c r="C126" s="182" t="s">
        <v>257</v>
      </c>
      <c r="D126" s="182" t="s">
        <v>2833</v>
      </c>
      <c r="E126" s="182" t="s">
        <v>250</v>
      </c>
      <c r="F126" s="182" t="s">
        <v>2804</v>
      </c>
      <c r="G126" s="183">
        <v>11.4</v>
      </c>
      <c r="H126" s="183">
        <v>0</v>
      </c>
      <c r="I126" s="183">
        <v>10.465199999999999</v>
      </c>
      <c r="J126" s="183">
        <v>10.465199999999999</v>
      </c>
      <c r="K126" s="182" t="s">
        <v>3079</v>
      </c>
      <c r="L126">
        <f>VLOOKUP(C126,'[1]SR No. party'!$A:$B,2,0)</f>
        <v>2</v>
      </c>
    </row>
    <row r="127" spans="1:12">
      <c r="A127" s="181">
        <v>46193</v>
      </c>
      <c r="B127" s="182" t="s">
        <v>3073</v>
      </c>
      <c r="C127" s="182" t="s">
        <v>257</v>
      </c>
      <c r="D127" s="182" t="s">
        <v>2867</v>
      </c>
      <c r="E127" s="182" t="s">
        <v>250</v>
      </c>
      <c r="F127" s="182" t="s">
        <v>2804</v>
      </c>
      <c r="G127" s="183">
        <v>8.07</v>
      </c>
      <c r="H127" s="183">
        <v>0</v>
      </c>
      <c r="I127" s="183">
        <v>7.4082999999999997</v>
      </c>
      <c r="J127" s="183">
        <v>7.4082999999999997</v>
      </c>
      <c r="K127" s="182" t="s">
        <v>3080</v>
      </c>
      <c r="L127">
        <f>VLOOKUP(C127,'[1]SR No. party'!$A:$B,2,0)</f>
        <v>2</v>
      </c>
    </row>
    <row r="128" spans="1:12">
      <c r="A128" s="181">
        <v>46193</v>
      </c>
      <c r="B128" s="182" t="s">
        <v>3081</v>
      </c>
      <c r="C128" s="182" t="s">
        <v>258</v>
      </c>
      <c r="D128" s="182" t="s">
        <v>3082</v>
      </c>
      <c r="E128" s="182" t="s">
        <v>250</v>
      </c>
      <c r="F128" s="182" t="s">
        <v>2804</v>
      </c>
      <c r="G128" s="183">
        <v>8.3650000000000002</v>
      </c>
      <c r="H128" s="183">
        <v>0</v>
      </c>
      <c r="I128" s="183">
        <v>7.6791</v>
      </c>
      <c r="J128" s="183">
        <v>7.6791</v>
      </c>
      <c r="K128" s="182" t="s">
        <v>2864</v>
      </c>
      <c r="L128">
        <f>VLOOKUP(C128,'[1]SR No. party'!$A:$B,2,0)</f>
        <v>1</v>
      </c>
    </row>
    <row r="129" spans="1:12">
      <c r="A129" s="181">
        <v>46193</v>
      </c>
      <c r="B129" s="182" t="s">
        <v>3081</v>
      </c>
      <c r="C129" s="182" t="s">
        <v>258</v>
      </c>
      <c r="D129" s="182" t="s">
        <v>3083</v>
      </c>
      <c r="E129" s="182" t="s">
        <v>250</v>
      </c>
      <c r="F129" s="182" t="s">
        <v>2804</v>
      </c>
      <c r="G129" s="183">
        <v>71.97</v>
      </c>
      <c r="H129" s="183">
        <v>0</v>
      </c>
      <c r="I129" s="183">
        <v>66.0685</v>
      </c>
      <c r="J129" s="183">
        <v>66.0685</v>
      </c>
      <c r="K129" s="182" t="s">
        <v>3084</v>
      </c>
      <c r="L129">
        <f>VLOOKUP(C129,'[1]SR No. party'!$A:$B,2,0)</f>
        <v>1</v>
      </c>
    </row>
    <row r="130" spans="1:12">
      <c r="A130" s="181">
        <v>46193</v>
      </c>
      <c r="B130" s="182" t="s">
        <v>3081</v>
      </c>
      <c r="C130" s="182" t="s">
        <v>258</v>
      </c>
      <c r="D130" s="182" t="s">
        <v>2913</v>
      </c>
      <c r="E130" s="182" t="s">
        <v>250</v>
      </c>
      <c r="F130" s="182" t="s">
        <v>2804</v>
      </c>
      <c r="G130" s="183">
        <v>120.29</v>
      </c>
      <c r="H130" s="183">
        <v>0</v>
      </c>
      <c r="I130" s="183">
        <v>110.42619999999999</v>
      </c>
      <c r="J130" s="183">
        <v>110.42619999999999</v>
      </c>
      <c r="K130" s="182" t="s">
        <v>3085</v>
      </c>
      <c r="L130">
        <f>VLOOKUP(C130,'[1]SR No. party'!$A:$B,2,0)</f>
        <v>1</v>
      </c>
    </row>
    <row r="131" spans="1:12">
      <c r="A131" s="181">
        <v>46193</v>
      </c>
      <c r="B131" s="182" t="s">
        <v>3081</v>
      </c>
      <c r="C131" s="182" t="s">
        <v>258</v>
      </c>
      <c r="D131" s="182" t="s">
        <v>3086</v>
      </c>
      <c r="E131" s="182" t="s">
        <v>250</v>
      </c>
      <c r="F131" s="182" t="s">
        <v>2804</v>
      </c>
      <c r="G131" s="183">
        <v>10.56</v>
      </c>
      <c r="H131" s="183">
        <v>0</v>
      </c>
      <c r="I131" s="183">
        <v>9.6941000000000006</v>
      </c>
      <c r="J131" s="183">
        <v>9.6941000000000006</v>
      </c>
      <c r="K131" s="182" t="s">
        <v>3087</v>
      </c>
      <c r="L131">
        <f>VLOOKUP(C131,'[1]SR No. party'!$A:$B,2,0)</f>
        <v>1</v>
      </c>
    </row>
    <row r="132" spans="1:12">
      <c r="A132" s="181">
        <v>46193</v>
      </c>
      <c r="B132" s="182" t="s">
        <v>3081</v>
      </c>
      <c r="C132" s="182" t="s">
        <v>258</v>
      </c>
      <c r="D132" s="182" t="s">
        <v>3088</v>
      </c>
      <c r="E132" s="182" t="s">
        <v>250</v>
      </c>
      <c r="F132" s="182" t="s">
        <v>2804</v>
      </c>
      <c r="G132" s="183">
        <v>120.63</v>
      </c>
      <c r="H132" s="183">
        <v>0</v>
      </c>
      <c r="I132" s="183">
        <v>110.7383</v>
      </c>
      <c r="J132" s="183">
        <v>110.7383</v>
      </c>
      <c r="K132" s="182" t="s">
        <v>3089</v>
      </c>
      <c r="L132">
        <f>VLOOKUP(C132,'[1]SR No. party'!$A:$B,2,0)</f>
        <v>1</v>
      </c>
    </row>
    <row r="133" spans="1:12">
      <c r="A133" s="181">
        <v>46193</v>
      </c>
      <c r="B133" s="182" t="s">
        <v>3081</v>
      </c>
      <c r="C133" s="182" t="s">
        <v>258</v>
      </c>
      <c r="D133" s="182" t="s">
        <v>3090</v>
      </c>
      <c r="E133" s="182" t="s">
        <v>250</v>
      </c>
      <c r="F133" s="182" t="s">
        <v>2804</v>
      </c>
      <c r="G133" s="183">
        <v>20.03</v>
      </c>
      <c r="H133" s="183">
        <v>0</v>
      </c>
      <c r="I133" s="183">
        <v>18.387499999999999</v>
      </c>
      <c r="J133" s="183">
        <v>18.387499999999999</v>
      </c>
      <c r="K133" s="182" t="s">
        <v>3091</v>
      </c>
      <c r="L133">
        <f>VLOOKUP(C133,'[1]SR No. party'!$A:$B,2,0)</f>
        <v>1</v>
      </c>
    </row>
    <row r="134" spans="1:12" ht="22.5">
      <c r="A134" s="181">
        <v>46193</v>
      </c>
      <c r="B134" s="182" t="s">
        <v>3081</v>
      </c>
      <c r="C134" s="182" t="s">
        <v>258</v>
      </c>
      <c r="D134" s="182" t="s">
        <v>3092</v>
      </c>
      <c r="E134" s="182" t="s">
        <v>250</v>
      </c>
      <c r="F134" s="182" t="s">
        <v>2804</v>
      </c>
      <c r="G134" s="183">
        <v>10.27</v>
      </c>
      <c r="H134" s="183">
        <v>0</v>
      </c>
      <c r="I134" s="183">
        <v>9.4278999999999993</v>
      </c>
      <c r="J134" s="183">
        <v>9.4278999999999993</v>
      </c>
      <c r="K134" s="182" t="s">
        <v>3093</v>
      </c>
      <c r="L134">
        <f>VLOOKUP(C134,'[1]SR No. party'!$A:$B,2,0)</f>
        <v>1</v>
      </c>
    </row>
    <row r="135" spans="1:12" ht="22.5">
      <c r="A135" s="181">
        <v>46193</v>
      </c>
      <c r="B135" s="182" t="s">
        <v>3081</v>
      </c>
      <c r="C135" s="182" t="s">
        <v>258</v>
      </c>
      <c r="D135" s="182" t="s">
        <v>3094</v>
      </c>
      <c r="E135" s="182" t="s">
        <v>250</v>
      </c>
      <c r="F135" s="182" t="s">
        <v>2804</v>
      </c>
      <c r="G135" s="183">
        <v>49.41</v>
      </c>
      <c r="H135" s="183">
        <v>0</v>
      </c>
      <c r="I135" s="183">
        <v>45.358400000000003</v>
      </c>
      <c r="J135" s="183">
        <v>45.358400000000003</v>
      </c>
      <c r="K135" s="182" t="s">
        <v>3095</v>
      </c>
      <c r="L135">
        <f>VLOOKUP(C135,'[1]SR No. party'!$A:$B,2,0)</f>
        <v>1</v>
      </c>
    </row>
    <row r="136" spans="1:12">
      <c r="A136" s="181">
        <v>46193</v>
      </c>
      <c r="B136" s="182" t="s">
        <v>3081</v>
      </c>
      <c r="C136" s="182" t="s">
        <v>258</v>
      </c>
      <c r="D136" s="182" t="s">
        <v>3096</v>
      </c>
      <c r="E136" s="182" t="s">
        <v>250</v>
      </c>
      <c r="F136" s="182" t="s">
        <v>2804</v>
      </c>
      <c r="G136" s="183">
        <v>95.1</v>
      </c>
      <c r="H136" s="183">
        <v>0</v>
      </c>
      <c r="I136" s="183">
        <v>87.3018</v>
      </c>
      <c r="J136" s="183">
        <v>87.3018</v>
      </c>
      <c r="K136" s="182" t="s">
        <v>3097</v>
      </c>
      <c r="L136">
        <f>VLOOKUP(C136,'[1]SR No. party'!$A:$B,2,0)</f>
        <v>1</v>
      </c>
    </row>
    <row r="137" spans="1:12">
      <c r="A137" s="181">
        <v>46193</v>
      </c>
      <c r="B137" s="182" t="s">
        <v>3081</v>
      </c>
      <c r="C137" s="182" t="s">
        <v>258</v>
      </c>
      <c r="D137" s="182" t="s">
        <v>1181</v>
      </c>
      <c r="E137" s="182" t="s">
        <v>250</v>
      </c>
      <c r="F137" s="182" t="s">
        <v>2804</v>
      </c>
      <c r="G137" s="183">
        <v>39.590000000000003</v>
      </c>
      <c r="H137" s="183">
        <v>0</v>
      </c>
      <c r="I137" s="183">
        <v>36.343600000000002</v>
      </c>
      <c r="J137" s="183">
        <v>36.343600000000002</v>
      </c>
      <c r="K137" s="182" t="s">
        <v>3098</v>
      </c>
      <c r="L137">
        <f>VLOOKUP(C137,'[1]SR No. party'!$A:$B,2,0)</f>
        <v>1</v>
      </c>
    </row>
    <row r="138" spans="1:12" ht="22.5">
      <c r="A138" s="181">
        <v>46193</v>
      </c>
      <c r="B138" s="182" t="s">
        <v>3081</v>
      </c>
      <c r="C138" s="182" t="s">
        <v>258</v>
      </c>
      <c r="D138" s="182" t="s">
        <v>3099</v>
      </c>
      <c r="E138" s="182" t="s">
        <v>250</v>
      </c>
      <c r="F138" s="182" t="s">
        <v>2804</v>
      </c>
      <c r="G138" s="183">
        <v>40.729999999999997</v>
      </c>
      <c r="H138" s="183">
        <v>0</v>
      </c>
      <c r="I138" s="183">
        <v>37.390099999999997</v>
      </c>
      <c r="J138" s="183">
        <v>37.390099999999997</v>
      </c>
      <c r="K138" s="182" t="s">
        <v>3100</v>
      </c>
      <c r="L138">
        <f>VLOOKUP(C138,'[1]SR No. party'!$A:$B,2,0)</f>
        <v>1</v>
      </c>
    </row>
    <row r="139" spans="1:12" ht="33.75">
      <c r="A139" s="181">
        <v>46193</v>
      </c>
      <c r="B139" s="182" t="s">
        <v>3081</v>
      </c>
      <c r="C139" s="182" t="s">
        <v>258</v>
      </c>
      <c r="D139" s="182" t="s">
        <v>3101</v>
      </c>
      <c r="E139" s="182" t="s">
        <v>250</v>
      </c>
      <c r="F139" s="182" t="s">
        <v>2804</v>
      </c>
      <c r="G139" s="183">
        <v>156.19</v>
      </c>
      <c r="H139" s="183">
        <v>0</v>
      </c>
      <c r="I139" s="183">
        <v>143.38239999999999</v>
      </c>
      <c r="J139" s="183">
        <v>143.38239999999999</v>
      </c>
      <c r="K139" s="182" t="s">
        <v>3102</v>
      </c>
      <c r="L139">
        <f>VLOOKUP(C139,'[1]SR No. party'!$A:$B,2,0)</f>
        <v>1</v>
      </c>
    </row>
    <row r="140" spans="1:12">
      <c r="A140" s="181">
        <v>46193</v>
      </c>
      <c r="B140" s="182" t="s">
        <v>3081</v>
      </c>
      <c r="C140" s="182" t="s">
        <v>258</v>
      </c>
      <c r="D140" s="182" t="s">
        <v>3103</v>
      </c>
      <c r="E140" s="182" t="s">
        <v>250</v>
      </c>
      <c r="F140" s="182" t="s">
        <v>2804</v>
      </c>
      <c r="G140" s="183">
        <v>19.43</v>
      </c>
      <c r="H140" s="183">
        <v>0</v>
      </c>
      <c r="I140" s="183">
        <v>17.8367</v>
      </c>
      <c r="J140" s="183">
        <v>17.8367</v>
      </c>
      <c r="K140" s="182" t="s">
        <v>3104</v>
      </c>
      <c r="L140">
        <f>VLOOKUP(C140,'[1]SR No. party'!$A:$B,2,0)</f>
        <v>1</v>
      </c>
    </row>
    <row r="141" spans="1:12">
      <c r="A141" s="181">
        <v>46193</v>
      </c>
      <c r="B141" s="182" t="s">
        <v>3081</v>
      </c>
      <c r="C141" s="182" t="s">
        <v>258</v>
      </c>
      <c r="D141" s="182" t="s">
        <v>3105</v>
      </c>
      <c r="E141" s="182" t="s">
        <v>250</v>
      </c>
      <c r="F141" s="182" t="s">
        <v>2804</v>
      </c>
      <c r="G141" s="183">
        <v>324.54000000000002</v>
      </c>
      <c r="H141" s="183">
        <v>0</v>
      </c>
      <c r="I141" s="183">
        <v>297.92770000000002</v>
      </c>
      <c r="J141" s="183">
        <v>297.92770000000002</v>
      </c>
      <c r="K141" s="182" t="s">
        <v>3106</v>
      </c>
      <c r="L141">
        <f>VLOOKUP(C141,'[1]SR No. party'!$A:$B,2,0)</f>
        <v>1</v>
      </c>
    </row>
    <row r="142" spans="1:12" ht="22.5">
      <c r="A142" s="181">
        <v>46193</v>
      </c>
      <c r="B142" s="182" t="s">
        <v>3081</v>
      </c>
      <c r="C142" s="182" t="s">
        <v>258</v>
      </c>
      <c r="D142" s="182" t="s">
        <v>3107</v>
      </c>
      <c r="E142" s="182" t="s">
        <v>250</v>
      </c>
      <c r="F142" s="182" t="s">
        <v>2804</v>
      </c>
      <c r="G142" s="183">
        <v>204.21</v>
      </c>
      <c r="H142" s="183">
        <v>0</v>
      </c>
      <c r="I142" s="183">
        <v>187.4648</v>
      </c>
      <c r="J142" s="183">
        <v>187.4648</v>
      </c>
      <c r="K142" s="182" t="s">
        <v>2891</v>
      </c>
      <c r="L142">
        <f>VLOOKUP(C142,'[1]SR No. party'!$A:$B,2,0)</f>
        <v>1</v>
      </c>
    </row>
    <row r="143" spans="1:12">
      <c r="A143" s="181">
        <v>46193</v>
      </c>
      <c r="B143" s="182" t="s">
        <v>3081</v>
      </c>
      <c r="C143" s="182" t="s">
        <v>258</v>
      </c>
      <c r="D143" s="182" t="s">
        <v>3108</v>
      </c>
      <c r="E143" s="182" t="s">
        <v>250</v>
      </c>
      <c r="F143" s="182" t="s">
        <v>2804</v>
      </c>
      <c r="G143" s="183">
        <v>74.94</v>
      </c>
      <c r="H143" s="183">
        <v>0</v>
      </c>
      <c r="I143" s="183">
        <v>68.794899999999998</v>
      </c>
      <c r="J143" s="183">
        <v>68.794899999999998</v>
      </c>
      <c r="K143" s="182" t="s">
        <v>3109</v>
      </c>
      <c r="L143">
        <f>VLOOKUP(C143,'[1]SR No. party'!$A:$B,2,0)</f>
        <v>1</v>
      </c>
    </row>
    <row r="144" spans="1:12" ht="22.5">
      <c r="A144" s="181">
        <v>46193</v>
      </c>
      <c r="B144" s="182" t="s">
        <v>3081</v>
      </c>
      <c r="C144" s="182" t="s">
        <v>258</v>
      </c>
      <c r="D144" s="182" t="s">
        <v>2898</v>
      </c>
      <c r="E144" s="182" t="s">
        <v>250</v>
      </c>
      <c r="F144" s="182" t="s">
        <v>2804</v>
      </c>
      <c r="G144" s="183">
        <v>12.3</v>
      </c>
      <c r="H144" s="183">
        <v>0</v>
      </c>
      <c r="I144" s="183">
        <v>11.291399999999999</v>
      </c>
      <c r="J144" s="183">
        <v>11.291399999999999</v>
      </c>
      <c r="K144" s="182" t="s">
        <v>3110</v>
      </c>
      <c r="L144">
        <f>VLOOKUP(C144,'[1]SR No. party'!$A:$B,2,0)</f>
        <v>1</v>
      </c>
    </row>
    <row r="145" spans="1:12">
      <c r="A145" s="181">
        <v>46193</v>
      </c>
      <c r="B145" s="182" t="s">
        <v>3081</v>
      </c>
      <c r="C145" s="182" t="s">
        <v>258</v>
      </c>
      <c r="D145" s="182" t="s">
        <v>3111</v>
      </c>
      <c r="E145" s="182" t="s">
        <v>250</v>
      </c>
      <c r="F145" s="182" t="s">
        <v>2804</v>
      </c>
      <c r="G145" s="183">
        <v>98.56</v>
      </c>
      <c r="H145" s="183">
        <v>0</v>
      </c>
      <c r="I145" s="183">
        <v>90.478099999999998</v>
      </c>
      <c r="J145" s="183">
        <v>90.478099999999998</v>
      </c>
      <c r="K145" s="182" t="s">
        <v>3097</v>
      </c>
      <c r="L145">
        <f>VLOOKUP(C145,'[1]SR No. party'!$A:$B,2,0)</f>
        <v>1</v>
      </c>
    </row>
    <row r="146" spans="1:12" ht="22.5">
      <c r="A146" s="181">
        <v>46193</v>
      </c>
      <c r="B146" s="182" t="s">
        <v>3081</v>
      </c>
      <c r="C146" s="182" t="s">
        <v>258</v>
      </c>
      <c r="D146" s="182" t="s">
        <v>3112</v>
      </c>
      <c r="E146" s="182" t="s">
        <v>250</v>
      </c>
      <c r="F146" s="182" t="s">
        <v>2804</v>
      </c>
      <c r="G146" s="183">
        <v>99.49</v>
      </c>
      <c r="H146" s="183">
        <v>0</v>
      </c>
      <c r="I146" s="183">
        <v>91.331800000000001</v>
      </c>
      <c r="J146" s="183">
        <v>91.331800000000001</v>
      </c>
      <c r="K146" s="182" t="s">
        <v>3113</v>
      </c>
      <c r="L146">
        <f>VLOOKUP(C146,'[1]SR No. party'!$A:$B,2,0)</f>
        <v>1</v>
      </c>
    </row>
    <row r="147" spans="1:12">
      <c r="A147" s="181">
        <v>46193</v>
      </c>
      <c r="B147" s="182" t="s">
        <v>3081</v>
      </c>
      <c r="C147" s="182" t="s">
        <v>258</v>
      </c>
      <c r="D147" s="182" t="s">
        <v>3114</v>
      </c>
      <c r="E147" s="182" t="s">
        <v>250</v>
      </c>
      <c r="F147" s="182" t="s">
        <v>2804</v>
      </c>
      <c r="G147" s="183">
        <v>532.5</v>
      </c>
      <c r="H147" s="183">
        <v>0</v>
      </c>
      <c r="I147" s="183">
        <v>488.83499999999998</v>
      </c>
      <c r="J147" s="183">
        <v>488.83499999999998</v>
      </c>
      <c r="K147" s="182" t="s">
        <v>3115</v>
      </c>
      <c r="L147">
        <f>VLOOKUP(C147,'[1]SR No. party'!$A:$B,2,0)</f>
        <v>1</v>
      </c>
    </row>
    <row r="148" spans="1:12">
      <c r="A148" s="181">
        <v>46193</v>
      </c>
      <c r="B148" s="182" t="s">
        <v>3081</v>
      </c>
      <c r="C148" s="182" t="s">
        <v>258</v>
      </c>
      <c r="D148" s="182" t="s">
        <v>3116</v>
      </c>
      <c r="E148" s="182" t="s">
        <v>250</v>
      </c>
      <c r="F148" s="182" t="s">
        <v>2804</v>
      </c>
      <c r="G148" s="183">
        <v>8.5920000000000005</v>
      </c>
      <c r="H148" s="183">
        <v>0</v>
      </c>
      <c r="I148" s="183">
        <v>7.8875000000000002</v>
      </c>
      <c r="J148" s="183">
        <v>7.8875000000000002</v>
      </c>
      <c r="K148" s="182" t="s">
        <v>2864</v>
      </c>
      <c r="L148">
        <f>VLOOKUP(C148,'[1]SR No. party'!$A:$B,2,0)</f>
        <v>1</v>
      </c>
    </row>
    <row r="149" spans="1:12">
      <c r="A149" s="181">
        <v>46193</v>
      </c>
      <c r="B149" s="182" t="s">
        <v>3081</v>
      </c>
      <c r="C149" s="182" t="s">
        <v>258</v>
      </c>
      <c r="D149" s="182" t="s">
        <v>3117</v>
      </c>
      <c r="E149" s="182" t="s">
        <v>250</v>
      </c>
      <c r="F149" s="182" t="s">
        <v>2804</v>
      </c>
      <c r="G149" s="183">
        <v>151.79</v>
      </c>
      <c r="H149" s="183">
        <v>0</v>
      </c>
      <c r="I149" s="183">
        <v>139.3432</v>
      </c>
      <c r="J149" s="183">
        <v>139.3432</v>
      </c>
      <c r="K149" s="182" t="s">
        <v>3118</v>
      </c>
      <c r="L149">
        <f>VLOOKUP(C149,'[1]SR No. party'!$A:$B,2,0)</f>
        <v>1</v>
      </c>
    </row>
    <row r="150" spans="1:12">
      <c r="A150" s="181">
        <v>46193</v>
      </c>
      <c r="B150" s="182" t="s">
        <v>3081</v>
      </c>
      <c r="C150" s="182" t="s">
        <v>258</v>
      </c>
      <c r="D150" s="182" t="s">
        <v>3082</v>
      </c>
      <c r="E150" s="182" t="s">
        <v>250</v>
      </c>
      <c r="F150" s="182" t="s">
        <v>2804</v>
      </c>
      <c r="G150" s="183">
        <v>8.9640000000000004</v>
      </c>
      <c r="H150" s="183">
        <v>0</v>
      </c>
      <c r="I150" s="183">
        <v>8.2289999999999992</v>
      </c>
      <c r="J150" s="183">
        <v>8.2289999999999992</v>
      </c>
      <c r="K150" s="182" t="s">
        <v>2864</v>
      </c>
      <c r="L150">
        <f>VLOOKUP(C150,'[1]SR No. party'!$A:$B,2,0)</f>
        <v>1</v>
      </c>
    </row>
    <row r="151" spans="1:12">
      <c r="A151" s="181">
        <v>46193</v>
      </c>
      <c r="B151" s="182" t="s">
        <v>3081</v>
      </c>
      <c r="C151" s="182" t="s">
        <v>258</v>
      </c>
      <c r="D151" s="182" t="s">
        <v>3119</v>
      </c>
      <c r="E151" s="182" t="s">
        <v>250</v>
      </c>
      <c r="F151" s="182" t="s">
        <v>2804</v>
      </c>
      <c r="G151" s="183">
        <v>8.2870000000000008</v>
      </c>
      <c r="H151" s="183">
        <v>0</v>
      </c>
      <c r="I151" s="183">
        <v>7.6074999999999999</v>
      </c>
      <c r="J151" s="183">
        <v>7.6074999999999999</v>
      </c>
      <c r="K151" s="182" t="s">
        <v>2864</v>
      </c>
      <c r="L151">
        <f>VLOOKUP(C151,'[1]SR No. party'!$A:$B,2,0)</f>
        <v>1</v>
      </c>
    </row>
    <row r="152" spans="1:12" ht="22.5">
      <c r="A152" s="181">
        <v>46193</v>
      </c>
      <c r="B152" s="182" t="s">
        <v>3120</v>
      </c>
      <c r="C152" s="182" t="s">
        <v>2834</v>
      </c>
      <c r="D152" s="182" t="s">
        <v>3121</v>
      </c>
      <c r="E152" s="182" t="s">
        <v>250</v>
      </c>
      <c r="F152" s="182" t="s">
        <v>2856</v>
      </c>
      <c r="G152" s="183">
        <v>14.282999999999999</v>
      </c>
      <c r="H152" s="183">
        <v>0.7</v>
      </c>
      <c r="I152" s="183">
        <v>13.0832</v>
      </c>
      <c r="J152" s="183">
        <v>13.183199999999999</v>
      </c>
      <c r="K152" s="182" t="s">
        <v>3122</v>
      </c>
      <c r="L152" t="e">
        <f>VLOOKUP(C152,'[1]SR No. party'!$A:$B,2,0)</f>
        <v>#N/A</v>
      </c>
    </row>
    <row r="153" spans="1:12" ht="22.5">
      <c r="A153" s="181">
        <v>46193</v>
      </c>
      <c r="B153" s="182" t="s">
        <v>3120</v>
      </c>
      <c r="C153" s="182" t="s">
        <v>2834</v>
      </c>
      <c r="D153" s="182" t="s">
        <v>3123</v>
      </c>
      <c r="E153" s="182" t="s">
        <v>250</v>
      </c>
      <c r="F153" s="182" t="s">
        <v>2856</v>
      </c>
      <c r="G153" s="183">
        <v>20.841000000000001</v>
      </c>
      <c r="H153" s="183">
        <v>0.7</v>
      </c>
      <c r="I153" s="183">
        <v>19.090399999999999</v>
      </c>
      <c r="J153" s="183">
        <v>19.2362</v>
      </c>
      <c r="K153" s="182" t="s">
        <v>3122</v>
      </c>
      <c r="L153" t="e">
        <f>VLOOKUP(C153,'[1]SR No. party'!$A:$B,2,0)</f>
        <v>#N/A</v>
      </c>
    </row>
    <row r="154" spans="1:12" ht="22.5">
      <c r="A154" s="181">
        <v>46193</v>
      </c>
      <c r="B154" s="182" t="s">
        <v>3120</v>
      </c>
      <c r="C154" s="182" t="s">
        <v>2834</v>
      </c>
      <c r="D154" s="182" t="s">
        <v>3123</v>
      </c>
      <c r="E154" s="182" t="s">
        <v>250</v>
      </c>
      <c r="F154" s="182" t="s">
        <v>2856</v>
      </c>
      <c r="G154" s="183">
        <v>22.456</v>
      </c>
      <c r="H154" s="183">
        <v>0.7</v>
      </c>
      <c r="I154" s="183">
        <v>20.569700000000001</v>
      </c>
      <c r="J154" s="183">
        <v>20.726900000000001</v>
      </c>
      <c r="K154" s="182" t="s">
        <v>3122</v>
      </c>
      <c r="L154" t="e">
        <f>VLOOKUP(C154,'[1]SR No. party'!$A:$B,2,0)</f>
        <v>#N/A</v>
      </c>
    </row>
    <row r="155" spans="1:12" ht="22.5">
      <c r="A155" s="181">
        <v>46193</v>
      </c>
      <c r="B155" s="182" t="s">
        <v>3120</v>
      </c>
      <c r="C155" s="182" t="s">
        <v>2834</v>
      </c>
      <c r="D155" s="182" t="s">
        <v>3123</v>
      </c>
      <c r="E155" s="182" t="s">
        <v>250</v>
      </c>
      <c r="F155" s="182" t="s">
        <v>2856</v>
      </c>
      <c r="G155" s="183">
        <v>20.663</v>
      </c>
      <c r="H155" s="183">
        <v>0.7</v>
      </c>
      <c r="I155" s="183">
        <v>18.927299999999999</v>
      </c>
      <c r="J155" s="183">
        <v>19.071899999999999</v>
      </c>
      <c r="K155" s="182" t="s">
        <v>3122</v>
      </c>
      <c r="L155" t="e">
        <f>VLOOKUP(C155,'[1]SR No. party'!$A:$B,2,0)</f>
        <v>#N/A</v>
      </c>
    </row>
    <row r="156" spans="1:12" ht="22.5">
      <c r="A156" s="181">
        <v>46193</v>
      </c>
      <c r="B156" s="182" t="s">
        <v>3120</v>
      </c>
      <c r="C156" s="182" t="s">
        <v>2834</v>
      </c>
      <c r="D156" s="182" t="s">
        <v>3123</v>
      </c>
      <c r="E156" s="182" t="s">
        <v>250</v>
      </c>
      <c r="F156" s="182" t="s">
        <v>2856</v>
      </c>
      <c r="G156" s="183">
        <v>20.762</v>
      </c>
      <c r="H156" s="183">
        <v>0.7</v>
      </c>
      <c r="I156" s="183">
        <v>19.018000000000001</v>
      </c>
      <c r="J156" s="183">
        <v>19.1633</v>
      </c>
      <c r="K156" s="182" t="s">
        <v>3122</v>
      </c>
      <c r="L156" t="e">
        <f>VLOOKUP(C156,'[1]SR No. party'!$A:$B,2,0)</f>
        <v>#N/A</v>
      </c>
    </row>
    <row r="157" spans="1:12" ht="22.5">
      <c r="A157" s="181">
        <v>46193</v>
      </c>
      <c r="B157" s="182" t="s">
        <v>3120</v>
      </c>
      <c r="C157" s="182" t="s">
        <v>2834</v>
      </c>
      <c r="D157" s="182" t="s">
        <v>3123</v>
      </c>
      <c r="E157" s="182" t="s">
        <v>250</v>
      </c>
      <c r="F157" s="182" t="s">
        <v>2856</v>
      </c>
      <c r="G157" s="183">
        <v>20.684999999999999</v>
      </c>
      <c r="H157" s="183">
        <v>0.7</v>
      </c>
      <c r="I157" s="183">
        <v>18.947500000000002</v>
      </c>
      <c r="J157" s="183">
        <v>19.092300000000002</v>
      </c>
      <c r="K157" s="182" t="s">
        <v>3122</v>
      </c>
      <c r="L157" t="e">
        <f>VLOOKUP(C157,'[1]SR No. party'!$A:$B,2,0)</f>
        <v>#N/A</v>
      </c>
    </row>
    <row r="158" spans="1:12" ht="22.5">
      <c r="A158" s="181">
        <v>46193</v>
      </c>
      <c r="B158" s="182" t="s">
        <v>3120</v>
      </c>
      <c r="C158" s="182" t="s">
        <v>2834</v>
      </c>
      <c r="D158" s="182" t="s">
        <v>3123</v>
      </c>
      <c r="E158" s="182" t="s">
        <v>250</v>
      </c>
      <c r="F158" s="182" t="s">
        <v>2856</v>
      </c>
      <c r="G158" s="183">
        <v>20.542000000000002</v>
      </c>
      <c r="H158" s="183">
        <v>0.7</v>
      </c>
      <c r="I158" s="183">
        <v>18.816500000000001</v>
      </c>
      <c r="J158" s="183">
        <v>18.9603</v>
      </c>
      <c r="K158" s="182" t="s">
        <v>3122</v>
      </c>
      <c r="L158" t="e">
        <f>VLOOKUP(C158,'[1]SR No. party'!$A:$B,2,0)</f>
        <v>#N/A</v>
      </c>
    </row>
    <row r="159" spans="1:12" ht="22.5">
      <c r="A159" s="181">
        <v>46193</v>
      </c>
      <c r="B159" s="182" t="s">
        <v>3120</v>
      </c>
      <c r="C159" s="182" t="s">
        <v>2834</v>
      </c>
      <c r="D159" s="182" t="s">
        <v>3123</v>
      </c>
      <c r="E159" s="182" t="s">
        <v>250</v>
      </c>
      <c r="F159" s="182" t="s">
        <v>2856</v>
      </c>
      <c r="G159" s="183">
        <v>20.791</v>
      </c>
      <c r="H159" s="183">
        <v>0.7</v>
      </c>
      <c r="I159" s="183">
        <v>19.044599999999999</v>
      </c>
      <c r="J159" s="183">
        <v>19.190100000000001</v>
      </c>
      <c r="K159" s="182" t="s">
        <v>3122</v>
      </c>
      <c r="L159" t="e">
        <f>VLOOKUP(C159,'[1]SR No. party'!$A:$B,2,0)</f>
        <v>#N/A</v>
      </c>
    </row>
    <row r="160" spans="1:12" ht="22.5">
      <c r="A160" s="181">
        <v>46193</v>
      </c>
      <c r="B160" s="182" t="s">
        <v>3120</v>
      </c>
      <c r="C160" s="182" t="s">
        <v>2834</v>
      </c>
      <c r="D160" s="182" t="s">
        <v>3123</v>
      </c>
      <c r="E160" s="182" t="s">
        <v>250</v>
      </c>
      <c r="F160" s="182" t="s">
        <v>2856</v>
      </c>
      <c r="G160" s="183">
        <v>20.710999999999999</v>
      </c>
      <c r="H160" s="183">
        <v>0.7</v>
      </c>
      <c r="I160" s="183">
        <v>18.971299999999999</v>
      </c>
      <c r="J160" s="183">
        <v>19.116299999999999</v>
      </c>
      <c r="K160" s="182" t="s">
        <v>3122</v>
      </c>
      <c r="L160" t="e">
        <f>VLOOKUP(C160,'[1]SR No. party'!$A:$B,2,0)</f>
        <v>#N/A</v>
      </c>
    </row>
    <row r="161" spans="1:12" ht="22.5">
      <c r="A161" s="181">
        <v>46193</v>
      </c>
      <c r="B161" s="182" t="s">
        <v>3120</v>
      </c>
      <c r="C161" s="182" t="s">
        <v>2834</v>
      </c>
      <c r="D161" s="182" t="s">
        <v>2874</v>
      </c>
      <c r="E161" s="182" t="s">
        <v>250</v>
      </c>
      <c r="F161" s="182" t="s">
        <v>2856</v>
      </c>
      <c r="G161" s="183">
        <v>30.029</v>
      </c>
      <c r="H161" s="183">
        <v>0.7</v>
      </c>
      <c r="I161" s="183">
        <v>27.506599999999999</v>
      </c>
      <c r="J161" s="183">
        <v>27.716799999999999</v>
      </c>
      <c r="K161" s="182" t="s">
        <v>3122</v>
      </c>
      <c r="L161" t="e">
        <f>VLOOKUP(C161,'[1]SR No. party'!$A:$B,2,0)</f>
        <v>#N/A</v>
      </c>
    </row>
    <row r="162" spans="1:12" ht="22.5">
      <c r="A162" s="181">
        <v>46193</v>
      </c>
      <c r="B162" s="182" t="s">
        <v>3120</v>
      </c>
      <c r="C162" s="182" t="s">
        <v>2834</v>
      </c>
      <c r="D162" s="182" t="s">
        <v>3121</v>
      </c>
      <c r="E162" s="182" t="s">
        <v>250</v>
      </c>
      <c r="F162" s="182" t="s">
        <v>2856</v>
      </c>
      <c r="G162" s="183">
        <v>14.211</v>
      </c>
      <c r="H162" s="183">
        <v>0.7</v>
      </c>
      <c r="I162" s="183">
        <v>13.017300000000001</v>
      </c>
      <c r="J162" s="183">
        <v>13.1168</v>
      </c>
      <c r="K162" s="182" t="s">
        <v>3122</v>
      </c>
      <c r="L162" t="e">
        <f>VLOOKUP(C162,'[1]SR No. party'!$A:$B,2,0)</f>
        <v>#N/A</v>
      </c>
    </row>
    <row r="163" spans="1:12" ht="22.5">
      <c r="A163" s="181">
        <v>46193</v>
      </c>
      <c r="B163" s="182" t="s">
        <v>3120</v>
      </c>
      <c r="C163" s="182" t="s">
        <v>2834</v>
      </c>
      <c r="D163" s="182" t="s">
        <v>2874</v>
      </c>
      <c r="E163" s="182" t="s">
        <v>250</v>
      </c>
      <c r="F163" s="182" t="s">
        <v>2856</v>
      </c>
      <c r="G163" s="183">
        <v>29.923999999999999</v>
      </c>
      <c r="H163" s="183">
        <v>0.7</v>
      </c>
      <c r="I163" s="183">
        <v>27.410399999999999</v>
      </c>
      <c r="J163" s="183">
        <v>27.619900000000001</v>
      </c>
      <c r="K163" s="182" t="s">
        <v>3122</v>
      </c>
      <c r="L163" t="e">
        <f>VLOOKUP(C163,'[1]SR No. party'!$A:$B,2,0)</f>
        <v>#N/A</v>
      </c>
    </row>
    <row r="164" spans="1:12" ht="22.5">
      <c r="A164" s="181">
        <v>46193</v>
      </c>
      <c r="B164" s="182" t="s">
        <v>3120</v>
      </c>
      <c r="C164" s="182" t="s">
        <v>2834</v>
      </c>
      <c r="D164" s="182" t="s">
        <v>2874</v>
      </c>
      <c r="E164" s="182" t="s">
        <v>250</v>
      </c>
      <c r="F164" s="182" t="s">
        <v>2856</v>
      </c>
      <c r="G164" s="183">
        <v>30.042000000000002</v>
      </c>
      <c r="H164" s="183">
        <v>0.7</v>
      </c>
      <c r="I164" s="183">
        <v>27.5185</v>
      </c>
      <c r="J164" s="183">
        <v>27.7288</v>
      </c>
      <c r="K164" s="182" t="s">
        <v>3122</v>
      </c>
      <c r="L164" t="e">
        <f>VLOOKUP(C164,'[1]SR No. party'!$A:$B,2,0)</f>
        <v>#N/A</v>
      </c>
    </row>
    <row r="165" spans="1:12" ht="22.5">
      <c r="A165" s="181">
        <v>46193</v>
      </c>
      <c r="B165" s="182" t="s">
        <v>3120</v>
      </c>
      <c r="C165" s="182" t="s">
        <v>2834</v>
      </c>
      <c r="D165" s="182" t="s">
        <v>3121</v>
      </c>
      <c r="E165" s="182" t="s">
        <v>250</v>
      </c>
      <c r="F165" s="182" t="s">
        <v>2856</v>
      </c>
      <c r="G165" s="183">
        <v>14.244999999999999</v>
      </c>
      <c r="H165" s="183">
        <v>0.7</v>
      </c>
      <c r="I165" s="183">
        <v>13.048400000000001</v>
      </c>
      <c r="J165" s="183">
        <v>13.148099999999999</v>
      </c>
      <c r="K165" s="182" t="s">
        <v>3122</v>
      </c>
      <c r="L165" t="e">
        <f>VLOOKUP(C165,'[1]SR No. party'!$A:$B,2,0)</f>
        <v>#N/A</v>
      </c>
    </row>
    <row r="166" spans="1:12" ht="22.5">
      <c r="A166" s="181">
        <v>46193</v>
      </c>
      <c r="B166" s="182" t="s">
        <v>3120</v>
      </c>
      <c r="C166" s="182" t="s">
        <v>2834</v>
      </c>
      <c r="D166" s="182" t="s">
        <v>2874</v>
      </c>
      <c r="E166" s="182" t="s">
        <v>250</v>
      </c>
      <c r="F166" s="182" t="s">
        <v>2856</v>
      </c>
      <c r="G166" s="183">
        <v>29.992000000000001</v>
      </c>
      <c r="H166" s="183">
        <v>0.7</v>
      </c>
      <c r="I166" s="183">
        <v>27.4727</v>
      </c>
      <c r="J166" s="183">
        <v>27.682600000000001</v>
      </c>
      <c r="K166" s="182" t="s">
        <v>3122</v>
      </c>
      <c r="L166" t="e">
        <f>VLOOKUP(C166,'[1]SR No. party'!$A:$B,2,0)</f>
        <v>#N/A</v>
      </c>
    </row>
    <row r="167" spans="1:12" ht="22.5">
      <c r="A167" s="181">
        <v>46193</v>
      </c>
      <c r="B167" s="182" t="s">
        <v>3120</v>
      </c>
      <c r="C167" s="182" t="s">
        <v>2834</v>
      </c>
      <c r="D167" s="182" t="s">
        <v>3121</v>
      </c>
      <c r="E167" s="182" t="s">
        <v>250</v>
      </c>
      <c r="F167" s="182" t="s">
        <v>2856</v>
      </c>
      <c r="G167" s="183">
        <v>14.022</v>
      </c>
      <c r="H167" s="183">
        <v>0.7</v>
      </c>
      <c r="I167" s="183">
        <v>12.844200000000001</v>
      </c>
      <c r="J167" s="183">
        <v>12.942299999999999</v>
      </c>
      <c r="K167" s="182" t="s">
        <v>3122</v>
      </c>
      <c r="L167" t="e">
        <f>VLOOKUP(C167,'[1]SR No. party'!$A:$B,2,0)</f>
        <v>#N/A</v>
      </c>
    </row>
    <row r="168" spans="1:12" ht="22.5">
      <c r="A168" s="181">
        <v>46193</v>
      </c>
      <c r="B168" s="182" t="s">
        <v>3120</v>
      </c>
      <c r="C168" s="182" t="s">
        <v>2834</v>
      </c>
      <c r="D168" s="182" t="s">
        <v>3121</v>
      </c>
      <c r="E168" s="182" t="s">
        <v>250</v>
      </c>
      <c r="F168" s="182" t="s">
        <v>2856</v>
      </c>
      <c r="G168" s="183">
        <v>14.252000000000001</v>
      </c>
      <c r="H168" s="183">
        <v>0.7</v>
      </c>
      <c r="I168" s="183">
        <v>13.0548</v>
      </c>
      <c r="J168" s="183">
        <v>13.1546</v>
      </c>
      <c r="K168" s="182" t="s">
        <v>3122</v>
      </c>
      <c r="L168" t="e">
        <f>VLOOKUP(C168,'[1]SR No. party'!$A:$B,2,0)</f>
        <v>#N/A</v>
      </c>
    </row>
    <row r="169" spans="1:12" ht="22.5">
      <c r="A169" s="181">
        <v>46193</v>
      </c>
      <c r="B169" s="182" t="s">
        <v>3120</v>
      </c>
      <c r="C169" s="182" t="s">
        <v>2834</v>
      </c>
      <c r="D169" s="182" t="s">
        <v>2874</v>
      </c>
      <c r="E169" s="182" t="s">
        <v>250</v>
      </c>
      <c r="F169" s="182" t="s">
        <v>2856</v>
      </c>
      <c r="G169" s="183">
        <v>29.901</v>
      </c>
      <c r="H169" s="183">
        <v>0.7</v>
      </c>
      <c r="I169" s="183">
        <v>27.389299999999999</v>
      </c>
      <c r="J169" s="183">
        <v>27.598600000000001</v>
      </c>
      <c r="K169" s="182" t="s">
        <v>3122</v>
      </c>
      <c r="L169" t="e">
        <f>VLOOKUP(C169,'[1]SR No. party'!$A:$B,2,0)</f>
        <v>#N/A</v>
      </c>
    </row>
    <row r="170" spans="1:12" ht="22.5">
      <c r="A170" s="181">
        <v>46193</v>
      </c>
      <c r="B170" s="182" t="s">
        <v>3120</v>
      </c>
      <c r="C170" s="182" t="s">
        <v>2834</v>
      </c>
      <c r="D170" s="182" t="s">
        <v>3121</v>
      </c>
      <c r="E170" s="182" t="s">
        <v>250</v>
      </c>
      <c r="F170" s="182" t="s">
        <v>2856</v>
      </c>
      <c r="G170" s="183">
        <v>14.317</v>
      </c>
      <c r="H170" s="183">
        <v>0.7</v>
      </c>
      <c r="I170" s="183">
        <v>13.1144</v>
      </c>
      <c r="J170" s="183">
        <v>13.214600000000001</v>
      </c>
      <c r="K170" s="182" t="s">
        <v>3122</v>
      </c>
      <c r="L170" t="e">
        <f>VLOOKUP(C170,'[1]SR No. party'!$A:$B,2,0)</f>
        <v>#N/A</v>
      </c>
    </row>
    <row r="171" spans="1:12" ht="22.5">
      <c r="A171" s="181">
        <v>46193</v>
      </c>
      <c r="B171" s="182" t="s">
        <v>3120</v>
      </c>
      <c r="C171" s="182" t="s">
        <v>2834</v>
      </c>
      <c r="D171" s="182" t="s">
        <v>3121</v>
      </c>
      <c r="E171" s="182" t="s">
        <v>250</v>
      </c>
      <c r="F171" s="182" t="s">
        <v>2856</v>
      </c>
      <c r="G171" s="183">
        <v>14.199</v>
      </c>
      <c r="H171" s="183">
        <v>0.7</v>
      </c>
      <c r="I171" s="183">
        <v>13.0063</v>
      </c>
      <c r="J171" s="183">
        <v>13.105700000000001</v>
      </c>
      <c r="K171" s="182" t="s">
        <v>3122</v>
      </c>
      <c r="L171" t="e">
        <f>VLOOKUP(C171,'[1]SR No. party'!$A:$B,2,0)</f>
        <v>#N/A</v>
      </c>
    </row>
    <row r="172" spans="1:12" ht="22.5">
      <c r="A172" s="181">
        <v>46193</v>
      </c>
      <c r="B172" s="182" t="s">
        <v>3120</v>
      </c>
      <c r="C172" s="182" t="s">
        <v>2834</v>
      </c>
      <c r="D172" s="182" t="s">
        <v>3121</v>
      </c>
      <c r="E172" s="182" t="s">
        <v>250</v>
      </c>
      <c r="F172" s="182" t="s">
        <v>2856</v>
      </c>
      <c r="G172" s="183">
        <v>11.855</v>
      </c>
      <c r="H172" s="183">
        <v>0.7</v>
      </c>
      <c r="I172" s="183">
        <v>10.8592</v>
      </c>
      <c r="J172" s="183">
        <v>10.9422</v>
      </c>
      <c r="K172" s="182" t="s">
        <v>3122</v>
      </c>
      <c r="L172" t="e">
        <f>VLOOKUP(C172,'[1]SR No. party'!$A:$B,2,0)</f>
        <v>#N/A</v>
      </c>
    </row>
    <row r="173" spans="1:12" ht="22.5">
      <c r="A173" s="181">
        <v>46193</v>
      </c>
      <c r="B173" s="182" t="s">
        <v>3120</v>
      </c>
      <c r="C173" s="182" t="s">
        <v>2834</v>
      </c>
      <c r="D173" s="182" t="s">
        <v>3121</v>
      </c>
      <c r="E173" s="182" t="s">
        <v>250</v>
      </c>
      <c r="F173" s="182" t="s">
        <v>2856</v>
      </c>
      <c r="G173" s="183">
        <v>14.214</v>
      </c>
      <c r="H173" s="183">
        <v>0.7</v>
      </c>
      <c r="I173" s="183">
        <v>13.02</v>
      </c>
      <c r="J173" s="183">
        <v>13.1195</v>
      </c>
      <c r="K173" s="182" t="s">
        <v>3122</v>
      </c>
      <c r="L173" t="e">
        <f>VLOOKUP(C173,'[1]SR No. party'!$A:$B,2,0)</f>
        <v>#N/A</v>
      </c>
    </row>
    <row r="174" spans="1:12" ht="22.5">
      <c r="A174" s="181">
        <v>46193</v>
      </c>
      <c r="B174" s="182" t="s">
        <v>3120</v>
      </c>
      <c r="C174" s="182" t="s">
        <v>2834</v>
      </c>
      <c r="D174" s="182" t="s">
        <v>3121</v>
      </c>
      <c r="E174" s="182" t="s">
        <v>250</v>
      </c>
      <c r="F174" s="182" t="s">
        <v>2856</v>
      </c>
      <c r="G174" s="183">
        <v>14.151</v>
      </c>
      <c r="H174" s="183">
        <v>0.7</v>
      </c>
      <c r="I174" s="183">
        <v>12.962300000000001</v>
      </c>
      <c r="J174" s="183">
        <v>13.061400000000001</v>
      </c>
      <c r="K174" s="182" t="s">
        <v>3122</v>
      </c>
      <c r="L174" t="e">
        <f>VLOOKUP(C174,'[1]SR No. party'!$A:$B,2,0)</f>
        <v>#N/A</v>
      </c>
    </row>
    <row r="175" spans="1:12" ht="22.5">
      <c r="A175" s="181">
        <v>46193</v>
      </c>
      <c r="B175" s="182" t="s">
        <v>3120</v>
      </c>
      <c r="C175" s="182" t="s">
        <v>2834</v>
      </c>
      <c r="D175" s="182" t="s">
        <v>2874</v>
      </c>
      <c r="E175" s="182" t="s">
        <v>250</v>
      </c>
      <c r="F175" s="182" t="s">
        <v>2856</v>
      </c>
      <c r="G175" s="183">
        <v>30.181999999999999</v>
      </c>
      <c r="H175" s="183">
        <v>0.7</v>
      </c>
      <c r="I175" s="183">
        <v>27.646699999999999</v>
      </c>
      <c r="J175" s="183">
        <v>27.858000000000001</v>
      </c>
      <c r="K175" s="182" t="s">
        <v>3122</v>
      </c>
      <c r="L175" t="e">
        <f>VLOOKUP(C175,'[1]SR No. party'!$A:$B,2,0)</f>
        <v>#N/A</v>
      </c>
    </row>
    <row r="176" spans="1:12" ht="22.5">
      <c r="A176" s="181">
        <v>46193</v>
      </c>
      <c r="B176" s="182" t="s">
        <v>3120</v>
      </c>
      <c r="C176" s="182" t="s">
        <v>2834</v>
      </c>
      <c r="D176" s="182" t="s">
        <v>2874</v>
      </c>
      <c r="E176" s="182" t="s">
        <v>250</v>
      </c>
      <c r="F176" s="182" t="s">
        <v>2856</v>
      </c>
      <c r="G176" s="183">
        <v>30.021000000000001</v>
      </c>
      <c r="H176" s="183">
        <v>0.7</v>
      </c>
      <c r="I176" s="183">
        <v>27.499199999999998</v>
      </c>
      <c r="J176" s="183">
        <v>27.709399999999999</v>
      </c>
      <c r="K176" s="182" t="s">
        <v>3122</v>
      </c>
      <c r="L176" t="e">
        <f>VLOOKUP(C176,'[1]SR No. party'!$A:$B,2,0)</f>
        <v>#N/A</v>
      </c>
    </row>
    <row r="177" spans="1:12" ht="22.5">
      <c r="A177" s="181">
        <v>46193</v>
      </c>
      <c r="B177" s="182" t="s">
        <v>3120</v>
      </c>
      <c r="C177" s="182" t="s">
        <v>2834</v>
      </c>
      <c r="D177" s="182" t="s">
        <v>2874</v>
      </c>
      <c r="E177" s="182" t="s">
        <v>250</v>
      </c>
      <c r="F177" s="182" t="s">
        <v>2856</v>
      </c>
      <c r="G177" s="183">
        <v>30.081</v>
      </c>
      <c r="H177" s="183">
        <v>0.7</v>
      </c>
      <c r="I177" s="183">
        <v>27.554200000000002</v>
      </c>
      <c r="J177" s="183">
        <v>27.764800000000001</v>
      </c>
      <c r="K177" s="182" t="s">
        <v>3122</v>
      </c>
      <c r="L177" t="e">
        <f>VLOOKUP(C177,'[1]SR No. party'!$A:$B,2,0)</f>
        <v>#N/A</v>
      </c>
    </row>
    <row r="178" spans="1:12" ht="22.5">
      <c r="A178" s="181">
        <v>46193</v>
      </c>
      <c r="B178" s="182" t="s">
        <v>3120</v>
      </c>
      <c r="C178" s="182" t="s">
        <v>2834</v>
      </c>
      <c r="D178" s="182" t="s">
        <v>2874</v>
      </c>
      <c r="E178" s="182" t="s">
        <v>250</v>
      </c>
      <c r="F178" s="182" t="s">
        <v>2856</v>
      </c>
      <c r="G178" s="183">
        <v>30.122</v>
      </c>
      <c r="H178" s="183">
        <v>0.7</v>
      </c>
      <c r="I178" s="183">
        <v>27.591799999999999</v>
      </c>
      <c r="J178" s="183">
        <v>27.802600000000002</v>
      </c>
      <c r="K178" s="182" t="s">
        <v>3122</v>
      </c>
      <c r="L178" t="e">
        <f>VLOOKUP(C178,'[1]SR No. party'!$A:$B,2,0)</f>
        <v>#N/A</v>
      </c>
    </row>
    <row r="179" spans="1:12" ht="22.5">
      <c r="A179" s="181">
        <v>46193</v>
      </c>
      <c r="B179" s="182" t="s">
        <v>3120</v>
      </c>
      <c r="C179" s="182" t="s">
        <v>2834</v>
      </c>
      <c r="D179" s="182" t="s">
        <v>2874</v>
      </c>
      <c r="E179" s="182" t="s">
        <v>250</v>
      </c>
      <c r="F179" s="182" t="s">
        <v>2856</v>
      </c>
      <c r="G179" s="183">
        <v>30.027000000000001</v>
      </c>
      <c r="H179" s="183">
        <v>0.7</v>
      </c>
      <c r="I179" s="183">
        <v>27.5047</v>
      </c>
      <c r="J179" s="183">
        <v>27.7149</v>
      </c>
      <c r="K179" s="182" t="s">
        <v>3122</v>
      </c>
      <c r="L179" t="e">
        <f>VLOOKUP(C179,'[1]SR No. party'!$A:$B,2,0)</f>
        <v>#N/A</v>
      </c>
    </row>
    <row r="180" spans="1:12" ht="22.5">
      <c r="A180" s="181">
        <v>46193</v>
      </c>
      <c r="B180" s="182" t="s">
        <v>3120</v>
      </c>
      <c r="C180" s="182" t="s">
        <v>2834</v>
      </c>
      <c r="D180" s="182" t="s">
        <v>3121</v>
      </c>
      <c r="E180" s="182" t="s">
        <v>250</v>
      </c>
      <c r="F180" s="182" t="s">
        <v>2856</v>
      </c>
      <c r="G180" s="183">
        <v>14.266999999999999</v>
      </c>
      <c r="H180" s="183">
        <v>0.7</v>
      </c>
      <c r="I180" s="183">
        <v>13.0686</v>
      </c>
      <c r="J180" s="183">
        <v>13.1684</v>
      </c>
      <c r="K180" s="182" t="s">
        <v>3122</v>
      </c>
      <c r="L180" t="e">
        <f>VLOOKUP(C180,'[1]SR No. party'!$A:$B,2,0)</f>
        <v>#N/A</v>
      </c>
    </row>
    <row r="181" spans="1:12" ht="22.5">
      <c r="A181" s="181">
        <v>46193</v>
      </c>
      <c r="B181" s="182" t="s">
        <v>3120</v>
      </c>
      <c r="C181" s="182" t="s">
        <v>2834</v>
      </c>
      <c r="D181" s="182" t="s">
        <v>3121</v>
      </c>
      <c r="E181" s="182" t="s">
        <v>250</v>
      </c>
      <c r="F181" s="182" t="s">
        <v>2856</v>
      </c>
      <c r="G181" s="183">
        <v>14.288</v>
      </c>
      <c r="H181" s="183">
        <v>0.7</v>
      </c>
      <c r="I181" s="183">
        <v>13.0878</v>
      </c>
      <c r="J181" s="183">
        <v>13.187799999999999</v>
      </c>
      <c r="K181" s="182" t="s">
        <v>3122</v>
      </c>
      <c r="L181" t="e">
        <f>VLOOKUP(C181,'[1]SR No. party'!$A:$B,2,0)</f>
        <v>#N/A</v>
      </c>
    </row>
    <row r="182" spans="1:12" ht="22.5">
      <c r="A182" s="181">
        <v>46193</v>
      </c>
      <c r="B182" s="182" t="s">
        <v>3120</v>
      </c>
      <c r="C182" s="182" t="s">
        <v>2834</v>
      </c>
      <c r="D182" s="182" t="s">
        <v>2874</v>
      </c>
      <c r="E182" s="182" t="s">
        <v>250</v>
      </c>
      <c r="F182" s="182" t="s">
        <v>2856</v>
      </c>
      <c r="G182" s="183">
        <v>30.138000000000002</v>
      </c>
      <c r="H182" s="183">
        <v>0.7</v>
      </c>
      <c r="I182" s="183">
        <v>27.606400000000001</v>
      </c>
      <c r="J182" s="183">
        <v>27.817399999999999</v>
      </c>
      <c r="K182" s="182" t="s">
        <v>3122</v>
      </c>
      <c r="L182" t="e">
        <f>VLOOKUP(C182,'[1]SR No. party'!$A:$B,2,0)</f>
        <v>#N/A</v>
      </c>
    </row>
    <row r="183" spans="1:12" ht="22.5">
      <c r="A183" s="181">
        <v>46193</v>
      </c>
      <c r="B183" s="182" t="s">
        <v>3120</v>
      </c>
      <c r="C183" s="182" t="s">
        <v>2834</v>
      </c>
      <c r="D183" s="182" t="s">
        <v>3121</v>
      </c>
      <c r="E183" s="182" t="s">
        <v>250</v>
      </c>
      <c r="F183" s="182" t="s">
        <v>2856</v>
      </c>
      <c r="G183" s="183">
        <v>14.198</v>
      </c>
      <c r="H183" s="183">
        <v>0.7</v>
      </c>
      <c r="I183" s="183">
        <v>13.0054</v>
      </c>
      <c r="J183" s="183">
        <v>13.104799999999999</v>
      </c>
      <c r="K183" s="182" t="s">
        <v>3122</v>
      </c>
      <c r="L183" t="e">
        <f>VLOOKUP(C183,'[1]SR No. party'!$A:$B,2,0)</f>
        <v>#N/A</v>
      </c>
    </row>
    <row r="184" spans="1:12" ht="22.5">
      <c r="A184" s="181">
        <v>46193</v>
      </c>
      <c r="B184" s="182" t="s">
        <v>3120</v>
      </c>
      <c r="C184" s="182" t="s">
        <v>2834</v>
      </c>
      <c r="D184" s="182" t="s">
        <v>2874</v>
      </c>
      <c r="E184" s="182" t="s">
        <v>250</v>
      </c>
      <c r="F184" s="182" t="s">
        <v>2856</v>
      </c>
      <c r="G184" s="183">
        <v>30.088000000000001</v>
      </c>
      <c r="H184" s="183">
        <v>0.7</v>
      </c>
      <c r="I184" s="183">
        <v>27.560600000000001</v>
      </c>
      <c r="J184" s="183">
        <v>27.7712</v>
      </c>
      <c r="K184" s="182" t="s">
        <v>3122</v>
      </c>
      <c r="L184" t="e">
        <f>VLOOKUP(C184,'[1]SR No. party'!$A:$B,2,0)</f>
        <v>#N/A</v>
      </c>
    </row>
    <row r="185" spans="1:12" ht="22.5">
      <c r="A185" s="181">
        <v>46193</v>
      </c>
      <c r="B185" s="182" t="s">
        <v>3120</v>
      </c>
      <c r="C185" s="182" t="s">
        <v>2834</v>
      </c>
      <c r="D185" s="182" t="s">
        <v>3121</v>
      </c>
      <c r="E185" s="182" t="s">
        <v>250</v>
      </c>
      <c r="F185" s="182" t="s">
        <v>2856</v>
      </c>
      <c r="G185" s="183">
        <v>14.311</v>
      </c>
      <c r="H185" s="183">
        <v>0.7</v>
      </c>
      <c r="I185" s="183">
        <v>13.1089</v>
      </c>
      <c r="J185" s="183">
        <v>13.209099999999999</v>
      </c>
      <c r="K185" s="182" t="s">
        <v>3122</v>
      </c>
      <c r="L185" t="e">
        <f>VLOOKUP(C185,'[1]SR No. party'!$A:$B,2,0)</f>
        <v>#N/A</v>
      </c>
    </row>
    <row r="186" spans="1:12" ht="22.5">
      <c r="A186" s="181">
        <v>46193</v>
      </c>
      <c r="B186" s="182" t="s">
        <v>3120</v>
      </c>
      <c r="C186" s="182" t="s">
        <v>2834</v>
      </c>
      <c r="D186" s="182" t="s">
        <v>3121</v>
      </c>
      <c r="E186" s="182" t="s">
        <v>250</v>
      </c>
      <c r="F186" s="182" t="s">
        <v>2856</v>
      </c>
      <c r="G186" s="183">
        <v>16.744</v>
      </c>
      <c r="H186" s="183">
        <v>0.7</v>
      </c>
      <c r="I186" s="183">
        <v>15.3375</v>
      </c>
      <c r="J186" s="183">
        <v>15.454700000000001</v>
      </c>
      <c r="K186" s="182" t="s">
        <v>3122</v>
      </c>
      <c r="L186" t="e">
        <f>VLOOKUP(C186,'[1]SR No. party'!$A:$B,2,0)</f>
        <v>#N/A</v>
      </c>
    </row>
    <row r="187" spans="1:12" ht="22.5">
      <c r="A187" s="181">
        <v>46193</v>
      </c>
      <c r="B187" s="182" t="s">
        <v>3120</v>
      </c>
      <c r="C187" s="182" t="s">
        <v>2834</v>
      </c>
      <c r="D187" s="182" t="s">
        <v>3121</v>
      </c>
      <c r="E187" s="182" t="s">
        <v>250</v>
      </c>
      <c r="F187" s="182" t="s">
        <v>2856</v>
      </c>
      <c r="G187" s="183">
        <v>14.273999999999999</v>
      </c>
      <c r="H187" s="183">
        <v>0.7</v>
      </c>
      <c r="I187" s="183">
        <v>13.074999999999999</v>
      </c>
      <c r="J187" s="183">
        <v>13.174899999999999</v>
      </c>
      <c r="K187" s="182" t="s">
        <v>3122</v>
      </c>
      <c r="L187" t="e">
        <f>VLOOKUP(C187,'[1]SR No. party'!$A:$B,2,0)</f>
        <v>#N/A</v>
      </c>
    </row>
    <row r="188" spans="1:12" ht="22.5">
      <c r="A188" s="181">
        <v>46193</v>
      </c>
      <c r="B188" s="182" t="s">
        <v>3120</v>
      </c>
      <c r="C188" s="182" t="s">
        <v>2834</v>
      </c>
      <c r="D188" s="182" t="s">
        <v>3121</v>
      </c>
      <c r="E188" s="182" t="s">
        <v>250</v>
      </c>
      <c r="F188" s="182" t="s">
        <v>2856</v>
      </c>
      <c r="G188" s="183">
        <v>14.318</v>
      </c>
      <c r="H188" s="183">
        <v>0.7</v>
      </c>
      <c r="I188" s="183">
        <v>13.1153</v>
      </c>
      <c r="J188" s="183">
        <v>13.2155</v>
      </c>
      <c r="K188" s="182" t="s">
        <v>3122</v>
      </c>
      <c r="L188" t="e">
        <f>VLOOKUP(C188,'[1]SR No. party'!$A:$B,2,0)</f>
        <v>#N/A</v>
      </c>
    </row>
    <row r="189" spans="1:12" ht="22.5">
      <c r="A189" s="181">
        <v>46193</v>
      </c>
      <c r="B189" s="182" t="s">
        <v>3120</v>
      </c>
      <c r="C189" s="182" t="s">
        <v>2834</v>
      </c>
      <c r="D189" s="182" t="s">
        <v>3121</v>
      </c>
      <c r="E189" s="182" t="s">
        <v>250</v>
      </c>
      <c r="F189" s="182" t="s">
        <v>2856</v>
      </c>
      <c r="G189" s="183">
        <v>14.064</v>
      </c>
      <c r="H189" s="183">
        <v>0.7</v>
      </c>
      <c r="I189" s="183">
        <v>12.8826</v>
      </c>
      <c r="J189" s="183">
        <v>12.9811</v>
      </c>
      <c r="K189" s="182" t="s">
        <v>3122</v>
      </c>
      <c r="L189" t="e">
        <f>VLOOKUP(C189,'[1]SR No. party'!$A:$B,2,0)</f>
        <v>#N/A</v>
      </c>
    </row>
    <row r="190" spans="1:12" ht="22.5">
      <c r="A190" s="181">
        <v>46193</v>
      </c>
      <c r="B190" s="182" t="s">
        <v>3120</v>
      </c>
      <c r="C190" s="182" t="s">
        <v>2834</v>
      </c>
      <c r="D190" s="182" t="s">
        <v>3121</v>
      </c>
      <c r="E190" s="182" t="s">
        <v>250</v>
      </c>
      <c r="F190" s="182" t="s">
        <v>2856</v>
      </c>
      <c r="G190" s="183">
        <v>13.912000000000001</v>
      </c>
      <c r="H190" s="183">
        <v>0.7</v>
      </c>
      <c r="I190" s="183">
        <v>12.743399999999999</v>
      </c>
      <c r="J190" s="183">
        <v>12.8408</v>
      </c>
      <c r="K190" s="182" t="s">
        <v>3122</v>
      </c>
      <c r="L190" t="e">
        <f>VLOOKUP(C190,'[1]SR No. party'!$A:$B,2,0)</f>
        <v>#N/A</v>
      </c>
    </row>
    <row r="191" spans="1:12" ht="22.5">
      <c r="A191" s="181">
        <v>46193</v>
      </c>
      <c r="B191" s="182" t="s">
        <v>3120</v>
      </c>
      <c r="C191" s="182" t="s">
        <v>2834</v>
      </c>
      <c r="D191" s="182" t="s">
        <v>3123</v>
      </c>
      <c r="E191" s="182" t="s">
        <v>250</v>
      </c>
      <c r="F191" s="182" t="s">
        <v>2856</v>
      </c>
      <c r="G191" s="183">
        <v>22.558</v>
      </c>
      <c r="H191" s="183">
        <v>0.7</v>
      </c>
      <c r="I191" s="183">
        <v>20.6631</v>
      </c>
      <c r="J191" s="183">
        <v>20.821000000000002</v>
      </c>
      <c r="K191" s="182" t="s">
        <v>3122</v>
      </c>
      <c r="L191" t="e">
        <f>VLOOKUP(C191,'[1]SR No. party'!$A:$B,2,0)</f>
        <v>#N/A</v>
      </c>
    </row>
    <row r="192" spans="1:12" ht="22.5">
      <c r="A192" s="181">
        <v>46193</v>
      </c>
      <c r="B192" s="182" t="s">
        <v>3120</v>
      </c>
      <c r="C192" s="182" t="s">
        <v>2834</v>
      </c>
      <c r="D192" s="182" t="s">
        <v>2874</v>
      </c>
      <c r="E192" s="182" t="s">
        <v>250</v>
      </c>
      <c r="F192" s="182" t="s">
        <v>2856</v>
      </c>
      <c r="G192" s="183">
        <v>30.018999999999998</v>
      </c>
      <c r="H192" s="183">
        <v>0.7</v>
      </c>
      <c r="I192" s="183">
        <v>27.497399999999999</v>
      </c>
      <c r="J192" s="183">
        <v>27.7075</v>
      </c>
      <c r="K192" s="182" t="s">
        <v>3122</v>
      </c>
      <c r="L192" t="e">
        <f>VLOOKUP(C192,'[1]SR No. party'!$A:$B,2,0)</f>
        <v>#N/A</v>
      </c>
    </row>
    <row r="193" spans="1:12" ht="22.5">
      <c r="A193" s="181">
        <v>46193</v>
      </c>
      <c r="B193" s="182" t="s">
        <v>3120</v>
      </c>
      <c r="C193" s="182" t="s">
        <v>2834</v>
      </c>
      <c r="D193" s="182" t="s">
        <v>3121</v>
      </c>
      <c r="E193" s="182" t="s">
        <v>250</v>
      </c>
      <c r="F193" s="182" t="s">
        <v>2856</v>
      </c>
      <c r="G193" s="183">
        <v>14.221</v>
      </c>
      <c r="H193" s="183">
        <v>0.7</v>
      </c>
      <c r="I193" s="183">
        <v>13.026400000000001</v>
      </c>
      <c r="J193" s="183">
        <v>13.125999999999999</v>
      </c>
      <c r="K193" s="182" t="s">
        <v>3122</v>
      </c>
      <c r="L193" t="e">
        <f>VLOOKUP(C193,'[1]SR No. party'!$A:$B,2,0)</f>
        <v>#N/A</v>
      </c>
    </row>
    <row r="194" spans="1:12" ht="22.5">
      <c r="A194" s="181">
        <v>46193</v>
      </c>
      <c r="B194" s="182" t="s">
        <v>3120</v>
      </c>
      <c r="C194" s="182" t="s">
        <v>2834</v>
      </c>
      <c r="D194" s="182" t="s">
        <v>2874</v>
      </c>
      <c r="E194" s="182" t="s">
        <v>250</v>
      </c>
      <c r="F194" s="182" t="s">
        <v>2856</v>
      </c>
      <c r="G194" s="183">
        <v>30.106999999999999</v>
      </c>
      <c r="H194" s="183">
        <v>0.7</v>
      </c>
      <c r="I194" s="183">
        <v>27.577999999999999</v>
      </c>
      <c r="J194" s="183">
        <v>27.788799999999998</v>
      </c>
      <c r="K194" s="182" t="s">
        <v>3122</v>
      </c>
      <c r="L194" t="e">
        <f>VLOOKUP(C194,'[1]SR No. party'!$A:$B,2,0)</f>
        <v>#N/A</v>
      </c>
    </row>
    <row r="195" spans="1:12" ht="22.5">
      <c r="A195" s="181">
        <v>46193</v>
      </c>
      <c r="B195" s="182" t="s">
        <v>3120</v>
      </c>
      <c r="C195" s="182" t="s">
        <v>2834</v>
      </c>
      <c r="D195" s="182" t="s">
        <v>2874</v>
      </c>
      <c r="E195" s="182" t="s">
        <v>250</v>
      </c>
      <c r="F195" s="182" t="s">
        <v>2856</v>
      </c>
      <c r="G195" s="183">
        <v>30.111000000000001</v>
      </c>
      <c r="H195" s="183">
        <v>0.7</v>
      </c>
      <c r="I195" s="183">
        <v>27.581700000000001</v>
      </c>
      <c r="J195" s="183">
        <v>27.7925</v>
      </c>
      <c r="K195" s="182" t="s">
        <v>3122</v>
      </c>
      <c r="L195" t="e">
        <f>VLOOKUP(C195,'[1]SR No. party'!$A:$B,2,0)</f>
        <v>#N/A</v>
      </c>
    </row>
    <row r="196" spans="1:12" ht="22.5">
      <c r="A196" s="181">
        <v>46193</v>
      </c>
      <c r="B196" s="182" t="s">
        <v>3120</v>
      </c>
      <c r="C196" s="182" t="s">
        <v>2834</v>
      </c>
      <c r="D196" s="182" t="s">
        <v>2874</v>
      </c>
      <c r="E196" s="182" t="s">
        <v>250</v>
      </c>
      <c r="F196" s="182" t="s">
        <v>2856</v>
      </c>
      <c r="G196" s="183">
        <v>30.119</v>
      </c>
      <c r="H196" s="183">
        <v>0.7</v>
      </c>
      <c r="I196" s="183">
        <v>27.588999999999999</v>
      </c>
      <c r="J196" s="183">
        <v>27.799800000000001</v>
      </c>
      <c r="K196" s="182" t="s">
        <v>3122</v>
      </c>
      <c r="L196" t="e">
        <f>VLOOKUP(C196,'[1]SR No. party'!$A:$B,2,0)</f>
        <v>#N/A</v>
      </c>
    </row>
    <row r="197" spans="1:12" ht="22.5">
      <c r="A197" s="181">
        <v>46193</v>
      </c>
      <c r="B197" s="182" t="s">
        <v>3120</v>
      </c>
      <c r="C197" s="182" t="s">
        <v>2834</v>
      </c>
      <c r="D197" s="182" t="s">
        <v>3121</v>
      </c>
      <c r="E197" s="182" t="s">
        <v>250</v>
      </c>
      <c r="F197" s="182" t="s">
        <v>2856</v>
      </c>
      <c r="G197" s="183">
        <v>14.102</v>
      </c>
      <c r="H197" s="183">
        <v>0.7</v>
      </c>
      <c r="I197" s="183">
        <v>12.917400000000001</v>
      </c>
      <c r="J197" s="183">
        <v>13.0161</v>
      </c>
      <c r="K197" s="182" t="s">
        <v>3122</v>
      </c>
      <c r="L197" t="e">
        <f>VLOOKUP(C197,'[1]SR No. party'!$A:$B,2,0)</f>
        <v>#N/A</v>
      </c>
    </row>
    <row r="198" spans="1:12" ht="22.5">
      <c r="A198" s="181">
        <v>46193</v>
      </c>
      <c r="B198" s="182" t="s">
        <v>3120</v>
      </c>
      <c r="C198" s="182" t="s">
        <v>2834</v>
      </c>
      <c r="D198" s="182" t="s">
        <v>3121</v>
      </c>
      <c r="E198" s="182" t="s">
        <v>250</v>
      </c>
      <c r="F198" s="182" t="s">
        <v>2856</v>
      </c>
      <c r="G198" s="183">
        <v>14.266</v>
      </c>
      <c r="H198" s="183">
        <v>0.7</v>
      </c>
      <c r="I198" s="183">
        <v>13.0677</v>
      </c>
      <c r="J198" s="183">
        <v>13.1675</v>
      </c>
      <c r="K198" s="182" t="s">
        <v>3122</v>
      </c>
      <c r="L198" t="e">
        <f>VLOOKUP(C198,'[1]SR No. party'!$A:$B,2,0)</f>
        <v>#N/A</v>
      </c>
    </row>
    <row r="199" spans="1:12" ht="22.5">
      <c r="A199" s="181">
        <v>46193</v>
      </c>
      <c r="B199" s="182" t="s">
        <v>3120</v>
      </c>
      <c r="C199" s="182" t="s">
        <v>2834</v>
      </c>
      <c r="D199" s="182" t="s">
        <v>3121</v>
      </c>
      <c r="E199" s="182" t="s">
        <v>250</v>
      </c>
      <c r="F199" s="182" t="s">
        <v>2856</v>
      </c>
      <c r="G199" s="183">
        <v>14.074999999999999</v>
      </c>
      <c r="H199" s="183">
        <v>0.7</v>
      </c>
      <c r="I199" s="183">
        <v>12.8927</v>
      </c>
      <c r="J199" s="183">
        <v>12.991199999999999</v>
      </c>
      <c r="K199" s="182" t="s">
        <v>3122</v>
      </c>
      <c r="L199" t="e">
        <f>VLOOKUP(C199,'[1]SR No. party'!$A:$B,2,0)</f>
        <v>#N/A</v>
      </c>
    </row>
    <row r="200" spans="1:12" ht="22.5">
      <c r="A200" s="181">
        <v>46193</v>
      </c>
      <c r="B200" s="182" t="s">
        <v>3120</v>
      </c>
      <c r="C200" s="182" t="s">
        <v>2834</v>
      </c>
      <c r="D200" s="182" t="s">
        <v>3121</v>
      </c>
      <c r="E200" s="182" t="s">
        <v>250</v>
      </c>
      <c r="F200" s="182" t="s">
        <v>2856</v>
      </c>
      <c r="G200" s="183">
        <v>14.045999999999999</v>
      </c>
      <c r="H200" s="183">
        <v>0.7</v>
      </c>
      <c r="I200" s="183">
        <v>12.866099999999999</v>
      </c>
      <c r="J200" s="183">
        <v>12.964499999999999</v>
      </c>
      <c r="K200" s="182" t="s">
        <v>3122</v>
      </c>
      <c r="L200" t="e">
        <f>VLOOKUP(C200,'[1]SR No. party'!$A:$B,2,0)</f>
        <v>#N/A</v>
      </c>
    </row>
    <row r="201" spans="1:12" ht="22.5">
      <c r="A201" s="181">
        <v>46193</v>
      </c>
      <c r="B201" s="182" t="s">
        <v>3120</v>
      </c>
      <c r="C201" s="182" t="s">
        <v>2834</v>
      </c>
      <c r="D201" s="182" t="s">
        <v>3121</v>
      </c>
      <c r="E201" s="182" t="s">
        <v>250</v>
      </c>
      <c r="F201" s="182" t="s">
        <v>2856</v>
      </c>
      <c r="G201" s="183">
        <v>14.314</v>
      </c>
      <c r="H201" s="183">
        <v>0.7</v>
      </c>
      <c r="I201" s="183">
        <v>13.111599999999999</v>
      </c>
      <c r="J201" s="183">
        <v>13.2118</v>
      </c>
      <c r="K201" s="182" t="s">
        <v>3122</v>
      </c>
      <c r="L201" t="e">
        <f>VLOOKUP(C201,'[1]SR No. party'!$A:$B,2,0)</f>
        <v>#N/A</v>
      </c>
    </row>
    <row r="202" spans="1:12" ht="22.5">
      <c r="A202" s="181">
        <v>46193</v>
      </c>
      <c r="B202" s="182" t="s">
        <v>3124</v>
      </c>
      <c r="C202" s="182" t="s">
        <v>258</v>
      </c>
      <c r="D202" s="182" t="s">
        <v>3125</v>
      </c>
      <c r="E202" s="182" t="s">
        <v>250</v>
      </c>
      <c r="F202" s="182" t="s">
        <v>2804</v>
      </c>
      <c r="G202" s="183">
        <v>14.291</v>
      </c>
      <c r="H202" s="183">
        <v>0</v>
      </c>
      <c r="I202" s="183">
        <v>13.1191</v>
      </c>
      <c r="J202" s="183">
        <v>13.1191</v>
      </c>
      <c r="K202" s="182" t="s">
        <v>3126</v>
      </c>
      <c r="L202">
        <f>VLOOKUP(C202,'[1]SR No. party'!$A:$B,2,0)</f>
        <v>1</v>
      </c>
    </row>
    <row r="203" spans="1:12" ht="22.5">
      <c r="A203" s="181">
        <v>46193</v>
      </c>
      <c r="B203" s="182" t="s">
        <v>3124</v>
      </c>
      <c r="C203" s="182" t="s">
        <v>258</v>
      </c>
      <c r="D203" s="182" t="s">
        <v>3127</v>
      </c>
      <c r="E203" s="182" t="s">
        <v>250</v>
      </c>
      <c r="F203" s="182" t="s">
        <v>2804</v>
      </c>
      <c r="G203" s="183">
        <v>13.51</v>
      </c>
      <c r="H203" s="183">
        <v>0</v>
      </c>
      <c r="I203" s="183">
        <v>12.402200000000001</v>
      </c>
      <c r="J203" s="183">
        <v>12.402200000000001</v>
      </c>
      <c r="K203" s="182" t="s">
        <v>3128</v>
      </c>
      <c r="L203">
        <f>VLOOKUP(C203,'[1]SR No. party'!$A:$B,2,0)</f>
        <v>1</v>
      </c>
    </row>
    <row r="204" spans="1:12">
      <c r="A204" s="181">
        <v>46193</v>
      </c>
      <c r="B204" s="182" t="s">
        <v>3129</v>
      </c>
      <c r="C204" s="182" t="s">
        <v>257</v>
      </c>
      <c r="D204" s="182" t="s">
        <v>3130</v>
      </c>
      <c r="E204" s="182" t="s">
        <v>250</v>
      </c>
      <c r="F204" s="182" t="s">
        <v>2804</v>
      </c>
      <c r="G204" s="183">
        <v>8.1489999999999991</v>
      </c>
      <c r="H204" s="183">
        <v>0</v>
      </c>
      <c r="I204" s="183">
        <v>7.4808000000000003</v>
      </c>
      <c r="J204" s="183">
        <v>7.4808000000000003</v>
      </c>
      <c r="K204" s="182" t="s">
        <v>3131</v>
      </c>
      <c r="L204">
        <f>VLOOKUP(C204,'[1]SR No. party'!$A:$B,2,0)</f>
        <v>2</v>
      </c>
    </row>
    <row r="205" spans="1:12">
      <c r="A205" s="181">
        <v>46193</v>
      </c>
      <c r="B205" s="182" t="s">
        <v>3129</v>
      </c>
      <c r="C205" s="182" t="s">
        <v>257</v>
      </c>
      <c r="D205" s="182" t="s">
        <v>2867</v>
      </c>
      <c r="E205" s="182" t="s">
        <v>250</v>
      </c>
      <c r="F205" s="182" t="s">
        <v>2804</v>
      </c>
      <c r="G205" s="183">
        <v>7.95</v>
      </c>
      <c r="H205" s="183">
        <v>0</v>
      </c>
      <c r="I205" s="183">
        <v>7.2980999999999998</v>
      </c>
      <c r="J205" s="183">
        <v>7.2980999999999998</v>
      </c>
      <c r="K205" s="182" t="s">
        <v>3131</v>
      </c>
      <c r="L205">
        <f>VLOOKUP(C205,'[1]SR No. party'!$A:$B,2,0)</f>
        <v>2</v>
      </c>
    </row>
    <row r="206" spans="1:12">
      <c r="A206" s="181">
        <v>46193</v>
      </c>
      <c r="B206" s="182" t="s">
        <v>3129</v>
      </c>
      <c r="C206" s="182" t="s">
        <v>257</v>
      </c>
      <c r="D206" s="182" t="s">
        <v>3132</v>
      </c>
      <c r="E206" s="182" t="s">
        <v>250</v>
      </c>
      <c r="F206" s="182" t="s">
        <v>2804</v>
      </c>
      <c r="G206" s="183">
        <v>7.55</v>
      </c>
      <c r="H206" s="183">
        <v>0</v>
      </c>
      <c r="I206" s="183">
        <v>6.9309000000000003</v>
      </c>
      <c r="J206" s="183">
        <v>6.9309000000000003</v>
      </c>
      <c r="K206" s="182" t="s">
        <v>3131</v>
      </c>
      <c r="L206">
        <f>VLOOKUP(C206,'[1]SR No. party'!$A:$B,2,0)</f>
        <v>2</v>
      </c>
    </row>
    <row r="207" spans="1:12">
      <c r="A207" s="181">
        <v>46193</v>
      </c>
      <c r="B207" s="182" t="s">
        <v>3129</v>
      </c>
      <c r="C207" s="182" t="s">
        <v>257</v>
      </c>
      <c r="D207" s="182" t="s">
        <v>2867</v>
      </c>
      <c r="E207" s="182" t="s">
        <v>250</v>
      </c>
      <c r="F207" s="182" t="s">
        <v>2804</v>
      </c>
      <c r="G207" s="183">
        <v>14.013</v>
      </c>
      <c r="H207" s="183">
        <v>0</v>
      </c>
      <c r="I207" s="183">
        <v>12.863899999999999</v>
      </c>
      <c r="J207" s="183">
        <v>12.863899999999999</v>
      </c>
      <c r="K207" s="182" t="s">
        <v>3131</v>
      </c>
      <c r="L207">
        <f>VLOOKUP(C207,'[1]SR No. party'!$A:$B,2,0)</f>
        <v>2</v>
      </c>
    </row>
    <row r="208" spans="1:12" ht="22.5">
      <c r="A208" s="181">
        <v>46193</v>
      </c>
      <c r="B208" s="182" t="s">
        <v>3133</v>
      </c>
      <c r="C208" s="182" t="s">
        <v>276</v>
      </c>
      <c r="D208" s="182" t="s">
        <v>3134</v>
      </c>
      <c r="E208" s="182" t="s">
        <v>253</v>
      </c>
      <c r="F208" s="182" t="s">
        <v>282</v>
      </c>
      <c r="G208" s="183">
        <v>17.666</v>
      </c>
      <c r="H208" s="183">
        <v>0</v>
      </c>
      <c r="I208" s="183">
        <v>13.249499999999999</v>
      </c>
      <c r="J208" s="183">
        <v>13.249499999999999</v>
      </c>
      <c r="K208" s="182" t="s">
        <v>3135</v>
      </c>
      <c r="L208">
        <f>VLOOKUP(C208,'[1]SR No. party'!$A:$B,2,0)</f>
        <v>8</v>
      </c>
    </row>
    <row r="209" spans="1:12" ht="22.5">
      <c r="A209" s="181">
        <v>46193</v>
      </c>
      <c r="B209" s="182" t="s">
        <v>3133</v>
      </c>
      <c r="C209" s="182" t="s">
        <v>276</v>
      </c>
      <c r="D209" s="182" t="s">
        <v>3136</v>
      </c>
      <c r="E209" s="182" t="s">
        <v>253</v>
      </c>
      <c r="F209" s="182" t="s">
        <v>282</v>
      </c>
      <c r="G209" s="183">
        <v>19.207999999999998</v>
      </c>
      <c r="H209" s="183">
        <v>0</v>
      </c>
      <c r="I209" s="183">
        <v>14.406000000000001</v>
      </c>
      <c r="J209" s="183">
        <v>14.406000000000001</v>
      </c>
      <c r="K209" s="182" t="s">
        <v>3135</v>
      </c>
      <c r="L209">
        <f>VLOOKUP(C209,'[1]SR No. party'!$A:$B,2,0)</f>
        <v>8</v>
      </c>
    </row>
    <row r="210" spans="1:12" ht="22.5">
      <c r="A210" s="181">
        <v>46193</v>
      </c>
      <c r="B210" s="182" t="s">
        <v>3133</v>
      </c>
      <c r="C210" s="182" t="s">
        <v>276</v>
      </c>
      <c r="D210" s="182" t="s">
        <v>3137</v>
      </c>
      <c r="E210" s="182" t="s">
        <v>253</v>
      </c>
      <c r="F210" s="182" t="s">
        <v>282</v>
      </c>
      <c r="G210" s="183">
        <v>15.148999999999999</v>
      </c>
      <c r="H210" s="183">
        <v>0</v>
      </c>
      <c r="I210" s="183">
        <v>11.361800000000001</v>
      </c>
      <c r="J210" s="183">
        <v>11.361800000000001</v>
      </c>
      <c r="K210" s="182" t="s">
        <v>3135</v>
      </c>
      <c r="L210">
        <f>VLOOKUP(C210,'[1]SR No. party'!$A:$B,2,0)</f>
        <v>8</v>
      </c>
    </row>
    <row r="211" spans="1:12" ht="22.5">
      <c r="A211" s="181">
        <v>46193</v>
      </c>
      <c r="B211" s="182" t="s">
        <v>3133</v>
      </c>
      <c r="C211" s="182" t="s">
        <v>276</v>
      </c>
      <c r="D211" s="182" t="s">
        <v>3138</v>
      </c>
      <c r="E211" s="182" t="s">
        <v>253</v>
      </c>
      <c r="F211" s="182" t="s">
        <v>282</v>
      </c>
      <c r="G211" s="183">
        <v>29.745999999999999</v>
      </c>
      <c r="H211" s="183">
        <v>0</v>
      </c>
      <c r="I211" s="183">
        <v>22.3095</v>
      </c>
      <c r="J211" s="183">
        <v>22.3095</v>
      </c>
      <c r="K211" s="182" t="s">
        <v>3135</v>
      </c>
      <c r="L211">
        <f>VLOOKUP(C211,'[1]SR No. party'!$A:$B,2,0)</f>
        <v>8</v>
      </c>
    </row>
    <row r="212" spans="1:12" ht="22.5">
      <c r="A212" s="181">
        <v>46193</v>
      </c>
      <c r="B212" s="182" t="s">
        <v>3133</v>
      </c>
      <c r="C212" s="182" t="s">
        <v>276</v>
      </c>
      <c r="D212" s="182" t="s">
        <v>3139</v>
      </c>
      <c r="E212" s="182" t="s">
        <v>253</v>
      </c>
      <c r="F212" s="182" t="s">
        <v>282</v>
      </c>
      <c r="G212" s="183">
        <v>19.593</v>
      </c>
      <c r="H212" s="183">
        <v>0</v>
      </c>
      <c r="I212" s="183">
        <v>14.694800000000001</v>
      </c>
      <c r="J212" s="183">
        <v>14.694800000000001</v>
      </c>
      <c r="K212" s="182" t="s">
        <v>3135</v>
      </c>
      <c r="L212">
        <f>VLOOKUP(C212,'[1]SR No. party'!$A:$B,2,0)</f>
        <v>8</v>
      </c>
    </row>
    <row r="213" spans="1:12" ht="22.5">
      <c r="A213" s="181">
        <v>46193</v>
      </c>
      <c r="B213" s="182" t="s">
        <v>3140</v>
      </c>
      <c r="C213" s="182" t="s">
        <v>257</v>
      </c>
      <c r="D213" s="182" t="s">
        <v>2926</v>
      </c>
      <c r="E213" s="182" t="s">
        <v>250</v>
      </c>
      <c r="F213" s="182" t="s">
        <v>2804</v>
      </c>
      <c r="G213" s="183">
        <v>35.209000000000003</v>
      </c>
      <c r="H213" s="183">
        <v>0</v>
      </c>
      <c r="I213" s="183">
        <v>32.321899999999999</v>
      </c>
      <c r="J213" s="183">
        <v>32.321899999999999</v>
      </c>
      <c r="K213" s="182" t="s">
        <v>3141</v>
      </c>
      <c r="L213">
        <f>VLOOKUP(C213,'[1]SR No. party'!$A:$B,2,0)</f>
        <v>2</v>
      </c>
    </row>
    <row r="214" spans="1:12" ht="22.5">
      <c r="A214" s="181">
        <v>46193</v>
      </c>
      <c r="B214" s="182" t="s">
        <v>3140</v>
      </c>
      <c r="C214" s="182" t="s">
        <v>257</v>
      </c>
      <c r="D214" s="182" t="s">
        <v>3142</v>
      </c>
      <c r="E214" s="182" t="s">
        <v>250</v>
      </c>
      <c r="F214" s="182" t="s">
        <v>2804</v>
      </c>
      <c r="G214" s="183">
        <v>50.731999999999999</v>
      </c>
      <c r="H214" s="183">
        <v>0</v>
      </c>
      <c r="I214" s="183">
        <v>46.572000000000003</v>
      </c>
      <c r="J214" s="183">
        <v>46.572000000000003</v>
      </c>
      <c r="K214" s="182" t="s">
        <v>3143</v>
      </c>
      <c r="L214">
        <f>VLOOKUP(C214,'[1]SR No. party'!$A:$B,2,0)</f>
        <v>2</v>
      </c>
    </row>
    <row r="215" spans="1:12">
      <c r="A215" s="181">
        <v>46193</v>
      </c>
      <c r="B215" s="182" t="s">
        <v>3140</v>
      </c>
      <c r="C215" s="182" t="s">
        <v>257</v>
      </c>
      <c r="D215" s="182" t="s">
        <v>2822</v>
      </c>
      <c r="E215" s="182" t="s">
        <v>250</v>
      </c>
      <c r="F215" s="182" t="s">
        <v>2804</v>
      </c>
      <c r="G215" s="183">
        <v>14.736000000000001</v>
      </c>
      <c r="H215" s="183">
        <v>0</v>
      </c>
      <c r="I215" s="183">
        <v>13.5276</v>
      </c>
      <c r="J215" s="183">
        <v>13.5276</v>
      </c>
      <c r="K215" s="182" t="s">
        <v>3143</v>
      </c>
      <c r="L215">
        <f>VLOOKUP(C215,'[1]SR No. party'!$A:$B,2,0)</f>
        <v>2</v>
      </c>
    </row>
    <row r="216" spans="1:12" ht="22.5">
      <c r="A216" s="181">
        <v>46193</v>
      </c>
      <c r="B216" s="182" t="s">
        <v>3140</v>
      </c>
      <c r="C216" s="182" t="s">
        <v>257</v>
      </c>
      <c r="D216" s="182" t="s">
        <v>2895</v>
      </c>
      <c r="E216" s="182" t="s">
        <v>250</v>
      </c>
      <c r="F216" s="182" t="s">
        <v>2804</v>
      </c>
      <c r="G216" s="183">
        <v>8.8840000000000003</v>
      </c>
      <c r="H216" s="183">
        <v>0</v>
      </c>
      <c r="I216" s="183">
        <v>8.1555</v>
      </c>
      <c r="J216" s="183">
        <v>8.1555</v>
      </c>
      <c r="K216" s="182" t="s">
        <v>3144</v>
      </c>
      <c r="L216">
        <f>VLOOKUP(C216,'[1]SR No. party'!$A:$B,2,0)</f>
        <v>2</v>
      </c>
    </row>
    <row r="217" spans="1:12">
      <c r="A217" s="181">
        <v>46193</v>
      </c>
      <c r="B217" s="182" t="s">
        <v>3140</v>
      </c>
      <c r="C217" s="182" t="s">
        <v>257</v>
      </c>
      <c r="D217" s="182" t="s">
        <v>2822</v>
      </c>
      <c r="E217" s="182" t="s">
        <v>250</v>
      </c>
      <c r="F217" s="182" t="s">
        <v>2804</v>
      </c>
      <c r="G217" s="183">
        <v>21.295999999999999</v>
      </c>
      <c r="H217" s="183">
        <v>0</v>
      </c>
      <c r="I217" s="183">
        <v>19.549700000000001</v>
      </c>
      <c r="J217" s="183">
        <v>19.549700000000001</v>
      </c>
      <c r="K217" s="182" t="s">
        <v>3143</v>
      </c>
      <c r="L217">
        <f>VLOOKUP(C217,'[1]SR No. party'!$A:$B,2,0)</f>
        <v>2</v>
      </c>
    </row>
    <row r="218" spans="1:12" ht="22.5">
      <c r="A218" s="181">
        <v>46193</v>
      </c>
      <c r="B218" s="182" t="s">
        <v>3140</v>
      </c>
      <c r="C218" s="182" t="s">
        <v>257</v>
      </c>
      <c r="D218" s="182" t="s">
        <v>3145</v>
      </c>
      <c r="E218" s="182" t="s">
        <v>250</v>
      </c>
      <c r="F218" s="182" t="s">
        <v>2804</v>
      </c>
      <c r="G218" s="183">
        <v>48.677</v>
      </c>
      <c r="H218" s="183">
        <v>0</v>
      </c>
      <c r="I218" s="183">
        <v>44.685499999999998</v>
      </c>
      <c r="J218" s="183">
        <v>44.685499999999998</v>
      </c>
      <c r="K218" s="182" t="s">
        <v>3143</v>
      </c>
      <c r="L218">
        <f>VLOOKUP(C218,'[1]SR No. party'!$A:$B,2,0)</f>
        <v>2</v>
      </c>
    </row>
    <row r="219" spans="1:12" ht="22.5">
      <c r="A219" s="181">
        <v>46193</v>
      </c>
      <c r="B219" s="182" t="s">
        <v>3140</v>
      </c>
      <c r="C219" s="182" t="s">
        <v>257</v>
      </c>
      <c r="D219" s="182" t="s">
        <v>3146</v>
      </c>
      <c r="E219" s="182" t="s">
        <v>250</v>
      </c>
      <c r="F219" s="182" t="s">
        <v>2804</v>
      </c>
      <c r="G219" s="183">
        <v>63.314</v>
      </c>
      <c r="H219" s="183">
        <v>0</v>
      </c>
      <c r="I219" s="183">
        <v>58.122300000000003</v>
      </c>
      <c r="J219" s="183">
        <v>58.122300000000003</v>
      </c>
      <c r="K219" s="182" t="s">
        <v>3143</v>
      </c>
      <c r="L219">
        <f>VLOOKUP(C219,'[1]SR No. party'!$A:$B,2,0)</f>
        <v>2</v>
      </c>
    </row>
    <row r="220" spans="1:12">
      <c r="A220" s="181">
        <v>46193</v>
      </c>
      <c r="B220" s="182" t="s">
        <v>3140</v>
      </c>
      <c r="C220" s="182" t="s">
        <v>257</v>
      </c>
      <c r="D220" s="182" t="s">
        <v>2822</v>
      </c>
      <c r="E220" s="182" t="s">
        <v>250</v>
      </c>
      <c r="F220" s="182" t="s">
        <v>2804</v>
      </c>
      <c r="G220" s="183">
        <v>18.010999999999999</v>
      </c>
      <c r="H220" s="183">
        <v>0</v>
      </c>
      <c r="I220" s="183">
        <v>16.534099999999999</v>
      </c>
      <c r="J220" s="183">
        <v>16.534099999999999</v>
      </c>
      <c r="K220" s="182" t="s">
        <v>3143</v>
      </c>
      <c r="L220">
        <f>VLOOKUP(C220,'[1]SR No. party'!$A:$B,2,0)</f>
        <v>2</v>
      </c>
    </row>
    <row r="221" spans="1:12" ht="22.5">
      <c r="A221" s="181">
        <v>46193</v>
      </c>
      <c r="B221" s="182" t="s">
        <v>3140</v>
      </c>
      <c r="C221" s="182" t="s">
        <v>257</v>
      </c>
      <c r="D221" s="182" t="s">
        <v>3147</v>
      </c>
      <c r="E221" s="182" t="s">
        <v>250</v>
      </c>
      <c r="F221" s="182" t="s">
        <v>2804</v>
      </c>
      <c r="G221" s="183">
        <v>17.404</v>
      </c>
      <c r="H221" s="183">
        <v>0</v>
      </c>
      <c r="I221" s="183">
        <v>15.976900000000001</v>
      </c>
      <c r="J221" s="183">
        <v>15.976900000000001</v>
      </c>
      <c r="K221" s="182" t="s">
        <v>3143</v>
      </c>
      <c r="L221">
        <f>VLOOKUP(C221,'[1]SR No. party'!$A:$B,2,0)</f>
        <v>2</v>
      </c>
    </row>
    <row r="222" spans="1:12" ht="22.5">
      <c r="A222" s="181">
        <v>46193</v>
      </c>
      <c r="B222" s="182" t="s">
        <v>3140</v>
      </c>
      <c r="C222" s="182" t="s">
        <v>257</v>
      </c>
      <c r="D222" s="182" t="s">
        <v>3148</v>
      </c>
      <c r="E222" s="182" t="s">
        <v>250</v>
      </c>
      <c r="F222" s="182" t="s">
        <v>2804</v>
      </c>
      <c r="G222" s="183">
        <v>11.43</v>
      </c>
      <c r="H222" s="183">
        <v>0</v>
      </c>
      <c r="I222" s="183">
        <v>10.492699999999999</v>
      </c>
      <c r="J222" s="183">
        <v>10.492699999999999</v>
      </c>
      <c r="K222" s="182" t="s">
        <v>3144</v>
      </c>
      <c r="L222">
        <f>VLOOKUP(C222,'[1]SR No. party'!$A:$B,2,0)</f>
        <v>2</v>
      </c>
    </row>
    <row r="223" spans="1:12" ht="22.5">
      <c r="A223" s="181">
        <v>46193</v>
      </c>
      <c r="B223" s="182" t="s">
        <v>3140</v>
      </c>
      <c r="C223" s="182" t="s">
        <v>257</v>
      </c>
      <c r="D223" s="182" t="s">
        <v>3149</v>
      </c>
      <c r="E223" s="182" t="s">
        <v>250</v>
      </c>
      <c r="F223" s="182" t="s">
        <v>2804</v>
      </c>
      <c r="G223" s="183">
        <v>17.050999999999998</v>
      </c>
      <c r="H223" s="183">
        <v>0</v>
      </c>
      <c r="I223" s="183">
        <v>15.652799999999999</v>
      </c>
      <c r="J223" s="183">
        <v>15.652799999999999</v>
      </c>
      <c r="K223" s="182" t="s">
        <v>3143</v>
      </c>
      <c r="L223">
        <f>VLOOKUP(C223,'[1]SR No. party'!$A:$B,2,0)</f>
        <v>2</v>
      </c>
    </row>
    <row r="224" spans="1:12" ht="22.5">
      <c r="A224" s="181">
        <v>46193</v>
      </c>
      <c r="B224" s="182" t="s">
        <v>3140</v>
      </c>
      <c r="C224" s="182" t="s">
        <v>257</v>
      </c>
      <c r="D224" s="182" t="s">
        <v>3150</v>
      </c>
      <c r="E224" s="182" t="s">
        <v>250</v>
      </c>
      <c r="F224" s="182" t="s">
        <v>2804</v>
      </c>
      <c r="G224" s="183">
        <v>8.9969999999999999</v>
      </c>
      <c r="H224" s="183">
        <v>0</v>
      </c>
      <c r="I224" s="183">
        <v>8.2591999999999999</v>
      </c>
      <c r="J224" s="183">
        <v>8.2591999999999999</v>
      </c>
      <c r="K224" s="182" t="s">
        <v>3144</v>
      </c>
      <c r="L224">
        <f>VLOOKUP(C224,'[1]SR No. party'!$A:$B,2,0)</f>
        <v>2</v>
      </c>
    </row>
    <row r="225" spans="1:12" ht="22.5">
      <c r="A225" s="181">
        <v>46193</v>
      </c>
      <c r="B225" s="182" t="s">
        <v>3140</v>
      </c>
      <c r="C225" s="182" t="s">
        <v>257</v>
      </c>
      <c r="D225" s="182" t="s">
        <v>2925</v>
      </c>
      <c r="E225" s="182" t="s">
        <v>250</v>
      </c>
      <c r="F225" s="182" t="s">
        <v>2804</v>
      </c>
      <c r="G225" s="183">
        <v>11.5</v>
      </c>
      <c r="H225" s="183">
        <v>0</v>
      </c>
      <c r="I225" s="183">
        <v>10.557</v>
      </c>
      <c r="J225" s="183">
        <v>10.557</v>
      </c>
      <c r="K225" s="182" t="s">
        <v>3141</v>
      </c>
      <c r="L225">
        <f>VLOOKUP(C225,'[1]SR No. party'!$A:$B,2,0)</f>
        <v>2</v>
      </c>
    </row>
    <row r="226" spans="1:12" ht="22.5">
      <c r="A226" s="181">
        <v>46193</v>
      </c>
      <c r="B226" s="182" t="s">
        <v>3140</v>
      </c>
      <c r="C226" s="182" t="s">
        <v>257</v>
      </c>
      <c r="D226" s="182" t="s">
        <v>2936</v>
      </c>
      <c r="E226" s="182" t="s">
        <v>250</v>
      </c>
      <c r="F226" s="182" t="s">
        <v>2804</v>
      </c>
      <c r="G226" s="183">
        <v>24.41</v>
      </c>
      <c r="H226" s="183">
        <v>0</v>
      </c>
      <c r="I226" s="183">
        <v>22.4084</v>
      </c>
      <c r="J226" s="183">
        <v>22.4084</v>
      </c>
      <c r="K226" s="182" t="s">
        <v>3141</v>
      </c>
      <c r="L226">
        <f>VLOOKUP(C226,'[1]SR No. party'!$A:$B,2,0)</f>
        <v>2</v>
      </c>
    </row>
    <row r="227" spans="1:12" ht="22.5">
      <c r="A227" s="181">
        <v>46193</v>
      </c>
      <c r="B227" s="182" t="s">
        <v>3140</v>
      </c>
      <c r="C227" s="182" t="s">
        <v>257</v>
      </c>
      <c r="D227" s="182" t="s">
        <v>2892</v>
      </c>
      <c r="E227" s="182" t="s">
        <v>250</v>
      </c>
      <c r="F227" s="182" t="s">
        <v>2804</v>
      </c>
      <c r="G227" s="183">
        <v>26.96</v>
      </c>
      <c r="H227" s="183">
        <v>0</v>
      </c>
      <c r="I227" s="183">
        <v>24.749300000000002</v>
      </c>
      <c r="J227" s="183">
        <v>24.749300000000002</v>
      </c>
      <c r="K227" s="182" t="s">
        <v>3141</v>
      </c>
      <c r="L227">
        <f>VLOOKUP(C227,'[1]SR No. party'!$A:$B,2,0)</f>
        <v>2</v>
      </c>
    </row>
    <row r="228" spans="1:12" ht="22.5">
      <c r="A228" s="181">
        <v>46193</v>
      </c>
      <c r="B228" s="182" t="s">
        <v>3140</v>
      </c>
      <c r="C228" s="182" t="s">
        <v>257</v>
      </c>
      <c r="D228" s="182" t="s">
        <v>2924</v>
      </c>
      <c r="E228" s="182" t="s">
        <v>250</v>
      </c>
      <c r="F228" s="182" t="s">
        <v>2804</v>
      </c>
      <c r="G228" s="183">
        <v>39.744999999999997</v>
      </c>
      <c r="H228" s="183">
        <v>0</v>
      </c>
      <c r="I228" s="183">
        <v>36.485900000000001</v>
      </c>
      <c r="J228" s="183">
        <v>36.485900000000001</v>
      </c>
      <c r="K228" s="182" t="s">
        <v>3141</v>
      </c>
      <c r="L228">
        <f>VLOOKUP(C228,'[1]SR No. party'!$A:$B,2,0)</f>
        <v>2</v>
      </c>
    </row>
    <row r="229" spans="1:12" ht="22.5">
      <c r="A229" s="181">
        <v>46193</v>
      </c>
      <c r="B229" s="182" t="s">
        <v>3140</v>
      </c>
      <c r="C229" s="182" t="s">
        <v>257</v>
      </c>
      <c r="D229" s="182" t="s">
        <v>2929</v>
      </c>
      <c r="E229" s="182" t="s">
        <v>250</v>
      </c>
      <c r="F229" s="182" t="s">
        <v>2804</v>
      </c>
      <c r="G229" s="183">
        <v>29.754999999999999</v>
      </c>
      <c r="H229" s="183">
        <v>0</v>
      </c>
      <c r="I229" s="183">
        <v>27.315100000000001</v>
      </c>
      <c r="J229" s="183">
        <v>27.315100000000001</v>
      </c>
      <c r="K229" s="182" t="s">
        <v>3141</v>
      </c>
      <c r="L229">
        <f>VLOOKUP(C229,'[1]SR No. party'!$A:$B,2,0)</f>
        <v>2</v>
      </c>
    </row>
    <row r="230" spans="1:12" ht="22.5">
      <c r="A230" s="181">
        <v>46193</v>
      </c>
      <c r="B230" s="182" t="s">
        <v>3140</v>
      </c>
      <c r="C230" s="182" t="s">
        <v>257</v>
      </c>
      <c r="D230" s="182" t="s">
        <v>2934</v>
      </c>
      <c r="E230" s="182" t="s">
        <v>250</v>
      </c>
      <c r="F230" s="182" t="s">
        <v>2804</v>
      </c>
      <c r="G230" s="183">
        <v>16.957999999999998</v>
      </c>
      <c r="H230" s="183">
        <v>0</v>
      </c>
      <c r="I230" s="183">
        <v>15.567399999999999</v>
      </c>
      <c r="J230" s="183">
        <v>15.567399999999999</v>
      </c>
      <c r="K230" s="182" t="s">
        <v>3141</v>
      </c>
      <c r="L230">
        <f>VLOOKUP(C230,'[1]SR No. party'!$A:$B,2,0)</f>
        <v>2</v>
      </c>
    </row>
    <row r="231" spans="1:12" ht="22.5">
      <c r="A231" s="181">
        <v>46193</v>
      </c>
      <c r="B231" s="182" t="s">
        <v>3140</v>
      </c>
      <c r="C231" s="182" t="s">
        <v>257</v>
      </c>
      <c r="D231" s="182" t="s">
        <v>2937</v>
      </c>
      <c r="E231" s="182" t="s">
        <v>250</v>
      </c>
      <c r="F231" s="182" t="s">
        <v>2804</v>
      </c>
      <c r="G231" s="183">
        <v>16.568999999999999</v>
      </c>
      <c r="H231" s="183">
        <v>0</v>
      </c>
      <c r="I231" s="183">
        <v>15.2103</v>
      </c>
      <c r="J231" s="183">
        <v>15.2103</v>
      </c>
      <c r="K231" s="182" t="s">
        <v>3141</v>
      </c>
      <c r="L231">
        <f>VLOOKUP(C231,'[1]SR No. party'!$A:$B,2,0)</f>
        <v>2</v>
      </c>
    </row>
    <row r="232" spans="1:12" ht="22.5">
      <c r="A232" s="181">
        <v>46193</v>
      </c>
      <c r="B232" s="182" t="s">
        <v>3140</v>
      </c>
      <c r="C232" s="182" t="s">
        <v>257</v>
      </c>
      <c r="D232" s="182" t="s">
        <v>2928</v>
      </c>
      <c r="E232" s="182" t="s">
        <v>250</v>
      </c>
      <c r="F232" s="182" t="s">
        <v>2804</v>
      </c>
      <c r="G232" s="183">
        <v>14.625999999999999</v>
      </c>
      <c r="H232" s="183">
        <v>0</v>
      </c>
      <c r="I232" s="183">
        <v>13.4267</v>
      </c>
      <c r="J232" s="183">
        <v>13.4267</v>
      </c>
      <c r="K232" s="182" t="s">
        <v>3141</v>
      </c>
      <c r="L232">
        <f>VLOOKUP(C232,'[1]SR No. party'!$A:$B,2,0)</f>
        <v>2</v>
      </c>
    </row>
    <row r="233" spans="1:12" ht="22.5">
      <c r="A233" s="181">
        <v>46193</v>
      </c>
      <c r="B233" s="182" t="s">
        <v>3140</v>
      </c>
      <c r="C233" s="182" t="s">
        <v>257</v>
      </c>
      <c r="D233" s="182" t="s">
        <v>2935</v>
      </c>
      <c r="E233" s="182" t="s">
        <v>250</v>
      </c>
      <c r="F233" s="182" t="s">
        <v>2804</v>
      </c>
      <c r="G233" s="183">
        <v>17.623999999999999</v>
      </c>
      <c r="H233" s="183">
        <v>0</v>
      </c>
      <c r="I233" s="183">
        <v>16.178799999999999</v>
      </c>
      <c r="J233" s="183">
        <v>16.178799999999999</v>
      </c>
      <c r="K233" s="182" t="s">
        <v>3141</v>
      </c>
      <c r="L233">
        <f>VLOOKUP(C233,'[1]SR No. party'!$A:$B,2,0)</f>
        <v>2</v>
      </c>
    </row>
    <row r="234" spans="1:12" ht="22.5">
      <c r="A234" s="181">
        <v>46193</v>
      </c>
      <c r="B234" s="182" t="s">
        <v>3140</v>
      </c>
      <c r="C234" s="182" t="s">
        <v>257</v>
      </c>
      <c r="D234" s="182" t="s">
        <v>2927</v>
      </c>
      <c r="E234" s="182" t="s">
        <v>250</v>
      </c>
      <c r="F234" s="182" t="s">
        <v>2804</v>
      </c>
      <c r="G234" s="183">
        <v>15.821</v>
      </c>
      <c r="H234" s="183">
        <v>0</v>
      </c>
      <c r="I234" s="183">
        <v>14.5237</v>
      </c>
      <c r="J234" s="183">
        <v>14.5237</v>
      </c>
      <c r="K234" s="182" t="s">
        <v>3141</v>
      </c>
      <c r="L234">
        <f>VLOOKUP(C234,'[1]SR No. party'!$A:$B,2,0)</f>
        <v>2</v>
      </c>
    </row>
    <row r="235" spans="1:12" ht="22.5">
      <c r="A235" s="181">
        <v>46193</v>
      </c>
      <c r="B235" s="182" t="s">
        <v>3140</v>
      </c>
      <c r="C235" s="182" t="s">
        <v>257</v>
      </c>
      <c r="D235" s="182" t="s">
        <v>2930</v>
      </c>
      <c r="E235" s="182" t="s">
        <v>250</v>
      </c>
      <c r="F235" s="182" t="s">
        <v>2804</v>
      </c>
      <c r="G235" s="183">
        <v>27.041</v>
      </c>
      <c r="H235" s="183">
        <v>0</v>
      </c>
      <c r="I235" s="183">
        <v>24.823599999999999</v>
      </c>
      <c r="J235" s="183">
        <v>24.823599999999999</v>
      </c>
      <c r="K235" s="182" t="s">
        <v>3141</v>
      </c>
      <c r="L235">
        <f>VLOOKUP(C235,'[1]SR No. party'!$A:$B,2,0)</f>
        <v>2</v>
      </c>
    </row>
    <row r="236" spans="1:12" ht="22.5">
      <c r="A236" s="181">
        <v>46193</v>
      </c>
      <c r="B236" s="182" t="s">
        <v>3140</v>
      </c>
      <c r="C236" s="182" t="s">
        <v>257</v>
      </c>
      <c r="D236" s="182" t="s">
        <v>2932</v>
      </c>
      <c r="E236" s="182" t="s">
        <v>250</v>
      </c>
      <c r="F236" s="182" t="s">
        <v>2804</v>
      </c>
      <c r="G236" s="183">
        <v>25.358000000000001</v>
      </c>
      <c r="H236" s="183">
        <v>0</v>
      </c>
      <c r="I236" s="183">
        <v>23.278600000000001</v>
      </c>
      <c r="J236" s="183">
        <v>23.278600000000001</v>
      </c>
      <c r="K236" s="182" t="s">
        <v>3141</v>
      </c>
      <c r="L236">
        <f>VLOOKUP(C236,'[1]SR No. party'!$A:$B,2,0)</f>
        <v>2</v>
      </c>
    </row>
    <row r="237" spans="1:12" ht="22.5">
      <c r="A237" s="181">
        <v>46193</v>
      </c>
      <c r="B237" s="182" t="s">
        <v>3140</v>
      </c>
      <c r="C237" s="182" t="s">
        <v>257</v>
      </c>
      <c r="D237" s="182" t="s">
        <v>2939</v>
      </c>
      <c r="E237" s="182" t="s">
        <v>250</v>
      </c>
      <c r="F237" s="182" t="s">
        <v>2804</v>
      </c>
      <c r="G237" s="183">
        <v>19.547999999999998</v>
      </c>
      <c r="H237" s="183">
        <v>0</v>
      </c>
      <c r="I237" s="183">
        <v>17.9451</v>
      </c>
      <c r="J237" s="183">
        <v>17.9451</v>
      </c>
      <c r="K237" s="182" t="s">
        <v>3141</v>
      </c>
      <c r="L237">
        <f>VLOOKUP(C237,'[1]SR No. party'!$A:$B,2,0)</f>
        <v>2</v>
      </c>
    </row>
    <row r="238" spans="1:12" ht="22.5">
      <c r="A238" s="181">
        <v>46193</v>
      </c>
      <c r="B238" s="182" t="s">
        <v>3140</v>
      </c>
      <c r="C238" s="182" t="s">
        <v>257</v>
      </c>
      <c r="D238" s="182" t="s">
        <v>2933</v>
      </c>
      <c r="E238" s="182" t="s">
        <v>250</v>
      </c>
      <c r="F238" s="182" t="s">
        <v>2804</v>
      </c>
      <c r="G238" s="183">
        <v>32.61</v>
      </c>
      <c r="H238" s="183">
        <v>0</v>
      </c>
      <c r="I238" s="183">
        <v>29.936</v>
      </c>
      <c r="J238" s="183">
        <v>29.936</v>
      </c>
      <c r="K238" s="182" t="s">
        <v>3141</v>
      </c>
      <c r="L238">
        <f>VLOOKUP(C238,'[1]SR No. party'!$A:$B,2,0)</f>
        <v>2</v>
      </c>
    </row>
    <row r="239" spans="1:12" ht="22.5">
      <c r="A239" s="181">
        <v>46193</v>
      </c>
      <c r="B239" s="182" t="s">
        <v>3140</v>
      </c>
      <c r="C239" s="182" t="s">
        <v>257</v>
      </c>
      <c r="D239" s="182" t="s">
        <v>2893</v>
      </c>
      <c r="E239" s="182" t="s">
        <v>250</v>
      </c>
      <c r="F239" s="182" t="s">
        <v>2804</v>
      </c>
      <c r="G239" s="183">
        <v>25.76</v>
      </c>
      <c r="H239" s="183">
        <v>0</v>
      </c>
      <c r="I239" s="183">
        <v>23.6477</v>
      </c>
      <c r="J239" s="183">
        <v>23.6477</v>
      </c>
      <c r="K239" s="182" t="s">
        <v>3141</v>
      </c>
      <c r="L239">
        <f>VLOOKUP(C239,'[1]SR No. party'!$A:$B,2,0)</f>
        <v>2</v>
      </c>
    </row>
    <row r="240" spans="1:12" ht="22.5">
      <c r="A240" s="181">
        <v>46193</v>
      </c>
      <c r="B240" s="182" t="s">
        <v>3140</v>
      </c>
      <c r="C240" s="182" t="s">
        <v>257</v>
      </c>
      <c r="D240" s="182" t="s">
        <v>2931</v>
      </c>
      <c r="E240" s="182" t="s">
        <v>250</v>
      </c>
      <c r="F240" s="182" t="s">
        <v>2804</v>
      </c>
      <c r="G240" s="183">
        <v>17.690000000000001</v>
      </c>
      <c r="H240" s="183">
        <v>0</v>
      </c>
      <c r="I240" s="183">
        <v>16.2394</v>
      </c>
      <c r="J240" s="183">
        <v>16.2394</v>
      </c>
      <c r="K240" s="182" t="s">
        <v>3141</v>
      </c>
      <c r="L240">
        <f>VLOOKUP(C240,'[1]SR No. party'!$A:$B,2,0)</f>
        <v>2</v>
      </c>
    </row>
    <row r="241" spans="1:12" ht="22.5">
      <c r="A241" s="181">
        <v>46193</v>
      </c>
      <c r="B241" s="182" t="s">
        <v>3140</v>
      </c>
      <c r="C241" s="182" t="s">
        <v>257</v>
      </c>
      <c r="D241" s="182" t="s">
        <v>2938</v>
      </c>
      <c r="E241" s="182" t="s">
        <v>250</v>
      </c>
      <c r="F241" s="182" t="s">
        <v>2804</v>
      </c>
      <c r="G241" s="183">
        <v>37.25</v>
      </c>
      <c r="H241" s="183">
        <v>0</v>
      </c>
      <c r="I241" s="183">
        <v>34.195500000000003</v>
      </c>
      <c r="J241" s="183">
        <v>34.195500000000003</v>
      </c>
      <c r="K241" s="182" t="s">
        <v>3141</v>
      </c>
      <c r="L241">
        <f>VLOOKUP(C241,'[1]SR No. party'!$A:$B,2,0)</f>
        <v>2</v>
      </c>
    </row>
    <row r="242" spans="1:12" ht="22.5">
      <c r="A242" s="181">
        <v>46193</v>
      </c>
      <c r="B242" s="182" t="s">
        <v>3151</v>
      </c>
      <c r="C242" s="182" t="s">
        <v>276</v>
      </c>
      <c r="D242" s="182" t="s">
        <v>3152</v>
      </c>
      <c r="E242" s="182" t="s">
        <v>250</v>
      </c>
      <c r="F242" s="182" t="s">
        <v>2856</v>
      </c>
      <c r="G242" s="183">
        <v>3.8976000000000002</v>
      </c>
      <c r="H242" s="183">
        <v>0</v>
      </c>
      <c r="I242" s="183">
        <v>3.5701999999999998</v>
      </c>
      <c r="J242" s="183">
        <v>3.5701999999999998</v>
      </c>
      <c r="K242" s="182" t="s">
        <v>3153</v>
      </c>
      <c r="L242">
        <f>VLOOKUP(C242,'[1]SR No. party'!$A:$B,2,0)</f>
        <v>8</v>
      </c>
    </row>
    <row r="243" spans="1:12" ht="22.5">
      <c r="A243" s="181">
        <v>46193</v>
      </c>
      <c r="B243" s="182" t="s">
        <v>3151</v>
      </c>
      <c r="C243" s="182" t="s">
        <v>276</v>
      </c>
      <c r="D243" s="182" t="s">
        <v>3152</v>
      </c>
      <c r="E243" s="182" t="s">
        <v>250</v>
      </c>
      <c r="F243" s="182" t="s">
        <v>2856</v>
      </c>
      <c r="G243" s="183">
        <v>2.2302</v>
      </c>
      <c r="H243" s="183">
        <v>0</v>
      </c>
      <c r="I243" s="183">
        <v>2.0428999999999999</v>
      </c>
      <c r="J243" s="183">
        <v>2.0428999999999999</v>
      </c>
      <c r="K243" s="182" t="s">
        <v>3153</v>
      </c>
      <c r="L243">
        <f>VLOOKUP(C243,'[1]SR No. party'!$A:$B,2,0)</f>
        <v>8</v>
      </c>
    </row>
    <row r="244" spans="1:12" ht="22.5">
      <c r="A244" s="181">
        <v>46193</v>
      </c>
      <c r="B244" s="182" t="s">
        <v>3151</v>
      </c>
      <c r="C244" s="182" t="s">
        <v>276</v>
      </c>
      <c r="D244" s="182" t="s">
        <v>3152</v>
      </c>
      <c r="E244" s="182" t="s">
        <v>250</v>
      </c>
      <c r="F244" s="182" t="s">
        <v>2856</v>
      </c>
      <c r="G244" s="183">
        <v>3.8317999999999999</v>
      </c>
      <c r="H244" s="183">
        <v>0</v>
      </c>
      <c r="I244" s="183">
        <v>3.5099</v>
      </c>
      <c r="J244" s="183">
        <v>3.5099</v>
      </c>
      <c r="K244" s="182" t="s">
        <v>3153</v>
      </c>
      <c r="L244">
        <f>VLOOKUP(C244,'[1]SR No. party'!$A:$B,2,0)</f>
        <v>8</v>
      </c>
    </row>
    <row r="245" spans="1:12" ht="22.5">
      <c r="A245" s="181">
        <v>46193</v>
      </c>
      <c r="B245" s="182" t="s">
        <v>3151</v>
      </c>
      <c r="C245" s="182" t="s">
        <v>276</v>
      </c>
      <c r="D245" s="182" t="s">
        <v>3154</v>
      </c>
      <c r="E245" s="182" t="s">
        <v>250</v>
      </c>
      <c r="F245" s="182" t="s">
        <v>2856</v>
      </c>
      <c r="G245" s="183">
        <v>2.0337000000000001</v>
      </c>
      <c r="H245" s="183">
        <v>0</v>
      </c>
      <c r="I245" s="183">
        <v>1.8629</v>
      </c>
      <c r="J245" s="183">
        <v>1.8629</v>
      </c>
      <c r="K245" s="182" t="s">
        <v>3153</v>
      </c>
      <c r="L245">
        <f>VLOOKUP(C245,'[1]SR No. party'!$A:$B,2,0)</f>
        <v>8</v>
      </c>
    </row>
    <row r="246" spans="1:12" ht="22.5">
      <c r="A246" s="181">
        <v>46193</v>
      </c>
      <c r="B246" s="182" t="s">
        <v>3151</v>
      </c>
      <c r="C246" s="182" t="s">
        <v>276</v>
      </c>
      <c r="D246" s="182" t="s">
        <v>3154</v>
      </c>
      <c r="E246" s="182" t="s">
        <v>250</v>
      </c>
      <c r="F246" s="182" t="s">
        <v>2856</v>
      </c>
      <c r="G246" s="183">
        <v>3.3542999999999998</v>
      </c>
      <c r="H246" s="183">
        <v>0</v>
      </c>
      <c r="I246" s="183">
        <v>3.0724999999999998</v>
      </c>
      <c r="J246" s="183">
        <v>3.0724999999999998</v>
      </c>
      <c r="K246" s="182" t="s">
        <v>3153</v>
      </c>
      <c r="L246">
        <f>VLOOKUP(C246,'[1]SR No. party'!$A:$B,2,0)</f>
        <v>8</v>
      </c>
    </row>
    <row r="247" spans="1:12" ht="22.5">
      <c r="A247" s="181">
        <v>46193</v>
      </c>
      <c r="B247" s="182" t="s">
        <v>3151</v>
      </c>
      <c r="C247" s="182" t="s">
        <v>276</v>
      </c>
      <c r="D247" s="182" t="s">
        <v>3152</v>
      </c>
      <c r="E247" s="182" t="s">
        <v>250</v>
      </c>
      <c r="F247" s="182" t="s">
        <v>2856</v>
      </c>
      <c r="G247" s="183">
        <v>2.2684000000000002</v>
      </c>
      <c r="H247" s="183">
        <v>0</v>
      </c>
      <c r="I247" s="183">
        <v>2.0779000000000001</v>
      </c>
      <c r="J247" s="183">
        <v>2.0779000000000001</v>
      </c>
      <c r="K247" s="182" t="s">
        <v>3153</v>
      </c>
      <c r="L247">
        <f>VLOOKUP(C247,'[1]SR No. party'!$A:$B,2,0)</f>
        <v>8</v>
      </c>
    </row>
    <row r="248" spans="1:12" ht="22.5">
      <c r="A248" s="181">
        <v>46193</v>
      </c>
      <c r="B248" s="182" t="s">
        <v>3155</v>
      </c>
      <c r="C248" s="182" t="s">
        <v>258</v>
      </c>
      <c r="D248" s="182" t="s">
        <v>3156</v>
      </c>
      <c r="E248" s="182" t="s">
        <v>250</v>
      </c>
      <c r="F248" s="182" t="s">
        <v>2804</v>
      </c>
      <c r="G248" s="183">
        <v>24.718</v>
      </c>
      <c r="H248" s="183">
        <v>0</v>
      </c>
      <c r="I248" s="183">
        <v>22.691099999999999</v>
      </c>
      <c r="J248" s="183">
        <v>22.691099999999999</v>
      </c>
      <c r="K248" s="182" t="s">
        <v>3157</v>
      </c>
      <c r="L248">
        <f>VLOOKUP(C248,'[1]SR No. party'!$A:$B,2,0)</f>
        <v>1</v>
      </c>
    </row>
    <row r="249" spans="1:12" ht="22.5">
      <c r="A249" s="181">
        <v>46193</v>
      </c>
      <c r="B249" s="182" t="s">
        <v>3155</v>
      </c>
      <c r="C249" s="182" t="s">
        <v>258</v>
      </c>
      <c r="D249" s="182" t="s">
        <v>2921</v>
      </c>
      <c r="E249" s="182" t="s">
        <v>250</v>
      </c>
      <c r="F249" s="182" t="s">
        <v>2804</v>
      </c>
      <c r="G249" s="183">
        <v>38.139299999999999</v>
      </c>
      <c r="H249" s="183">
        <v>0</v>
      </c>
      <c r="I249" s="183">
        <v>35.011899999999997</v>
      </c>
      <c r="J249" s="183">
        <v>35.011899999999997</v>
      </c>
      <c r="K249" s="182" t="s">
        <v>2922</v>
      </c>
      <c r="L249">
        <f>VLOOKUP(C249,'[1]SR No. party'!$A:$B,2,0)</f>
        <v>1</v>
      </c>
    </row>
    <row r="250" spans="1:12" ht="22.5">
      <c r="A250" s="181">
        <v>46193</v>
      </c>
      <c r="B250" s="182" t="s">
        <v>3155</v>
      </c>
      <c r="C250" s="182" t="s">
        <v>258</v>
      </c>
      <c r="D250" s="182" t="s">
        <v>2921</v>
      </c>
      <c r="E250" s="182" t="s">
        <v>250</v>
      </c>
      <c r="F250" s="182" t="s">
        <v>2804</v>
      </c>
      <c r="G250" s="183">
        <v>7.7000000000000002E-3</v>
      </c>
      <c r="H250" s="183">
        <v>0</v>
      </c>
      <c r="I250" s="183">
        <v>7.1000000000000004E-3</v>
      </c>
      <c r="J250" s="183">
        <v>7.1000000000000004E-3</v>
      </c>
      <c r="K250" s="182" t="s">
        <v>2922</v>
      </c>
      <c r="L250">
        <f>VLOOKUP(C250,'[1]SR No. party'!$A:$B,2,0)</f>
        <v>1</v>
      </c>
    </row>
    <row r="251" spans="1:12" ht="22.5">
      <c r="A251" s="181">
        <v>46193</v>
      </c>
      <c r="B251" s="182" t="s">
        <v>3158</v>
      </c>
      <c r="C251" s="182" t="s">
        <v>258</v>
      </c>
      <c r="D251" s="182" t="s">
        <v>2897</v>
      </c>
      <c r="E251" s="182" t="s">
        <v>250</v>
      </c>
      <c r="F251" s="182" t="s">
        <v>2804</v>
      </c>
      <c r="G251" s="183">
        <v>18.754999999999999</v>
      </c>
      <c r="H251" s="183">
        <v>0</v>
      </c>
      <c r="I251" s="183">
        <v>17.217099999999999</v>
      </c>
      <c r="J251" s="183">
        <v>17.217099999999999</v>
      </c>
      <c r="K251" s="182" t="s">
        <v>2888</v>
      </c>
      <c r="L251">
        <f>VLOOKUP(C251,'[1]SR No. party'!$A:$B,2,0)</f>
        <v>1</v>
      </c>
    </row>
    <row r="252" spans="1:12" ht="22.5">
      <c r="A252" s="181">
        <v>46193</v>
      </c>
      <c r="B252" s="182" t="s">
        <v>3158</v>
      </c>
      <c r="C252" s="182" t="s">
        <v>258</v>
      </c>
      <c r="D252" s="182" t="s">
        <v>3159</v>
      </c>
      <c r="E252" s="182" t="s">
        <v>250</v>
      </c>
      <c r="F252" s="182" t="s">
        <v>2804</v>
      </c>
      <c r="G252" s="183">
        <v>24.016100000000002</v>
      </c>
      <c r="H252" s="183">
        <v>0</v>
      </c>
      <c r="I252" s="183">
        <v>22.046800000000001</v>
      </c>
      <c r="J252" s="183">
        <v>22.046800000000001</v>
      </c>
      <c r="K252" s="182" t="s">
        <v>2914</v>
      </c>
      <c r="L252">
        <f>VLOOKUP(C252,'[1]SR No. party'!$A:$B,2,0)</f>
        <v>1</v>
      </c>
    </row>
    <row r="253" spans="1:12" ht="22.5">
      <c r="A253" s="181">
        <v>46193</v>
      </c>
      <c r="B253" s="182" t="s">
        <v>3158</v>
      </c>
      <c r="C253" s="182" t="s">
        <v>258</v>
      </c>
      <c r="D253" s="182" t="s">
        <v>3159</v>
      </c>
      <c r="E253" s="182" t="s">
        <v>250</v>
      </c>
      <c r="F253" s="182" t="s">
        <v>2804</v>
      </c>
      <c r="G253" s="183">
        <v>6.8999999999999999E-3</v>
      </c>
      <c r="H253" s="183">
        <v>0</v>
      </c>
      <c r="I253" s="183">
        <v>6.3E-3</v>
      </c>
      <c r="J253" s="183">
        <v>6.3E-3</v>
      </c>
      <c r="K253" s="182" t="s">
        <v>2914</v>
      </c>
      <c r="L253">
        <f>VLOOKUP(C253,'[1]SR No. party'!$A:$B,2,0)</f>
        <v>1</v>
      </c>
    </row>
    <row r="254" spans="1:12">
      <c r="A254" s="181">
        <v>46193</v>
      </c>
      <c r="B254" s="182" t="s">
        <v>3158</v>
      </c>
      <c r="C254" s="182" t="s">
        <v>258</v>
      </c>
      <c r="D254" s="182" t="s">
        <v>3160</v>
      </c>
      <c r="E254" s="182" t="s">
        <v>250</v>
      </c>
      <c r="F254" s="182" t="s">
        <v>2804</v>
      </c>
      <c r="G254" s="183">
        <v>18.393000000000001</v>
      </c>
      <c r="H254" s="183">
        <v>0</v>
      </c>
      <c r="I254" s="183">
        <v>16.884799999999998</v>
      </c>
      <c r="J254" s="183">
        <v>16.884799999999998</v>
      </c>
      <c r="K254" s="182" t="s">
        <v>3161</v>
      </c>
      <c r="L254">
        <f>VLOOKUP(C254,'[1]SR No. party'!$A:$B,2,0)</f>
        <v>1</v>
      </c>
    </row>
    <row r="255" spans="1:12">
      <c r="A255" s="181">
        <v>46193</v>
      </c>
      <c r="B255" s="182" t="s">
        <v>3158</v>
      </c>
      <c r="C255" s="182" t="s">
        <v>258</v>
      </c>
      <c r="D255" s="182" t="s">
        <v>3162</v>
      </c>
      <c r="E255" s="182" t="s">
        <v>250</v>
      </c>
      <c r="F255" s="182" t="s">
        <v>2804</v>
      </c>
      <c r="G255" s="183">
        <v>16.885000000000002</v>
      </c>
      <c r="H255" s="183">
        <v>0</v>
      </c>
      <c r="I255" s="183">
        <v>15.500400000000001</v>
      </c>
      <c r="J255" s="183">
        <v>15.500400000000001</v>
      </c>
      <c r="K255" s="182" t="s">
        <v>3161</v>
      </c>
      <c r="L255">
        <f>VLOOKUP(C255,'[1]SR No. party'!$A:$B,2,0)</f>
        <v>1</v>
      </c>
    </row>
    <row r="256" spans="1:12" ht="22.5">
      <c r="A256" s="181">
        <v>46193</v>
      </c>
      <c r="B256" s="182" t="s">
        <v>3158</v>
      </c>
      <c r="C256" s="182" t="s">
        <v>258</v>
      </c>
      <c r="D256" s="182" t="s">
        <v>3163</v>
      </c>
      <c r="E256" s="182" t="s">
        <v>250</v>
      </c>
      <c r="F256" s="182" t="s">
        <v>2804</v>
      </c>
      <c r="G256" s="183">
        <v>18.167999999999999</v>
      </c>
      <c r="H256" s="183">
        <v>0</v>
      </c>
      <c r="I256" s="183">
        <v>16.6782</v>
      </c>
      <c r="J256" s="183">
        <v>16.6782</v>
      </c>
      <c r="K256" s="182" t="s">
        <v>2888</v>
      </c>
      <c r="L256">
        <f>VLOOKUP(C256,'[1]SR No. party'!$A:$B,2,0)</f>
        <v>1</v>
      </c>
    </row>
    <row r="257" spans="1:12" ht="22.5">
      <c r="A257" s="181">
        <v>46193</v>
      </c>
      <c r="B257" s="182" t="s">
        <v>3158</v>
      </c>
      <c r="C257" s="182" t="s">
        <v>258</v>
      </c>
      <c r="D257" s="182" t="s">
        <v>2897</v>
      </c>
      <c r="E257" s="182" t="s">
        <v>250</v>
      </c>
      <c r="F257" s="182" t="s">
        <v>2804</v>
      </c>
      <c r="G257" s="183">
        <v>19.271000000000001</v>
      </c>
      <c r="H257" s="183">
        <v>0</v>
      </c>
      <c r="I257" s="183">
        <v>17.690799999999999</v>
      </c>
      <c r="J257" s="183">
        <v>17.690799999999999</v>
      </c>
      <c r="K257" s="182" t="s">
        <v>2888</v>
      </c>
      <c r="L257">
        <f>VLOOKUP(C257,'[1]SR No. party'!$A:$B,2,0)</f>
        <v>1</v>
      </c>
    </row>
    <row r="258" spans="1:12" ht="22.5">
      <c r="A258" s="181">
        <v>46193</v>
      </c>
      <c r="B258" s="182" t="s">
        <v>3158</v>
      </c>
      <c r="C258" s="182" t="s">
        <v>258</v>
      </c>
      <c r="D258" s="182" t="s">
        <v>3163</v>
      </c>
      <c r="E258" s="182" t="s">
        <v>250</v>
      </c>
      <c r="F258" s="182" t="s">
        <v>2804</v>
      </c>
      <c r="G258" s="183">
        <v>17.332999999999998</v>
      </c>
      <c r="H258" s="183">
        <v>0</v>
      </c>
      <c r="I258" s="183">
        <v>15.9117</v>
      </c>
      <c r="J258" s="183">
        <v>15.9117</v>
      </c>
      <c r="K258" s="182" t="s">
        <v>2888</v>
      </c>
      <c r="L258">
        <f>VLOOKUP(C258,'[1]SR No. party'!$A:$B,2,0)</f>
        <v>1</v>
      </c>
    </row>
    <row r="259" spans="1:12" ht="22.5">
      <c r="A259" s="181">
        <v>46193</v>
      </c>
      <c r="B259" s="182" t="s">
        <v>3158</v>
      </c>
      <c r="C259" s="182" t="s">
        <v>258</v>
      </c>
      <c r="D259" s="182" t="s">
        <v>3164</v>
      </c>
      <c r="E259" s="182" t="s">
        <v>250</v>
      </c>
      <c r="F259" s="182" t="s">
        <v>2804</v>
      </c>
      <c r="G259" s="183">
        <v>19.09</v>
      </c>
      <c r="H259" s="183">
        <v>0</v>
      </c>
      <c r="I259" s="183">
        <v>17.5246</v>
      </c>
      <c r="J259" s="183">
        <v>17.5246</v>
      </c>
      <c r="K259" s="182" t="s">
        <v>2894</v>
      </c>
      <c r="L259">
        <f>VLOOKUP(C259,'[1]SR No. party'!$A:$B,2,0)</f>
        <v>1</v>
      </c>
    </row>
    <row r="260" spans="1:12" ht="22.5">
      <c r="A260" s="181">
        <v>46193</v>
      </c>
      <c r="B260" s="182" t="s">
        <v>3158</v>
      </c>
      <c r="C260" s="182" t="s">
        <v>258</v>
      </c>
      <c r="D260" s="182" t="s">
        <v>3163</v>
      </c>
      <c r="E260" s="182" t="s">
        <v>250</v>
      </c>
      <c r="F260" s="182" t="s">
        <v>2804</v>
      </c>
      <c r="G260" s="183">
        <v>18.559000000000001</v>
      </c>
      <c r="H260" s="183">
        <v>0</v>
      </c>
      <c r="I260" s="183">
        <v>17.037199999999999</v>
      </c>
      <c r="J260" s="183">
        <v>17.037199999999999</v>
      </c>
      <c r="K260" s="182" t="s">
        <v>2888</v>
      </c>
      <c r="L260">
        <f>VLOOKUP(C260,'[1]SR No. party'!$A:$B,2,0)</f>
        <v>1</v>
      </c>
    </row>
    <row r="261" spans="1:12" ht="22.5">
      <c r="A261" s="181">
        <v>46193</v>
      </c>
      <c r="B261" s="182" t="s">
        <v>3158</v>
      </c>
      <c r="C261" s="182" t="s">
        <v>258</v>
      </c>
      <c r="D261" s="182" t="s">
        <v>3164</v>
      </c>
      <c r="E261" s="182" t="s">
        <v>250</v>
      </c>
      <c r="F261" s="182" t="s">
        <v>2804</v>
      </c>
      <c r="G261" s="183">
        <v>19.672999999999998</v>
      </c>
      <c r="H261" s="183">
        <v>0</v>
      </c>
      <c r="I261" s="183">
        <v>18.059799999999999</v>
      </c>
      <c r="J261" s="183">
        <v>18.059799999999999</v>
      </c>
      <c r="K261" s="182" t="s">
        <v>2894</v>
      </c>
      <c r="L261">
        <f>VLOOKUP(C261,'[1]SR No. party'!$A:$B,2,0)</f>
        <v>1</v>
      </c>
    </row>
    <row r="262" spans="1:12" ht="22.5">
      <c r="A262" s="181">
        <v>46193</v>
      </c>
      <c r="B262" s="182" t="s">
        <v>3158</v>
      </c>
      <c r="C262" s="182" t="s">
        <v>258</v>
      </c>
      <c r="D262" s="182" t="s">
        <v>3165</v>
      </c>
      <c r="E262" s="182" t="s">
        <v>250</v>
      </c>
      <c r="F262" s="182" t="s">
        <v>2804</v>
      </c>
      <c r="G262" s="183">
        <v>10.106999999999999</v>
      </c>
      <c r="H262" s="183">
        <v>0</v>
      </c>
      <c r="I262" s="183">
        <v>9.2782</v>
      </c>
      <c r="J262" s="183">
        <v>9.2782</v>
      </c>
      <c r="K262" s="182" t="s">
        <v>2888</v>
      </c>
      <c r="L262">
        <f>VLOOKUP(C262,'[1]SR No. party'!$A:$B,2,0)</f>
        <v>1</v>
      </c>
    </row>
    <row r="263" spans="1:12" ht="22.5">
      <c r="A263" s="181">
        <v>46193</v>
      </c>
      <c r="B263" s="182" t="s">
        <v>3158</v>
      </c>
      <c r="C263" s="182" t="s">
        <v>258</v>
      </c>
      <c r="D263" s="182" t="s">
        <v>2925</v>
      </c>
      <c r="E263" s="182" t="s">
        <v>250</v>
      </c>
      <c r="F263" s="182" t="s">
        <v>2804</v>
      </c>
      <c r="G263" s="183">
        <v>12.343</v>
      </c>
      <c r="H263" s="183">
        <v>0</v>
      </c>
      <c r="I263" s="183">
        <v>11.3309</v>
      </c>
      <c r="J263" s="183">
        <v>11.3309</v>
      </c>
      <c r="K263" s="182" t="s">
        <v>2894</v>
      </c>
      <c r="L263">
        <f>VLOOKUP(C263,'[1]SR No. party'!$A:$B,2,0)</f>
        <v>1</v>
      </c>
    </row>
    <row r="264" spans="1:12">
      <c r="A264" s="181">
        <v>46193</v>
      </c>
      <c r="B264" s="182" t="s">
        <v>3158</v>
      </c>
      <c r="C264" s="182" t="s">
        <v>258</v>
      </c>
      <c r="D264" s="182" t="s">
        <v>3166</v>
      </c>
      <c r="E264" s="182" t="s">
        <v>250</v>
      </c>
      <c r="F264" s="182" t="s">
        <v>2804</v>
      </c>
      <c r="G264" s="183">
        <v>17.158000000000001</v>
      </c>
      <c r="H264" s="183">
        <v>0</v>
      </c>
      <c r="I264" s="183">
        <v>15.750999999999999</v>
      </c>
      <c r="J264" s="183">
        <v>15.750999999999999</v>
      </c>
      <c r="K264" s="182" t="s">
        <v>3161</v>
      </c>
      <c r="L264">
        <f>VLOOKUP(C264,'[1]SR No. party'!$A:$B,2,0)</f>
        <v>1</v>
      </c>
    </row>
    <row r="265" spans="1:12" ht="22.5">
      <c r="A265" s="181">
        <v>46193</v>
      </c>
      <c r="B265" s="182" t="s">
        <v>3158</v>
      </c>
      <c r="C265" s="182" t="s">
        <v>258</v>
      </c>
      <c r="D265" s="182" t="s">
        <v>3165</v>
      </c>
      <c r="E265" s="182" t="s">
        <v>250</v>
      </c>
      <c r="F265" s="182" t="s">
        <v>2804</v>
      </c>
      <c r="G265" s="183">
        <v>9.9260000000000002</v>
      </c>
      <c r="H265" s="183">
        <v>0</v>
      </c>
      <c r="I265" s="183">
        <v>9.1120999999999999</v>
      </c>
      <c r="J265" s="183">
        <v>9.1120999999999999</v>
      </c>
      <c r="K265" s="182" t="s">
        <v>2888</v>
      </c>
      <c r="L265">
        <f>VLOOKUP(C265,'[1]SR No. party'!$A:$B,2,0)</f>
        <v>1</v>
      </c>
    </row>
    <row r="266" spans="1:12" ht="22.5">
      <c r="A266" s="181">
        <v>46193</v>
      </c>
      <c r="B266" s="182" t="s">
        <v>3158</v>
      </c>
      <c r="C266" s="182" t="s">
        <v>258</v>
      </c>
      <c r="D266" s="182" t="s">
        <v>3167</v>
      </c>
      <c r="E266" s="182" t="s">
        <v>250</v>
      </c>
      <c r="F266" s="182" t="s">
        <v>2804</v>
      </c>
      <c r="G266" s="183">
        <v>25.829000000000001</v>
      </c>
      <c r="H266" s="183">
        <v>0</v>
      </c>
      <c r="I266" s="183">
        <v>23.710999999999999</v>
      </c>
      <c r="J266" s="183">
        <v>23.710999999999999</v>
      </c>
      <c r="K266" s="182" t="s">
        <v>2888</v>
      </c>
      <c r="L266">
        <f>VLOOKUP(C266,'[1]SR No. party'!$A:$B,2,0)</f>
        <v>1</v>
      </c>
    </row>
    <row r="267" spans="1:12" ht="22.5">
      <c r="A267" s="181">
        <v>46193</v>
      </c>
      <c r="B267" s="182" t="s">
        <v>3158</v>
      </c>
      <c r="C267" s="182" t="s">
        <v>258</v>
      </c>
      <c r="D267" s="182" t="s">
        <v>3168</v>
      </c>
      <c r="E267" s="182" t="s">
        <v>250</v>
      </c>
      <c r="F267" s="182" t="s">
        <v>2804</v>
      </c>
      <c r="G267" s="183">
        <v>23.545999999999999</v>
      </c>
      <c r="H267" s="183">
        <v>0</v>
      </c>
      <c r="I267" s="183">
        <v>21.615200000000002</v>
      </c>
      <c r="J267" s="183">
        <v>21.615200000000002</v>
      </c>
      <c r="K267" s="182" t="s">
        <v>2894</v>
      </c>
      <c r="L267">
        <f>VLOOKUP(C267,'[1]SR No. party'!$A:$B,2,0)</f>
        <v>1</v>
      </c>
    </row>
    <row r="268" spans="1:12" ht="22.5">
      <c r="A268" s="181">
        <v>46193</v>
      </c>
      <c r="B268" s="182" t="s">
        <v>3158</v>
      </c>
      <c r="C268" s="182" t="s">
        <v>258</v>
      </c>
      <c r="D268" s="182" t="s">
        <v>3169</v>
      </c>
      <c r="E268" s="182" t="s">
        <v>250</v>
      </c>
      <c r="F268" s="182" t="s">
        <v>2804</v>
      </c>
      <c r="G268" s="183">
        <v>43.883000000000003</v>
      </c>
      <c r="H268" s="183">
        <v>0</v>
      </c>
      <c r="I268" s="183">
        <v>40.284599999999998</v>
      </c>
      <c r="J268" s="183">
        <v>40.284599999999998</v>
      </c>
      <c r="K268" s="182" t="s">
        <v>2888</v>
      </c>
      <c r="L268">
        <f>VLOOKUP(C268,'[1]SR No. party'!$A:$B,2,0)</f>
        <v>1</v>
      </c>
    </row>
    <row r="269" spans="1:12" ht="22.5">
      <c r="A269" s="181">
        <v>46193</v>
      </c>
      <c r="B269" s="182" t="s">
        <v>3158</v>
      </c>
      <c r="C269" s="182" t="s">
        <v>258</v>
      </c>
      <c r="D269" s="182" t="s">
        <v>3169</v>
      </c>
      <c r="E269" s="182" t="s">
        <v>250</v>
      </c>
      <c r="F269" s="182" t="s">
        <v>2804</v>
      </c>
      <c r="G269" s="183">
        <v>46.332000000000001</v>
      </c>
      <c r="H269" s="183">
        <v>0</v>
      </c>
      <c r="I269" s="183">
        <v>42.532800000000002</v>
      </c>
      <c r="J269" s="183">
        <v>42.532800000000002</v>
      </c>
      <c r="K269" s="182" t="s">
        <v>2888</v>
      </c>
      <c r="L269">
        <f>VLOOKUP(C269,'[1]SR No. party'!$A:$B,2,0)</f>
        <v>1</v>
      </c>
    </row>
    <row r="270" spans="1:12" ht="22.5">
      <c r="A270" s="181">
        <v>46193</v>
      </c>
      <c r="B270" s="182" t="s">
        <v>3158</v>
      </c>
      <c r="C270" s="182" t="s">
        <v>258</v>
      </c>
      <c r="D270" s="182" t="s">
        <v>3164</v>
      </c>
      <c r="E270" s="182" t="s">
        <v>250</v>
      </c>
      <c r="F270" s="182" t="s">
        <v>2804</v>
      </c>
      <c r="G270" s="183">
        <v>19.047000000000001</v>
      </c>
      <c r="H270" s="183">
        <v>0</v>
      </c>
      <c r="I270" s="183">
        <v>17.485099999999999</v>
      </c>
      <c r="J270" s="183">
        <v>17.485099999999999</v>
      </c>
      <c r="K270" s="182" t="s">
        <v>2894</v>
      </c>
      <c r="L270">
        <f>VLOOKUP(C270,'[1]SR No. party'!$A:$B,2,0)</f>
        <v>1</v>
      </c>
    </row>
    <row r="271" spans="1:12">
      <c r="A271" s="181">
        <v>46193</v>
      </c>
      <c r="B271" s="182" t="s">
        <v>3158</v>
      </c>
      <c r="C271" s="182" t="s">
        <v>258</v>
      </c>
      <c r="D271" s="182" t="s">
        <v>3166</v>
      </c>
      <c r="E271" s="182" t="s">
        <v>250</v>
      </c>
      <c r="F271" s="182" t="s">
        <v>2804</v>
      </c>
      <c r="G271" s="183">
        <v>17.238</v>
      </c>
      <c r="H271" s="183">
        <v>0</v>
      </c>
      <c r="I271" s="183">
        <v>15.8245</v>
      </c>
      <c r="J271" s="183">
        <v>15.8245</v>
      </c>
      <c r="K271" s="182" t="s">
        <v>3161</v>
      </c>
      <c r="L271">
        <f>VLOOKUP(C271,'[1]SR No. party'!$A:$B,2,0)</f>
        <v>1</v>
      </c>
    </row>
    <row r="272" spans="1:12" ht="22.5">
      <c r="A272" s="181">
        <v>46193</v>
      </c>
      <c r="B272" s="182" t="s">
        <v>3158</v>
      </c>
      <c r="C272" s="182" t="s">
        <v>258</v>
      </c>
      <c r="D272" s="182" t="s">
        <v>3165</v>
      </c>
      <c r="E272" s="182" t="s">
        <v>250</v>
      </c>
      <c r="F272" s="182" t="s">
        <v>2804</v>
      </c>
      <c r="G272" s="183">
        <v>10.051</v>
      </c>
      <c r="H272" s="183">
        <v>0</v>
      </c>
      <c r="I272" s="183">
        <v>9.2268000000000008</v>
      </c>
      <c r="J272" s="183">
        <v>9.2268000000000008</v>
      </c>
      <c r="K272" s="182" t="s">
        <v>2888</v>
      </c>
      <c r="L272">
        <f>VLOOKUP(C272,'[1]SR No. party'!$A:$B,2,0)</f>
        <v>1</v>
      </c>
    </row>
    <row r="273" spans="1:12" ht="22.5">
      <c r="A273" s="181">
        <v>46193</v>
      </c>
      <c r="B273" s="182" t="s">
        <v>3158</v>
      </c>
      <c r="C273" s="182" t="s">
        <v>258</v>
      </c>
      <c r="D273" s="182" t="s">
        <v>3167</v>
      </c>
      <c r="E273" s="182" t="s">
        <v>250</v>
      </c>
      <c r="F273" s="182" t="s">
        <v>2804</v>
      </c>
      <c r="G273" s="183">
        <v>25.725999999999999</v>
      </c>
      <c r="H273" s="183">
        <v>0</v>
      </c>
      <c r="I273" s="183">
        <v>23.616499999999998</v>
      </c>
      <c r="J273" s="183">
        <v>23.616499999999998</v>
      </c>
      <c r="K273" s="182" t="s">
        <v>2888</v>
      </c>
      <c r="L273">
        <f>VLOOKUP(C273,'[1]SR No. party'!$A:$B,2,0)</f>
        <v>1</v>
      </c>
    </row>
    <row r="274" spans="1:12" ht="22.5">
      <c r="A274" s="181">
        <v>46193</v>
      </c>
      <c r="B274" s="182" t="s">
        <v>3158</v>
      </c>
      <c r="C274" s="182" t="s">
        <v>258</v>
      </c>
      <c r="D274" s="182" t="s">
        <v>3163</v>
      </c>
      <c r="E274" s="182" t="s">
        <v>250</v>
      </c>
      <c r="F274" s="182" t="s">
        <v>2804</v>
      </c>
      <c r="G274" s="183">
        <v>18.632000000000001</v>
      </c>
      <c r="H274" s="183">
        <v>0</v>
      </c>
      <c r="I274" s="183">
        <v>17.104199999999999</v>
      </c>
      <c r="J274" s="183">
        <v>17.104199999999999</v>
      </c>
      <c r="K274" s="182" t="s">
        <v>2888</v>
      </c>
      <c r="L274">
        <f>VLOOKUP(C274,'[1]SR No. party'!$A:$B,2,0)</f>
        <v>1</v>
      </c>
    </row>
    <row r="275" spans="1:12" ht="22.5">
      <c r="A275" s="181">
        <v>46193</v>
      </c>
      <c r="B275" s="182" t="s">
        <v>3158</v>
      </c>
      <c r="C275" s="182" t="s">
        <v>258</v>
      </c>
      <c r="D275" s="182" t="s">
        <v>2892</v>
      </c>
      <c r="E275" s="182" t="s">
        <v>250</v>
      </c>
      <c r="F275" s="182" t="s">
        <v>2804</v>
      </c>
      <c r="G275" s="183">
        <v>30.09</v>
      </c>
      <c r="H275" s="183">
        <v>0</v>
      </c>
      <c r="I275" s="183">
        <v>27.622599999999998</v>
      </c>
      <c r="J275" s="183">
        <v>27.622599999999998</v>
      </c>
      <c r="K275" s="182" t="s">
        <v>2894</v>
      </c>
      <c r="L275">
        <f>VLOOKUP(C275,'[1]SR No. party'!$A:$B,2,0)</f>
        <v>1</v>
      </c>
    </row>
    <row r="276" spans="1:12">
      <c r="A276" s="181">
        <v>46193</v>
      </c>
      <c r="B276" s="182" t="s">
        <v>3158</v>
      </c>
      <c r="C276" s="182" t="s">
        <v>258</v>
      </c>
      <c r="D276" s="182" t="s">
        <v>3162</v>
      </c>
      <c r="E276" s="182" t="s">
        <v>250</v>
      </c>
      <c r="F276" s="182" t="s">
        <v>2804</v>
      </c>
      <c r="G276" s="183">
        <v>16.954999999999998</v>
      </c>
      <c r="H276" s="183">
        <v>0</v>
      </c>
      <c r="I276" s="183">
        <v>15.5647</v>
      </c>
      <c r="J276" s="183">
        <v>15.5647</v>
      </c>
      <c r="K276" s="182" t="s">
        <v>3161</v>
      </c>
      <c r="L276">
        <f>VLOOKUP(C276,'[1]SR No. party'!$A:$B,2,0)</f>
        <v>1</v>
      </c>
    </row>
    <row r="277" spans="1:12" ht="22.5">
      <c r="A277" s="181">
        <v>46193</v>
      </c>
      <c r="B277" s="182" t="s">
        <v>3158</v>
      </c>
      <c r="C277" s="182" t="s">
        <v>258</v>
      </c>
      <c r="D277" s="182" t="s">
        <v>2897</v>
      </c>
      <c r="E277" s="182" t="s">
        <v>250</v>
      </c>
      <c r="F277" s="182" t="s">
        <v>2804</v>
      </c>
      <c r="G277" s="183">
        <v>18.829000000000001</v>
      </c>
      <c r="H277" s="183">
        <v>0</v>
      </c>
      <c r="I277" s="183">
        <v>17.285</v>
      </c>
      <c r="J277" s="183">
        <v>17.285</v>
      </c>
      <c r="K277" s="182" t="s">
        <v>2888</v>
      </c>
      <c r="L277">
        <f>VLOOKUP(C277,'[1]SR No. party'!$A:$B,2,0)</f>
        <v>1</v>
      </c>
    </row>
    <row r="278" spans="1:12" ht="22.5">
      <c r="A278" s="181">
        <v>46193</v>
      </c>
      <c r="B278" s="182" t="s">
        <v>3158</v>
      </c>
      <c r="C278" s="182" t="s">
        <v>258</v>
      </c>
      <c r="D278" s="182" t="s">
        <v>3170</v>
      </c>
      <c r="E278" s="182" t="s">
        <v>250</v>
      </c>
      <c r="F278" s="182" t="s">
        <v>2804</v>
      </c>
      <c r="G278" s="183">
        <v>23.492999999999999</v>
      </c>
      <c r="H278" s="183">
        <v>0</v>
      </c>
      <c r="I278" s="183">
        <v>21.566600000000001</v>
      </c>
      <c r="J278" s="183">
        <v>21.566600000000001</v>
      </c>
      <c r="K278" s="182" t="s">
        <v>2894</v>
      </c>
      <c r="L278">
        <f>VLOOKUP(C278,'[1]SR No. party'!$A:$B,2,0)</f>
        <v>1</v>
      </c>
    </row>
    <row r="279" spans="1:12" ht="22.5">
      <c r="A279" s="181">
        <v>46193</v>
      </c>
      <c r="B279" s="182" t="s">
        <v>3158</v>
      </c>
      <c r="C279" s="182" t="s">
        <v>258</v>
      </c>
      <c r="D279" s="182" t="s">
        <v>2925</v>
      </c>
      <c r="E279" s="182" t="s">
        <v>250</v>
      </c>
      <c r="F279" s="182" t="s">
        <v>2804</v>
      </c>
      <c r="G279" s="183">
        <v>12.054</v>
      </c>
      <c r="H279" s="183">
        <v>0</v>
      </c>
      <c r="I279" s="183">
        <v>11.0656</v>
      </c>
      <c r="J279" s="183">
        <v>11.0656</v>
      </c>
      <c r="K279" s="182" t="s">
        <v>2894</v>
      </c>
      <c r="L279">
        <f>VLOOKUP(C279,'[1]SR No. party'!$A:$B,2,0)</f>
        <v>1</v>
      </c>
    </row>
    <row r="280" spans="1:12" ht="22.5">
      <c r="A280" s="181">
        <v>46193</v>
      </c>
      <c r="B280" s="182" t="s">
        <v>3158</v>
      </c>
      <c r="C280" s="182" t="s">
        <v>258</v>
      </c>
      <c r="D280" s="182" t="s">
        <v>3170</v>
      </c>
      <c r="E280" s="182" t="s">
        <v>250</v>
      </c>
      <c r="F280" s="182" t="s">
        <v>2804</v>
      </c>
      <c r="G280" s="183">
        <v>24.238</v>
      </c>
      <c r="H280" s="183">
        <v>0</v>
      </c>
      <c r="I280" s="183">
        <v>22.250499999999999</v>
      </c>
      <c r="J280" s="183">
        <v>22.250499999999999</v>
      </c>
      <c r="K280" s="182" t="s">
        <v>2894</v>
      </c>
      <c r="L280">
        <f>VLOOKUP(C280,'[1]SR No. party'!$A:$B,2,0)</f>
        <v>1</v>
      </c>
    </row>
    <row r="281" spans="1:12" ht="22.5">
      <c r="A281" s="181">
        <v>46193</v>
      </c>
      <c r="B281" s="182" t="s">
        <v>3158</v>
      </c>
      <c r="C281" s="182" t="s">
        <v>258</v>
      </c>
      <c r="D281" s="182" t="s">
        <v>3165</v>
      </c>
      <c r="E281" s="182" t="s">
        <v>250</v>
      </c>
      <c r="F281" s="182" t="s">
        <v>2804</v>
      </c>
      <c r="G281" s="183">
        <v>10.15</v>
      </c>
      <c r="H281" s="183">
        <v>0</v>
      </c>
      <c r="I281" s="183">
        <v>9.3177000000000003</v>
      </c>
      <c r="J281" s="183">
        <v>9.3177000000000003</v>
      </c>
      <c r="K281" s="182" t="s">
        <v>2888</v>
      </c>
      <c r="L281">
        <f>VLOOKUP(C281,'[1]SR No. party'!$A:$B,2,0)</f>
        <v>1</v>
      </c>
    </row>
    <row r="282" spans="1:12" ht="22.5">
      <c r="A282" s="181">
        <v>46193</v>
      </c>
      <c r="B282" s="182" t="s">
        <v>3158</v>
      </c>
      <c r="C282" s="182" t="s">
        <v>258</v>
      </c>
      <c r="D282" s="182" t="s">
        <v>3168</v>
      </c>
      <c r="E282" s="182" t="s">
        <v>250</v>
      </c>
      <c r="F282" s="182" t="s">
        <v>2804</v>
      </c>
      <c r="G282" s="183">
        <v>22.681999999999999</v>
      </c>
      <c r="H282" s="183">
        <v>0</v>
      </c>
      <c r="I282" s="183">
        <v>20.822099999999999</v>
      </c>
      <c r="J282" s="183">
        <v>20.822099999999999</v>
      </c>
      <c r="K282" s="182" t="s">
        <v>2894</v>
      </c>
      <c r="L282">
        <f>VLOOKUP(C282,'[1]SR No. party'!$A:$B,2,0)</f>
        <v>1</v>
      </c>
    </row>
    <row r="283" spans="1:12" ht="22.5">
      <c r="A283" s="181">
        <v>46193</v>
      </c>
      <c r="B283" s="182" t="s">
        <v>3158</v>
      </c>
      <c r="C283" s="182" t="s">
        <v>258</v>
      </c>
      <c r="D283" s="182" t="s">
        <v>3165</v>
      </c>
      <c r="E283" s="182" t="s">
        <v>250</v>
      </c>
      <c r="F283" s="182" t="s">
        <v>2804</v>
      </c>
      <c r="G283" s="183">
        <v>9.6289999999999996</v>
      </c>
      <c r="H283" s="183">
        <v>0</v>
      </c>
      <c r="I283" s="183">
        <v>8.8393999999999995</v>
      </c>
      <c r="J283" s="183">
        <v>8.8393999999999995</v>
      </c>
      <c r="K283" s="182" t="s">
        <v>2888</v>
      </c>
      <c r="L283">
        <f>VLOOKUP(C283,'[1]SR No. party'!$A:$B,2,0)</f>
        <v>1</v>
      </c>
    </row>
    <row r="284" spans="1:12" ht="22.5">
      <c r="A284" s="181">
        <v>46193</v>
      </c>
      <c r="B284" s="182" t="s">
        <v>3158</v>
      </c>
      <c r="C284" s="182" t="s">
        <v>258</v>
      </c>
      <c r="D284" s="182" t="s">
        <v>3170</v>
      </c>
      <c r="E284" s="182" t="s">
        <v>250</v>
      </c>
      <c r="F284" s="182" t="s">
        <v>2804</v>
      </c>
      <c r="G284" s="183">
        <v>24.103999999999999</v>
      </c>
      <c r="H284" s="183">
        <v>0</v>
      </c>
      <c r="I284" s="183">
        <v>22.127500000000001</v>
      </c>
      <c r="J284" s="183">
        <v>22.127500000000001</v>
      </c>
      <c r="K284" s="182" t="s">
        <v>2894</v>
      </c>
      <c r="L284">
        <f>VLOOKUP(C284,'[1]SR No. party'!$A:$B,2,0)</f>
        <v>1</v>
      </c>
    </row>
    <row r="285" spans="1:12" ht="22.5">
      <c r="A285" s="181">
        <v>46193</v>
      </c>
      <c r="B285" s="182" t="s">
        <v>3158</v>
      </c>
      <c r="C285" s="182" t="s">
        <v>258</v>
      </c>
      <c r="D285" s="182" t="s">
        <v>3167</v>
      </c>
      <c r="E285" s="182" t="s">
        <v>250</v>
      </c>
      <c r="F285" s="182" t="s">
        <v>2804</v>
      </c>
      <c r="G285" s="183">
        <v>25.602</v>
      </c>
      <c r="H285" s="183">
        <v>0</v>
      </c>
      <c r="I285" s="183">
        <v>23.502600000000001</v>
      </c>
      <c r="J285" s="183">
        <v>23.502600000000001</v>
      </c>
      <c r="K285" s="182" t="s">
        <v>2888</v>
      </c>
      <c r="L285">
        <f>VLOOKUP(C285,'[1]SR No. party'!$A:$B,2,0)</f>
        <v>1</v>
      </c>
    </row>
    <row r="286" spans="1:12" ht="22.5">
      <c r="A286" s="181">
        <v>46193</v>
      </c>
      <c r="B286" s="182" t="s">
        <v>3158</v>
      </c>
      <c r="C286" s="182" t="s">
        <v>258</v>
      </c>
      <c r="D286" s="182" t="s">
        <v>2897</v>
      </c>
      <c r="E286" s="182" t="s">
        <v>250</v>
      </c>
      <c r="F286" s="182" t="s">
        <v>2804</v>
      </c>
      <c r="G286" s="183">
        <v>19.164000000000001</v>
      </c>
      <c r="H286" s="183">
        <v>0</v>
      </c>
      <c r="I286" s="183">
        <v>17.592600000000001</v>
      </c>
      <c r="J286" s="183">
        <v>17.592600000000001</v>
      </c>
      <c r="K286" s="182" t="s">
        <v>2888</v>
      </c>
      <c r="L286">
        <f>VLOOKUP(C286,'[1]SR No. party'!$A:$B,2,0)</f>
        <v>1</v>
      </c>
    </row>
    <row r="287" spans="1:12">
      <c r="A287" s="181">
        <v>46193</v>
      </c>
      <c r="B287" s="182" t="s">
        <v>3158</v>
      </c>
      <c r="C287" s="182" t="s">
        <v>258</v>
      </c>
      <c r="D287" s="182" t="s">
        <v>3160</v>
      </c>
      <c r="E287" s="182" t="s">
        <v>250</v>
      </c>
      <c r="F287" s="182" t="s">
        <v>2804</v>
      </c>
      <c r="G287" s="183">
        <v>18.039000000000001</v>
      </c>
      <c r="H287" s="183">
        <v>0</v>
      </c>
      <c r="I287" s="183">
        <v>16.559799999999999</v>
      </c>
      <c r="J287" s="183">
        <v>16.559799999999999</v>
      </c>
      <c r="K287" s="182" t="s">
        <v>3161</v>
      </c>
      <c r="L287">
        <f>VLOOKUP(C287,'[1]SR No. party'!$A:$B,2,0)</f>
        <v>1</v>
      </c>
    </row>
    <row r="288" spans="1:12" ht="22.5">
      <c r="A288" s="181">
        <v>46193</v>
      </c>
      <c r="B288" s="182" t="s">
        <v>3158</v>
      </c>
      <c r="C288" s="182" t="s">
        <v>258</v>
      </c>
      <c r="D288" s="182" t="s">
        <v>2925</v>
      </c>
      <c r="E288" s="182" t="s">
        <v>250</v>
      </c>
      <c r="F288" s="182" t="s">
        <v>2804</v>
      </c>
      <c r="G288" s="183">
        <v>12.398999999999999</v>
      </c>
      <c r="H288" s="183">
        <v>0</v>
      </c>
      <c r="I288" s="183">
        <v>11.382300000000001</v>
      </c>
      <c r="J288" s="183">
        <v>11.382300000000001</v>
      </c>
      <c r="K288" s="182" t="s">
        <v>2894</v>
      </c>
      <c r="L288">
        <f>VLOOKUP(C288,'[1]SR No. party'!$A:$B,2,0)</f>
        <v>1</v>
      </c>
    </row>
    <row r="289" spans="1:12" ht="22.5">
      <c r="A289" s="181">
        <v>46193</v>
      </c>
      <c r="B289" s="182" t="s">
        <v>3158</v>
      </c>
      <c r="C289" s="182" t="s">
        <v>258</v>
      </c>
      <c r="D289" s="182" t="s">
        <v>3163</v>
      </c>
      <c r="E289" s="182" t="s">
        <v>250</v>
      </c>
      <c r="F289" s="182" t="s">
        <v>2804</v>
      </c>
      <c r="G289" s="183">
        <v>18.29</v>
      </c>
      <c r="H289" s="183">
        <v>0</v>
      </c>
      <c r="I289" s="183">
        <v>16.790199999999999</v>
      </c>
      <c r="J289" s="183">
        <v>16.790199999999999</v>
      </c>
      <c r="K289" s="182" t="s">
        <v>2888</v>
      </c>
      <c r="L289">
        <f>VLOOKUP(C289,'[1]SR No. party'!$A:$B,2,0)</f>
        <v>1</v>
      </c>
    </row>
    <row r="290" spans="1:12" ht="22.5">
      <c r="A290" s="181">
        <v>46193</v>
      </c>
      <c r="B290" s="182" t="s">
        <v>3158</v>
      </c>
      <c r="C290" s="182" t="s">
        <v>258</v>
      </c>
      <c r="D290" s="182" t="s">
        <v>3164</v>
      </c>
      <c r="E290" s="182" t="s">
        <v>250</v>
      </c>
      <c r="F290" s="182" t="s">
        <v>2804</v>
      </c>
      <c r="G290" s="183">
        <v>19.82</v>
      </c>
      <c r="H290" s="183">
        <v>0</v>
      </c>
      <c r="I290" s="183">
        <v>18.194800000000001</v>
      </c>
      <c r="J290" s="183">
        <v>18.194800000000001</v>
      </c>
      <c r="K290" s="182" t="s">
        <v>2894</v>
      </c>
      <c r="L290">
        <f>VLOOKUP(C290,'[1]SR No. party'!$A:$B,2,0)</f>
        <v>1</v>
      </c>
    </row>
    <row r="291" spans="1:12" ht="22.5">
      <c r="A291" s="181">
        <v>46193</v>
      </c>
      <c r="B291" s="182" t="s">
        <v>3158</v>
      </c>
      <c r="C291" s="182" t="s">
        <v>258</v>
      </c>
      <c r="D291" s="182" t="s">
        <v>3165</v>
      </c>
      <c r="E291" s="182" t="s">
        <v>250</v>
      </c>
      <c r="F291" s="182" t="s">
        <v>2804</v>
      </c>
      <c r="G291" s="183">
        <v>9.89</v>
      </c>
      <c r="H291" s="183">
        <v>0</v>
      </c>
      <c r="I291" s="183">
        <v>9.0790000000000006</v>
      </c>
      <c r="J291" s="183">
        <v>9.0790000000000006</v>
      </c>
      <c r="K291" s="182" t="s">
        <v>2888</v>
      </c>
      <c r="L291">
        <f>VLOOKUP(C291,'[1]SR No. party'!$A:$B,2,0)</f>
        <v>1</v>
      </c>
    </row>
    <row r="292" spans="1:12" ht="22.5">
      <c r="A292" s="181">
        <v>46193</v>
      </c>
      <c r="B292" s="182" t="s">
        <v>3158</v>
      </c>
      <c r="C292" s="182" t="s">
        <v>258</v>
      </c>
      <c r="D292" s="182" t="s">
        <v>2897</v>
      </c>
      <c r="E292" s="182" t="s">
        <v>250</v>
      </c>
      <c r="F292" s="182" t="s">
        <v>2804</v>
      </c>
      <c r="G292" s="183">
        <v>18.518000000000001</v>
      </c>
      <c r="H292" s="183">
        <v>0</v>
      </c>
      <c r="I292" s="183">
        <v>16.999500000000001</v>
      </c>
      <c r="J292" s="183">
        <v>16.999500000000001</v>
      </c>
      <c r="K292" s="182" t="s">
        <v>2888</v>
      </c>
      <c r="L292">
        <f>VLOOKUP(C292,'[1]SR No. party'!$A:$B,2,0)</f>
        <v>1</v>
      </c>
    </row>
    <row r="293" spans="1:12" ht="22.5">
      <c r="A293" s="181">
        <v>46193</v>
      </c>
      <c r="B293" s="182" t="s">
        <v>3158</v>
      </c>
      <c r="C293" s="182" t="s">
        <v>258</v>
      </c>
      <c r="D293" s="182" t="s">
        <v>3165</v>
      </c>
      <c r="E293" s="182" t="s">
        <v>250</v>
      </c>
      <c r="F293" s="182" t="s">
        <v>2804</v>
      </c>
      <c r="G293" s="183">
        <v>10.407</v>
      </c>
      <c r="H293" s="183">
        <v>0</v>
      </c>
      <c r="I293" s="183">
        <v>9.5535999999999994</v>
      </c>
      <c r="J293" s="183">
        <v>9.5535999999999994</v>
      </c>
      <c r="K293" s="182" t="s">
        <v>2888</v>
      </c>
      <c r="L293">
        <f>VLOOKUP(C293,'[1]SR No. party'!$A:$B,2,0)</f>
        <v>1</v>
      </c>
    </row>
    <row r="294" spans="1:12" ht="22.5">
      <c r="A294" s="181">
        <v>46193</v>
      </c>
      <c r="B294" s="182" t="s">
        <v>3158</v>
      </c>
      <c r="C294" s="182" t="s">
        <v>258</v>
      </c>
      <c r="D294" s="182" t="s">
        <v>3167</v>
      </c>
      <c r="E294" s="182" t="s">
        <v>250</v>
      </c>
      <c r="F294" s="182" t="s">
        <v>2804</v>
      </c>
      <c r="G294" s="183">
        <v>25.08</v>
      </c>
      <c r="H294" s="183">
        <v>0</v>
      </c>
      <c r="I294" s="183">
        <v>23.023399999999999</v>
      </c>
      <c r="J294" s="183">
        <v>23.023399999999999</v>
      </c>
      <c r="K294" s="182" t="s">
        <v>2888</v>
      </c>
      <c r="L294">
        <f>VLOOKUP(C294,'[1]SR No. party'!$A:$B,2,0)</f>
        <v>1</v>
      </c>
    </row>
    <row r="295" spans="1:12" ht="22.5">
      <c r="A295" s="181">
        <v>46193</v>
      </c>
      <c r="B295" s="182" t="s">
        <v>3158</v>
      </c>
      <c r="C295" s="182" t="s">
        <v>258</v>
      </c>
      <c r="D295" s="182" t="s">
        <v>3167</v>
      </c>
      <c r="E295" s="182" t="s">
        <v>250</v>
      </c>
      <c r="F295" s="182" t="s">
        <v>2804</v>
      </c>
      <c r="G295" s="183">
        <v>25.416</v>
      </c>
      <c r="H295" s="183">
        <v>0</v>
      </c>
      <c r="I295" s="183">
        <v>23.331900000000001</v>
      </c>
      <c r="J295" s="183">
        <v>23.331900000000001</v>
      </c>
      <c r="K295" s="182" t="s">
        <v>2888</v>
      </c>
      <c r="L295">
        <f>VLOOKUP(C295,'[1]SR No. party'!$A:$B,2,0)</f>
        <v>1</v>
      </c>
    </row>
    <row r="296" spans="1:12" ht="22.5">
      <c r="A296" s="181">
        <v>46193</v>
      </c>
      <c r="B296" s="182" t="s">
        <v>3158</v>
      </c>
      <c r="C296" s="182" t="s">
        <v>258</v>
      </c>
      <c r="D296" s="182" t="s">
        <v>3168</v>
      </c>
      <c r="E296" s="182" t="s">
        <v>250</v>
      </c>
      <c r="F296" s="182" t="s">
        <v>2804</v>
      </c>
      <c r="G296" s="183">
        <v>22.481000000000002</v>
      </c>
      <c r="H296" s="183">
        <v>0</v>
      </c>
      <c r="I296" s="183">
        <v>20.637599999999999</v>
      </c>
      <c r="J296" s="183">
        <v>20.637599999999999</v>
      </c>
      <c r="K296" s="182" t="s">
        <v>2894</v>
      </c>
      <c r="L296">
        <f>VLOOKUP(C296,'[1]SR No. party'!$A:$B,2,0)</f>
        <v>1</v>
      </c>
    </row>
    <row r="297" spans="1:12" ht="22.5">
      <c r="A297" s="181">
        <v>46193</v>
      </c>
      <c r="B297" s="182" t="s">
        <v>3158</v>
      </c>
      <c r="C297" s="182" t="s">
        <v>258</v>
      </c>
      <c r="D297" s="182" t="s">
        <v>2892</v>
      </c>
      <c r="E297" s="182" t="s">
        <v>250</v>
      </c>
      <c r="F297" s="182" t="s">
        <v>2804</v>
      </c>
      <c r="G297" s="183">
        <v>30.210999999999999</v>
      </c>
      <c r="H297" s="183">
        <v>0</v>
      </c>
      <c r="I297" s="183">
        <v>27.733699999999999</v>
      </c>
      <c r="J297" s="183">
        <v>27.733699999999999</v>
      </c>
      <c r="K297" s="182" t="s">
        <v>2894</v>
      </c>
      <c r="L297">
        <f>VLOOKUP(C297,'[1]SR No. party'!$A:$B,2,0)</f>
        <v>1</v>
      </c>
    </row>
    <row r="298" spans="1:12" ht="22.5">
      <c r="A298" s="181">
        <v>46193</v>
      </c>
      <c r="B298" s="182" t="s">
        <v>3171</v>
      </c>
      <c r="C298" s="182" t="s">
        <v>276</v>
      </c>
      <c r="D298" s="182" t="s">
        <v>3172</v>
      </c>
      <c r="E298" s="182" t="s">
        <v>250</v>
      </c>
      <c r="F298" s="182" t="s">
        <v>2856</v>
      </c>
      <c r="G298" s="183">
        <v>3.8663E-3</v>
      </c>
      <c r="H298" s="183">
        <v>0</v>
      </c>
      <c r="I298" s="183">
        <v>3.5000000000000001E-3</v>
      </c>
      <c r="J298" s="183">
        <v>3.5000000000000001E-3</v>
      </c>
      <c r="K298" s="182" t="s">
        <v>3173</v>
      </c>
      <c r="L298">
        <f>VLOOKUP(C298,'[1]SR No. party'!$A:$B,2,0)</f>
        <v>8</v>
      </c>
    </row>
    <row r="299" spans="1:12" ht="22.5">
      <c r="A299" s="181">
        <v>46193</v>
      </c>
      <c r="B299" s="182" t="s">
        <v>3171</v>
      </c>
      <c r="C299" s="182" t="s">
        <v>276</v>
      </c>
      <c r="D299" s="182" t="s">
        <v>3172</v>
      </c>
      <c r="E299" s="182" t="s">
        <v>250</v>
      </c>
      <c r="F299" s="182" t="s">
        <v>2856</v>
      </c>
      <c r="G299" s="183">
        <v>4.4701336999999999</v>
      </c>
      <c r="H299" s="183">
        <v>0</v>
      </c>
      <c r="I299" s="183">
        <v>4.0945999999999998</v>
      </c>
      <c r="J299" s="183">
        <v>4.0945999999999998</v>
      </c>
      <c r="K299" s="182" t="s">
        <v>3173</v>
      </c>
      <c r="L299">
        <f>VLOOKUP(C299,'[1]SR No. party'!$A:$B,2,0)</f>
        <v>8</v>
      </c>
    </row>
    <row r="300" spans="1:12" ht="22.5">
      <c r="A300" s="181">
        <v>46193</v>
      </c>
      <c r="B300" s="182" t="s">
        <v>3174</v>
      </c>
      <c r="C300" s="182" t="s">
        <v>258</v>
      </c>
      <c r="D300" s="182" t="s">
        <v>3175</v>
      </c>
      <c r="E300" s="182" t="s">
        <v>253</v>
      </c>
      <c r="F300" s="182" t="s">
        <v>282</v>
      </c>
      <c r="G300" s="183">
        <v>11.512</v>
      </c>
      <c r="H300" s="183">
        <v>0</v>
      </c>
      <c r="I300" s="183">
        <v>8.6340000000000003</v>
      </c>
      <c r="J300" s="183">
        <v>8.6340000000000003</v>
      </c>
      <c r="K300" s="182" t="s">
        <v>3176</v>
      </c>
      <c r="L300">
        <f>VLOOKUP(C300,'[1]SR No. party'!$A:$B,2,0)</f>
        <v>1</v>
      </c>
    </row>
    <row r="301" spans="1:12" ht="22.5">
      <c r="A301" s="181">
        <v>46193</v>
      </c>
      <c r="B301" s="182" t="s">
        <v>3174</v>
      </c>
      <c r="C301" s="182" t="s">
        <v>258</v>
      </c>
      <c r="D301" s="182" t="s">
        <v>2890</v>
      </c>
      <c r="E301" s="182" t="s">
        <v>253</v>
      </c>
      <c r="F301" s="182" t="s">
        <v>282</v>
      </c>
      <c r="G301" s="183">
        <v>15.034000000000001</v>
      </c>
      <c r="H301" s="183">
        <v>0</v>
      </c>
      <c r="I301" s="183">
        <v>11.275499999999999</v>
      </c>
      <c r="J301" s="183">
        <v>11.275499999999999</v>
      </c>
      <c r="K301" s="182" t="s">
        <v>3177</v>
      </c>
      <c r="L301">
        <f>VLOOKUP(C301,'[1]SR No. party'!$A:$B,2,0)</f>
        <v>1</v>
      </c>
    </row>
    <row r="302" spans="1:12" ht="22.5">
      <c r="A302" s="181">
        <v>46193</v>
      </c>
      <c r="B302" s="182" t="s">
        <v>3174</v>
      </c>
      <c r="C302" s="182" t="s">
        <v>258</v>
      </c>
      <c r="D302" s="182" t="s">
        <v>2890</v>
      </c>
      <c r="E302" s="182" t="s">
        <v>253</v>
      </c>
      <c r="F302" s="182" t="s">
        <v>282</v>
      </c>
      <c r="G302" s="183">
        <v>14.987</v>
      </c>
      <c r="H302" s="183">
        <v>0</v>
      </c>
      <c r="I302" s="183">
        <v>11.2403</v>
      </c>
      <c r="J302" s="183">
        <v>11.2403</v>
      </c>
      <c r="K302" s="182" t="s">
        <v>3177</v>
      </c>
      <c r="L302">
        <f>VLOOKUP(C302,'[1]SR No. party'!$A:$B,2,0)</f>
        <v>1</v>
      </c>
    </row>
    <row r="303" spans="1:12" ht="22.5">
      <c r="A303" s="181">
        <v>46193</v>
      </c>
      <c r="B303" s="182" t="s">
        <v>3174</v>
      </c>
      <c r="C303" s="182" t="s">
        <v>258</v>
      </c>
      <c r="D303" s="182" t="s">
        <v>3178</v>
      </c>
      <c r="E303" s="182" t="s">
        <v>253</v>
      </c>
      <c r="F303" s="182" t="s">
        <v>282</v>
      </c>
      <c r="G303" s="183">
        <v>11.651999999999999</v>
      </c>
      <c r="H303" s="183">
        <v>0</v>
      </c>
      <c r="I303" s="183">
        <v>8.7390000000000008</v>
      </c>
      <c r="J303" s="183">
        <v>8.7390000000000008</v>
      </c>
      <c r="K303" s="182" t="s">
        <v>3179</v>
      </c>
      <c r="L303">
        <f>VLOOKUP(C303,'[1]SR No. party'!$A:$B,2,0)</f>
        <v>1</v>
      </c>
    </row>
    <row r="304" spans="1:12" ht="22.5">
      <c r="A304" s="181">
        <v>46193</v>
      </c>
      <c r="B304" s="182" t="s">
        <v>3174</v>
      </c>
      <c r="C304" s="182" t="s">
        <v>258</v>
      </c>
      <c r="D304" s="182" t="s">
        <v>3178</v>
      </c>
      <c r="E304" s="182" t="s">
        <v>253</v>
      </c>
      <c r="F304" s="182" t="s">
        <v>282</v>
      </c>
      <c r="G304" s="183">
        <v>11.574999999999999</v>
      </c>
      <c r="H304" s="183">
        <v>0</v>
      </c>
      <c r="I304" s="183">
        <v>8.6813000000000002</v>
      </c>
      <c r="J304" s="183">
        <v>8.6813000000000002</v>
      </c>
      <c r="K304" s="182" t="s">
        <v>3179</v>
      </c>
      <c r="L304">
        <f>VLOOKUP(C304,'[1]SR No. party'!$A:$B,2,0)</f>
        <v>1</v>
      </c>
    </row>
    <row r="305" spans="1:12" ht="22.5">
      <c r="A305" s="181">
        <v>46193</v>
      </c>
      <c r="B305" s="182" t="s">
        <v>3174</v>
      </c>
      <c r="C305" s="182" t="s">
        <v>258</v>
      </c>
      <c r="D305" s="182" t="s">
        <v>2890</v>
      </c>
      <c r="E305" s="182" t="s">
        <v>253</v>
      </c>
      <c r="F305" s="182" t="s">
        <v>282</v>
      </c>
      <c r="G305" s="183">
        <v>14.731</v>
      </c>
      <c r="H305" s="183">
        <v>0</v>
      </c>
      <c r="I305" s="183">
        <v>11.048299999999999</v>
      </c>
      <c r="J305" s="183">
        <v>11.048299999999999</v>
      </c>
      <c r="K305" s="182" t="s">
        <v>3177</v>
      </c>
      <c r="L305">
        <f>VLOOKUP(C305,'[1]SR No. party'!$A:$B,2,0)</f>
        <v>1</v>
      </c>
    </row>
    <row r="306" spans="1:12" ht="22.5">
      <c r="A306" s="181">
        <v>46193</v>
      </c>
      <c r="B306" s="182" t="s">
        <v>3174</v>
      </c>
      <c r="C306" s="182" t="s">
        <v>258</v>
      </c>
      <c r="D306" s="182" t="s">
        <v>2890</v>
      </c>
      <c r="E306" s="182" t="s">
        <v>253</v>
      </c>
      <c r="F306" s="182" t="s">
        <v>282</v>
      </c>
      <c r="G306" s="183">
        <v>14.355</v>
      </c>
      <c r="H306" s="183">
        <v>0</v>
      </c>
      <c r="I306" s="183">
        <v>10.766299999999999</v>
      </c>
      <c r="J306" s="183">
        <v>10.766299999999999</v>
      </c>
      <c r="K306" s="182" t="s">
        <v>3177</v>
      </c>
      <c r="L306">
        <f>VLOOKUP(C306,'[1]SR No. party'!$A:$B,2,0)</f>
        <v>1</v>
      </c>
    </row>
    <row r="307" spans="1:12" ht="22.5">
      <c r="A307" s="181">
        <v>46193</v>
      </c>
      <c r="B307" s="182" t="s">
        <v>3174</v>
      </c>
      <c r="C307" s="182" t="s">
        <v>258</v>
      </c>
      <c r="D307" s="182" t="s">
        <v>2890</v>
      </c>
      <c r="E307" s="182" t="s">
        <v>253</v>
      </c>
      <c r="F307" s="182" t="s">
        <v>282</v>
      </c>
      <c r="G307" s="183">
        <v>14.602</v>
      </c>
      <c r="H307" s="183">
        <v>0</v>
      </c>
      <c r="I307" s="183">
        <v>10.951499999999999</v>
      </c>
      <c r="J307" s="183">
        <v>10.951499999999999</v>
      </c>
      <c r="K307" s="182" t="s">
        <v>3177</v>
      </c>
      <c r="L307">
        <f>VLOOKUP(C307,'[1]SR No. party'!$A:$B,2,0)</f>
        <v>1</v>
      </c>
    </row>
    <row r="308" spans="1:12" ht="22.5">
      <c r="A308" s="181">
        <v>46193</v>
      </c>
      <c r="B308" s="182" t="s">
        <v>3174</v>
      </c>
      <c r="C308" s="182" t="s">
        <v>258</v>
      </c>
      <c r="D308" s="182" t="s">
        <v>3180</v>
      </c>
      <c r="E308" s="182" t="s">
        <v>253</v>
      </c>
      <c r="F308" s="182" t="s">
        <v>272</v>
      </c>
      <c r="G308" s="183">
        <v>19.937999999999999</v>
      </c>
      <c r="H308" s="183">
        <v>0</v>
      </c>
      <c r="I308" s="183">
        <v>14.9535</v>
      </c>
      <c r="J308" s="183">
        <v>14.9535</v>
      </c>
      <c r="K308" s="182" t="s">
        <v>3181</v>
      </c>
      <c r="L308">
        <f>VLOOKUP(C308,'[1]SR No. party'!$A:$B,2,0)</f>
        <v>1</v>
      </c>
    </row>
    <row r="309" spans="1:12" ht="22.5">
      <c r="A309" s="181">
        <v>46193</v>
      </c>
      <c r="B309" s="182" t="s">
        <v>3174</v>
      </c>
      <c r="C309" s="182" t="s">
        <v>258</v>
      </c>
      <c r="D309" s="182" t="s">
        <v>3182</v>
      </c>
      <c r="E309" s="182" t="s">
        <v>253</v>
      </c>
      <c r="F309" s="182" t="s">
        <v>272</v>
      </c>
      <c r="G309" s="183">
        <v>24.321000000000002</v>
      </c>
      <c r="H309" s="183">
        <v>0</v>
      </c>
      <c r="I309" s="183">
        <v>18.2408</v>
      </c>
      <c r="J309" s="183">
        <v>18.2408</v>
      </c>
      <c r="K309" s="182" t="s">
        <v>3181</v>
      </c>
      <c r="L309">
        <f>VLOOKUP(C309,'[1]SR No. party'!$A:$B,2,0)</f>
        <v>1</v>
      </c>
    </row>
    <row r="310" spans="1:12" ht="22.5">
      <c r="A310" s="181">
        <v>46193</v>
      </c>
      <c r="B310" s="182" t="s">
        <v>3174</v>
      </c>
      <c r="C310" s="182" t="s">
        <v>258</v>
      </c>
      <c r="D310" s="182" t="s">
        <v>3180</v>
      </c>
      <c r="E310" s="182" t="s">
        <v>253</v>
      </c>
      <c r="F310" s="182" t="s">
        <v>272</v>
      </c>
      <c r="G310" s="183">
        <v>19.768000000000001</v>
      </c>
      <c r="H310" s="183">
        <v>0</v>
      </c>
      <c r="I310" s="183">
        <v>14.826000000000001</v>
      </c>
      <c r="J310" s="183">
        <v>14.826000000000001</v>
      </c>
      <c r="K310" s="182" t="s">
        <v>3181</v>
      </c>
      <c r="L310">
        <f>VLOOKUP(C310,'[1]SR No. party'!$A:$B,2,0)</f>
        <v>1</v>
      </c>
    </row>
    <row r="311" spans="1:12" ht="22.5">
      <c r="A311" s="181">
        <v>46193</v>
      </c>
      <c r="B311" s="182" t="s">
        <v>3174</v>
      </c>
      <c r="C311" s="182" t="s">
        <v>258</v>
      </c>
      <c r="D311" s="182" t="s">
        <v>3182</v>
      </c>
      <c r="E311" s="182" t="s">
        <v>253</v>
      </c>
      <c r="F311" s="182" t="s">
        <v>272</v>
      </c>
      <c r="G311" s="183">
        <v>25.376999999999999</v>
      </c>
      <c r="H311" s="183">
        <v>0</v>
      </c>
      <c r="I311" s="183">
        <v>19.032800000000002</v>
      </c>
      <c r="J311" s="183">
        <v>19.032800000000002</v>
      </c>
      <c r="K311" s="182" t="s">
        <v>3181</v>
      </c>
      <c r="L311">
        <f>VLOOKUP(C311,'[1]SR No. party'!$A:$B,2,0)</f>
        <v>1</v>
      </c>
    </row>
    <row r="312" spans="1:12" ht="22.5">
      <c r="A312" s="181">
        <v>46193</v>
      </c>
      <c r="B312" s="182" t="s">
        <v>3174</v>
      </c>
      <c r="C312" s="182" t="s">
        <v>258</v>
      </c>
      <c r="D312" s="182" t="s">
        <v>3183</v>
      </c>
      <c r="E312" s="182" t="s">
        <v>253</v>
      </c>
      <c r="F312" s="182" t="s">
        <v>272</v>
      </c>
      <c r="G312" s="183">
        <v>20.664000000000001</v>
      </c>
      <c r="H312" s="183">
        <v>0</v>
      </c>
      <c r="I312" s="183">
        <v>15.497999999999999</v>
      </c>
      <c r="J312" s="183">
        <v>15.497999999999999</v>
      </c>
      <c r="K312" s="182" t="s">
        <v>3184</v>
      </c>
      <c r="L312">
        <f>VLOOKUP(C312,'[1]SR No. party'!$A:$B,2,0)</f>
        <v>1</v>
      </c>
    </row>
    <row r="313" spans="1:12" ht="22.5">
      <c r="A313" s="181">
        <v>46193</v>
      </c>
      <c r="B313" s="182" t="s">
        <v>3174</v>
      </c>
      <c r="C313" s="182" t="s">
        <v>258</v>
      </c>
      <c r="D313" s="182" t="s">
        <v>3182</v>
      </c>
      <c r="E313" s="182" t="s">
        <v>253</v>
      </c>
      <c r="F313" s="182" t="s">
        <v>272</v>
      </c>
      <c r="G313" s="183">
        <v>25.302</v>
      </c>
      <c r="H313" s="183">
        <v>0</v>
      </c>
      <c r="I313" s="183">
        <v>18.976500000000001</v>
      </c>
      <c r="J313" s="183">
        <v>18.976500000000001</v>
      </c>
      <c r="K313" s="182" t="s">
        <v>3181</v>
      </c>
      <c r="L313">
        <f>VLOOKUP(C313,'[1]SR No. party'!$A:$B,2,0)</f>
        <v>1</v>
      </c>
    </row>
    <row r="314" spans="1:12">
      <c r="G314">
        <f>SUBTOTAL(9,G4:G313)</f>
        <v>14692.561000000011</v>
      </c>
      <c r="I314">
        <f>SUBTOTAL(9,I4:I313)</f>
        <v>12831.961800000006</v>
      </c>
    </row>
  </sheetData>
  <autoFilter ref="A3:O3" xr:uid="{00000000-0001-0000-0B00-000000000000}"/>
  <mergeCells count="2">
    <mergeCell ref="A1:K1"/>
    <mergeCell ref="A2:K2"/>
  </mergeCells>
  <pageMargins left="0.75" right="0.75" top="1" bottom="1" header="0" footer="0"/>
  <pageSetup paperSize="9" orientation="portrait" r:id="rId1"/>
  <headerFooter alignWithMargins="0">
    <oddFooter>&amp;L&amp;"Arial"&amp;8&amp;BPage &amp;P of &amp;N&amp;B &amp;C&amp;"Arial"&amp;8&amp;B8/20/2025 3:02:12 PM&amp;B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0304-6175-4496-A34C-CA6E23C1D19D}">
  <sheetPr codeName="Sheet23"/>
  <dimension ref="A1:M23"/>
  <sheetViews>
    <sheetView showGridLines="0" topLeftCell="A10" zoomScale="98" zoomScaleNormal="98" workbookViewId="0">
      <selection activeCell="H20" sqref="H20"/>
    </sheetView>
  </sheetViews>
  <sheetFormatPr defaultColWidth="32.85546875" defaultRowHeight="14.25"/>
  <cols>
    <col min="1" max="1" width="26.28515625" style="91" bestFit="1" customWidth="1"/>
    <col min="2" max="3" width="14.7109375" style="91" bestFit="1" customWidth="1"/>
    <col min="4" max="4" width="16.140625" style="91" customWidth="1"/>
    <col min="5" max="5" width="12.28515625" style="91" customWidth="1"/>
    <col min="6" max="6" width="11.140625" style="91" customWidth="1"/>
    <col min="7" max="7" width="11" style="91" customWidth="1"/>
    <col min="8" max="8" width="13.42578125" style="91" bestFit="1" customWidth="1"/>
    <col min="9" max="16384" width="32.85546875" style="91"/>
  </cols>
  <sheetData>
    <row r="1" spans="1:13" ht="36" customHeight="1">
      <c r="A1" s="232" t="s">
        <v>2753</v>
      </c>
      <c r="B1" s="233"/>
      <c r="C1" s="233"/>
      <c r="D1" s="233"/>
      <c r="E1" s="230">
        <f ca="1">TODAY()-1</f>
        <v>46194</v>
      </c>
      <c r="F1" s="231"/>
      <c r="G1" s="102"/>
      <c r="H1" s="103"/>
    </row>
    <row r="2" spans="1:13" ht="8.25" customHeight="1"/>
    <row r="3" spans="1:13" ht="27.75" customHeight="1">
      <c r="A3" s="234" t="s">
        <v>2757</v>
      </c>
      <c r="B3" s="235"/>
      <c r="C3" s="234" t="s">
        <v>2756</v>
      </c>
      <c r="D3" s="235"/>
      <c r="E3" s="234" t="s">
        <v>2755</v>
      </c>
      <c r="F3" s="235"/>
    </row>
    <row r="4" spans="1:13" ht="16.5" customHeight="1">
      <c r="A4" s="236">
        <f>D7</f>
        <v>306899.50343000016</v>
      </c>
      <c r="B4" s="237"/>
      <c r="C4" s="236">
        <f>D18</f>
        <v>315272.92733737431</v>
      </c>
      <c r="D4" s="237"/>
      <c r="E4" s="238">
        <f>D14+D13</f>
        <v>12831.961800000005</v>
      </c>
      <c r="F4" s="239"/>
      <c r="I4" s="121"/>
    </row>
    <row r="5" spans="1:13" ht="8.25" customHeight="1"/>
    <row r="6" spans="1:13" ht="16.5" thickBot="1">
      <c r="A6" s="128" t="s">
        <v>2737</v>
      </c>
      <c r="B6" s="129"/>
      <c r="C6" s="129" t="s">
        <v>2738</v>
      </c>
      <c r="D6" s="130" t="s">
        <v>2739</v>
      </c>
      <c r="E6" s="240" t="s">
        <v>2748</v>
      </c>
      <c r="F6" s="241"/>
      <c r="G6" s="92"/>
    </row>
    <row r="7" spans="1:13" ht="16.5" thickBot="1">
      <c r="A7" s="131" t="s">
        <v>2740</v>
      </c>
      <c r="B7" s="132"/>
      <c r="C7" s="132">
        <v>351876.94529999985</v>
      </c>
      <c r="D7" s="132">
        <v>306899.50343000016</v>
      </c>
      <c r="E7" s="242"/>
      <c r="F7" s="243"/>
      <c r="G7" s="109">
        <f>D7/C7</f>
        <v>0.8721784917404769</v>
      </c>
    </row>
    <row r="8" spans="1:13" s="111" customFormat="1" ht="15.75">
      <c r="A8" s="104" t="s">
        <v>2741</v>
      </c>
      <c r="B8" s="113"/>
      <c r="C8" s="115">
        <v>4501.2809999999999</v>
      </c>
      <c r="D8" s="115">
        <v>3898.7956999999997</v>
      </c>
      <c r="E8" s="244" t="s">
        <v>2749</v>
      </c>
      <c r="F8" s="245"/>
      <c r="G8" s="133"/>
      <c r="H8" s="134"/>
      <c r="I8" s="144"/>
      <c r="K8" s="91"/>
      <c r="L8" s="91"/>
      <c r="M8" s="91"/>
    </row>
    <row r="9" spans="1:13" s="111" customFormat="1" ht="15.75">
      <c r="A9" s="105" t="s">
        <v>2742</v>
      </c>
      <c r="B9" s="115"/>
      <c r="C9" s="113">
        <v>17964.175999999999</v>
      </c>
      <c r="D9" s="113">
        <v>17884.9601</v>
      </c>
      <c r="E9" s="228" t="s">
        <v>2749</v>
      </c>
      <c r="F9" s="229"/>
      <c r="G9" s="133"/>
      <c r="H9" s="144"/>
      <c r="I9" s="144"/>
      <c r="K9" s="91"/>
      <c r="L9" s="91"/>
      <c r="M9" s="91"/>
    </row>
    <row r="10" spans="1:13" ht="15.75">
      <c r="A10" s="105" t="s">
        <v>2747</v>
      </c>
      <c r="B10" s="114"/>
      <c r="C10" s="115"/>
      <c r="D10" s="115">
        <v>23.181569488049998</v>
      </c>
      <c r="E10" s="228" t="s">
        <v>2749</v>
      </c>
      <c r="F10" s="229"/>
      <c r="G10" s="94"/>
      <c r="I10" s="121"/>
    </row>
    <row r="11" spans="1:13" ht="15.75">
      <c r="A11" s="107" t="s">
        <v>2746</v>
      </c>
      <c r="B11" s="118"/>
      <c r="C11" s="119"/>
      <c r="D11" s="120">
        <v>0</v>
      </c>
      <c r="E11" s="228" t="s">
        <v>2749</v>
      </c>
      <c r="F11" s="229"/>
      <c r="G11" s="109"/>
      <c r="H11" s="108"/>
    </row>
    <row r="12" spans="1:13" ht="15.75">
      <c r="A12" s="225" t="s">
        <v>2759</v>
      </c>
      <c r="B12" s="226"/>
      <c r="C12" s="227"/>
      <c r="D12" s="125">
        <f>SUM(D8:D11)</f>
        <v>21806.937369488049</v>
      </c>
      <c r="E12" s="126"/>
      <c r="F12" s="127"/>
      <c r="G12" s="109"/>
      <c r="H12" s="108"/>
      <c r="I12" s="121"/>
      <c r="J12" s="164"/>
    </row>
    <row r="13" spans="1:13" ht="15.75">
      <c r="A13" s="106" t="s">
        <v>2743</v>
      </c>
      <c r="B13" s="116"/>
      <c r="C13" s="117">
        <v>510.9</v>
      </c>
      <c r="D13" s="112">
        <v>508.34550000000002</v>
      </c>
      <c r="E13" s="228" t="s">
        <v>2750</v>
      </c>
      <c r="F13" s="229"/>
      <c r="G13" s="92"/>
    </row>
    <row r="14" spans="1:13" ht="15.75">
      <c r="A14" s="105" t="s">
        <v>2761</v>
      </c>
      <c r="B14" s="114"/>
      <c r="C14" s="143">
        <v>14181.661000000013</v>
      </c>
      <c r="D14" s="143">
        <v>12323.616300000005</v>
      </c>
      <c r="E14" s="228" t="s">
        <v>2750</v>
      </c>
      <c r="F14" s="229"/>
      <c r="G14" s="92"/>
      <c r="I14" s="161" t="s">
        <v>2813</v>
      </c>
    </row>
    <row r="15" spans="1:13" ht="15.75">
      <c r="A15" s="106" t="s">
        <v>2745</v>
      </c>
      <c r="B15" s="116"/>
      <c r="C15" s="117"/>
      <c r="D15" s="117">
        <v>602.70009341390016</v>
      </c>
      <c r="E15" s="228" t="s">
        <v>2750</v>
      </c>
      <c r="F15" s="229"/>
      <c r="G15" s="92"/>
      <c r="I15" s="163">
        <f ca="1">TODAY()-1</f>
        <v>46194</v>
      </c>
    </row>
    <row r="16" spans="1:13" ht="15.75">
      <c r="A16" s="106" t="s">
        <v>617</v>
      </c>
      <c r="B16" s="116"/>
      <c r="C16" s="117"/>
      <c r="D16" s="149">
        <v>-1.1484312999999999</v>
      </c>
      <c r="E16" s="228" t="s">
        <v>2751</v>
      </c>
      <c r="F16" s="229"/>
      <c r="G16" s="92"/>
      <c r="I16" s="162" t="s">
        <v>2739</v>
      </c>
    </row>
    <row r="17" spans="1:9" ht="16.5" thickBot="1">
      <c r="A17" s="222" t="s">
        <v>2760</v>
      </c>
      <c r="B17" s="223"/>
      <c r="C17" s="224"/>
      <c r="D17" s="122">
        <f>SUM(D13:D16)</f>
        <v>13433.513462113904</v>
      </c>
      <c r="E17" s="123"/>
      <c r="F17" s="124"/>
      <c r="G17" s="92"/>
      <c r="I17" s="161">
        <f>D22</f>
        <v>315272.92797999998</v>
      </c>
    </row>
    <row r="18" spans="1:9" ht="16.5" thickBot="1">
      <c r="A18" s="131" t="s">
        <v>2752</v>
      </c>
      <c r="B18" s="132"/>
      <c r="C18" s="132">
        <v>361425.43933000002</v>
      </c>
      <c r="D18" s="132">
        <f>D7+D12-D17</f>
        <v>315272.92733737431</v>
      </c>
      <c r="E18" s="242"/>
      <c r="F18" s="243"/>
      <c r="G18" s="109">
        <f>D18/C18</f>
        <v>0.87230419619000288</v>
      </c>
      <c r="H18" s="108"/>
    </row>
    <row r="20" spans="1:9" ht="15" customHeight="1">
      <c r="B20" s="110"/>
      <c r="C20" s="110"/>
      <c r="D20" s="136"/>
      <c r="E20" s="145"/>
      <c r="F20" s="110"/>
    </row>
    <row r="21" spans="1:9">
      <c r="D21" s="121"/>
    </row>
    <row r="22" spans="1:9">
      <c r="C22" s="110"/>
      <c r="D22" s="135">
        <v>315272.92797999998</v>
      </c>
    </row>
    <row r="23" spans="1:9">
      <c r="D23" s="121">
        <f>D22-D18</f>
        <v>6.4262567320838571E-4</v>
      </c>
    </row>
  </sheetData>
  <mergeCells count="21">
    <mergeCell ref="E18:F18"/>
    <mergeCell ref="E13:F13"/>
    <mergeCell ref="E15:F15"/>
    <mergeCell ref="E10:F10"/>
    <mergeCell ref="E16:F16"/>
    <mergeCell ref="E11:F11"/>
    <mergeCell ref="A17:C17"/>
    <mergeCell ref="A12:C12"/>
    <mergeCell ref="E14:F14"/>
    <mergeCell ref="E1:F1"/>
    <mergeCell ref="A1:D1"/>
    <mergeCell ref="A3:B3"/>
    <mergeCell ref="C3:D3"/>
    <mergeCell ref="A4:B4"/>
    <mergeCell ref="C4:D4"/>
    <mergeCell ref="E3:F3"/>
    <mergeCell ref="E4:F4"/>
    <mergeCell ref="E6:F6"/>
    <mergeCell ref="E7:F7"/>
    <mergeCell ref="E8:F8"/>
    <mergeCell ref="E9:F9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1114-18DE-4BB6-BB0E-F57C303377F8}">
  <sheetPr codeName="Sheet25"/>
  <dimension ref="A1:G62"/>
  <sheetViews>
    <sheetView topLeftCell="A33" workbookViewId="0">
      <selection activeCell="C29" sqref="C29"/>
    </sheetView>
  </sheetViews>
  <sheetFormatPr defaultColWidth="23.7109375" defaultRowHeight="12.75"/>
  <cols>
    <col min="1" max="1" width="18.42578125" style="184" customWidth="1"/>
    <col min="2" max="2" width="19.140625" style="184" customWidth="1"/>
    <col min="3" max="3" width="11.85546875" style="184" customWidth="1"/>
    <col min="4" max="4" width="6.42578125" style="184" bestFit="1" customWidth="1"/>
    <col min="5" max="5" width="12.140625" style="184" customWidth="1"/>
    <col min="6" max="6" width="10.5703125" style="184" bestFit="1" customWidth="1"/>
    <col min="7" max="7" width="11.5703125" style="184" bestFit="1" customWidth="1"/>
    <col min="8" max="8" width="6" style="184" bestFit="1" customWidth="1"/>
    <col min="9" max="16384" width="23.7109375" style="184"/>
  </cols>
  <sheetData>
    <row r="1" spans="1:7" ht="15" customHeight="1">
      <c r="A1" s="246" t="s">
        <v>2776</v>
      </c>
      <c r="B1" s="246"/>
      <c r="C1" s="246"/>
      <c r="D1" s="246"/>
      <c r="E1" s="246"/>
      <c r="F1" s="247"/>
      <c r="G1" s="247"/>
    </row>
    <row r="2" spans="1:7">
      <c r="A2" s="246"/>
      <c r="B2" s="246"/>
      <c r="C2" s="246"/>
      <c r="D2" s="246"/>
      <c r="E2" s="246"/>
      <c r="F2" s="247"/>
      <c r="G2" s="247"/>
    </row>
    <row r="3" spans="1:7" ht="28.5" customHeight="1">
      <c r="A3" s="248">
        <v>46189</v>
      </c>
      <c r="B3" s="248"/>
      <c r="C3" s="248"/>
      <c r="D3" s="248"/>
      <c r="E3" s="248"/>
      <c r="F3" s="247"/>
      <c r="G3" s="247"/>
    </row>
    <row r="4" spans="1:7" ht="26.25" customHeight="1">
      <c r="A4" s="156" t="s">
        <v>2757</v>
      </c>
      <c r="B4" s="249" t="s">
        <v>2756</v>
      </c>
      <c r="C4" s="249"/>
      <c r="D4" s="249" t="s">
        <v>2755</v>
      </c>
      <c r="E4" s="249"/>
      <c r="F4" s="249"/>
      <c r="G4" s="249"/>
    </row>
    <row r="5" spans="1:7">
      <c r="A5" s="157">
        <v>290099.01</v>
      </c>
      <c r="B5" s="250">
        <v>287482.28000000003</v>
      </c>
      <c r="C5" s="250"/>
      <c r="D5" s="250">
        <v>14379.999</v>
      </c>
      <c r="E5" s="250"/>
      <c r="F5" s="250"/>
      <c r="G5" s="250"/>
    </row>
    <row r="6" spans="1:7">
      <c r="A6" s="247"/>
      <c r="B6" s="247"/>
      <c r="C6" s="247"/>
      <c r="D6" s="247"/>
      <c r="E6" s="247"/>
      <c r="F6" s="247"/>
      <c r="G6" s="247"/>
    </row>
    <row r="7" spans="1:7" ht="22.5" customHeight="1">
      <c r="A7" s="156" t="s">
        <v>2737</v>
      </c>
      <c r="B7" s="156" t="s">
        <v>2738</v>
      </c>
      <c r="C7" s="156" t="s">
        <v>2739</v>
      </c>
      <c r="D7" s="249" t="s">
        <v>2748</v>
      </c>
      <c r="E7" s="249"/>
      <c r="F7" s="249"/>
      <c r="G7" s="249"/>
    </row>
    <row r="8" spans="1:7" ht="24.75" customHeight="1">
      <c r="A8" s="155" t="s">
        <v>2740</v>
      </c>
      <c r="B8" s="155">
        <v>333811.31</v>
      </c>
      <c r="C8" s="155">
        <v>290099.01</v>
      </c>
      <c r="D8" s="247"/>
      <c r="E8" s="247"/>
      <c r="F8" s="247"/>
      <c r="G8" s="247"/>
    </row>
    <row r="9" spans="1:7">
      <c r="A9" s="157" t="s">
        <v>2741</v>
      </c>
      <c r="B9" s="157">
        <v>8814.8610000000008</v>
      </c>
      <c r="C9" s="157">
        <v>8778.5370000000003</v>
      </c>
      <c r="D9" s="250" t="s">
        <v>2749</v>
      </c>
      <c r="E9" s="250"/>
      <c r="F9" s="250"/>
      <c r="G9" s="250"/>
    </row>
    <row r="10" spans="1:7">
      <c r="A10" s="157" t="s">
        <v>2742</v>
      </c>
      <c r="B10" s="157">
        <v>998.60699999999997</v>
      </c>
      <c r="C10" s="157">
        <v>890.11</v>
      </c>
      <c r="D10" s="250" t="s">
        <v>2749</v>
      </c>
      <c r="E10" s="250"/>
      <c r="F10" s="250"/>
      <c r="G10" s="250"/>
    </row>
    <row r="11" spans="1:7">
      <c r="A11" s="157" t="s">
        <v>2777</v>
      </c>
      <c r="B11" s="157" t="s">
        <v>2778</v>
      </c>
      <c r="C11" s="157">
        <v>14.51</v>
      </c>
      <c r="D11" s="250" t="s">
        <v>2749</v>
      </c>
      <c r="E11" s="250"/>
      <c r="F11" s="250"/>
      <c r="G11" s="250"/>
    </row>
    <row r="12" spans="1:7">
      <c r="A12" s="157" t="s">
        <v>2746</v>
      </c>
      <c r="B12" s="157" t="s">
        <v>2778</v>
      </c>
      <c r="C12" s="157">
        <v>2500.9789999999998</v>
      </c>
      <c r="D12" s="250" t="s">
        <v>2749</v>
      </c>
      <c r="E12" s="250"/>
      <c r="F12" s="250"/>
      <c r="G12" s="250"/>
    </row>
    <row r="13" spans="1:7" ht="23.25" customHeight="1">
      <c r="A13" s="251" t="s">
        <v>2759</v>
      </c>
      <c r="B13" s="251"/>
      <c r="C13" s="251"/>
      <c r="D13" s="251">
        <v>12184.135</v>
      </c>
      <c r="E13" s="251"/>
      <c r="F13" s="251"/>
      <c r="G13" s="251"/>
    </row>
    <row r="14" spans="1:7">
      <c r="A14" s="157" t="s">
        <v>2743</v>
      </c>
      <c r="B14" s="157">
        <v>0</v>
      </c>
      <c r="C14" s="157">
        <v>0</v>
      </c>
      <c r="D14" s="250" t="s">
        <v>2750</v>
      </c>
      <c r="E14" s="250"/>
      <c r="F14" s="250"/>
      <c r="G14" s="250"/>
    </row>
    <row r="15" spans="1:7">
      <c r="A15" s="157" t="s">
        <v>2779</v>
      </c>
      <c r="B15" s="157">
        <v>16289.485000000001</v>
      </c>
      <c r="C15" s="157">
        <v>14379.999</v>
      </c>
      <c r="D15" s="250" t="s">
        <v>2750</v>
      </c>
      <c r="E15" s="250"/>
      <c r="F15" s="250"/>
      <c r="G15" s="250"/>
    </row>
    <row r="16" spans="1:7">
      <c r="A16" s="157" t="s">
        <v>2745</v>
      </c>
      <c r="B16" s="157" t="s">
        <v>2778</v>
      </c>
      <c r="C16" s="157">
        <v>422.23</v>
      </c>
      <c r="D16" s="250" t="s">
        <v>2750</v>
      </c>
      <c r="E16" s="250"/>
      <c r="F16" s="250"/>
      <c r="G16" s="250"/>
    </row>
    <row r="17" spans="1:7" ht="25.5">
      <c r="A17" s="157" t="s">
        <v>617</v>
      </c>
      <c r="B17" s="157" t="s">
        <v>2778</v>
      </c>
      <c r="C17" s="157">
        <v>1.427</v>
      </c>
      <c r="D17" s="250" t="s">
        <v>2751</v>
      </c>
      <c r="E17" s="250"/>
      <c r="F17" s="250"/>
      <c r="G17" s="250"/>
    </row>
    <row r="18" spans="1:7" ht="19.5" customHeight="1">
      <c r="A18" s="251" t="s">
        <v>2760</v>
      </c>
      <c r="B18" s="251"/>
      <c r="C18" s="251"/>
      <c r="D18" s="251">
        <v>14803.656000000001</v>
      </c>
      <c r="E18" s="251"/>
      <c r="F18" s="251"/>
      <c r="G18" s="251"/>
    </row>
    <row r="19" spans="1:7" ht="27.75" customHeight="1">
      <c r="A19" s="155" t="s">
        <v>2780</v>
      </c>
      <c r="B19" s="155">
        <v>330710.40999999997</v>
      </c>
      <c r="C19" s="155">
        <v>287482.28000000003</v>
      </c>
      <c r="D19" s="247"/>
      <c r="E19" s="247"/>
      <c r="F19" s="247"/>
      <c r="G19" s="247"/>
    </row>
    <row r="20" spans="1:7" ht="34.5" customHeight="1">
      <c r="A20" s="246" t="s">
        <v>2795</v>
      </c>
      <c r="B20" s="246"/>
      <c r="C20" s="246"/>
      <c r="D20" s="246"/>
      <c r="E20" s="246"/>
      <c r="F20" s="246"/>
      <c r="G20" s="246"/>
    </row>
    <row r="21" spans="1:7" ht="29.25" customHeight="1">
      <c r="A21" s="185" t="s">
        <v>2868</v>
      </c>
      <c r="B21" s="252" t="s">
        <v>2869</v>
      </c>
      <c r="C21" s="252"/>
      <c r="D21" s="252" t="s">
        <v>2870</v>
      </c>
      <c r="E21" s="252"/>
      <c r="F21" s="252" t="s">
        <v>2871</v>
      </c>
      <c r="G21" s="252"/>
    </row>
    <row r="22" spans="1:7" ht="26.25" customHeight="1">
      <c r="A22" s="157">
        <v>510</v>
      </c>
      <c r="B22" s="250">
        <v>78777</v>
      </c>
      <c r="C22" s="250"/>
      <c r="D22" s="250">
        <v>38</v>
      </c>
      <c r="E22" s="250"/>
      <c r="F22" s="250">
        <v>18133</v>
      </c>
      <c r="G22" s="250"/>
    </row>
    <row r="23" spans="1:7">
      <c r="A23" s="251" t="s">
        <v>2781</v>
      </c>
      <c r="B23" s="251"/>
      <c r="C23" s="251"/>
      <c r="D23" s="251"/>
      <c r="E23" s="251"/>
      <c r="F23" s="251"/>
      <c r="G23" s="251"/>
    </row>
    <row r="24" spans="1:7">
      <c r="A24" s="251"/>
      <c r="B24" s="251"/>
      <c r="C24" s="251"/>
      <c r="D24" s="251"/>
      <c r="E24" s="251"/>
      <c r="F24" s="251"/>
      <c r="G24" s="251"/>
    </row>
    <row r="25" spans="1:7" ht="30" customHeight="1">
      <c r="A25" s="185" t="s">
        <v>2782</v>
      </c>
      <c r="B25" s="185" t="s">
        <v>2783</v>
      </c>
      <c r="C25" s="185" t="s">
        <v>2784</v>
      </c>
      <c r="D25" s="185" t="s">
        <v>2785</v>
      </c>
      <c r="E25" s="185" t="s">
        <v>2786</v>
      </c>
      <c r="F25" s="185" t="s">
        <v>2787</v>
      </c>
      <c r="G25" s="185" t="s">
        <v>2788</v>
      </c>
    </row>
    <row r="26" spans="1:7" ht="25.5">
      <c r="A26" s="186">
        <v>1</v>
      </c>
      <c r="B26" s="186" t="s">
        <v>258</v>
      </c>
      <c r="C26" s="186">
        <v>0</v>
      </c>
      <c r="D26" s="186" t="s">
        <v>253</v>
      </c>
      <c r="E26" s="186">
        <v>0</v>
      </c>
      <c r="F26" s="186">
        <v>3089.8209999999999</v>
      </c>
      <c r="G26" s="186">
        <v>2317.3670000000002</v>
      </c>
    </row>
    <row r="27" spans="1:7" ht="25.5">
      <c r="A27" s="159"/>
      <c r="B27" s="186" t="s">
        <v>258</v>
      </c>
      <c r="C27" s="186">
        <v>0</v>
      </c>
      <c r="D27" s="186" t="s">
        <v>250</v>
      </c>
      <c r="E27" s="186">
        <v>152.57</v>
      </c>
      <c r="F27" s="186">
        <v>6817.317</v>
      </c>
      <c r="G27" s="186">
        <v>6258.2969999999996</v>
      </c>
    </row>
    <row r="28" spans="1:7" ht="25.5">
      <c r="A28" s="159"/>
      <c r="B28" s="186" t="s">
        <v>258</v>
      </c>
      <c r="C28" s="186">
        <v>4631.701</v>
      </c>
      <c r="D28" s="186" t="s">
        <v>259</v>
      </c>
      <c r="E28" s="186">
        <v>0</v>
      </c>
      <c r="F28" s="186">
        <v>0</v>
      </c>
      <c r="G28" s="186">
        <v>0</v>
      </c>
    </row>
    <row r="29" spans="1:7">
      <c r="A29" s="158"/>
      <c r="B29" s="187" t="s">
        <v>2789</v>
      </c>
      <c r="C29" s="187">
        <v>4631.701</v>
      </c>
      <c r="D29" s="158"/>
      <c r="E29" s="187">
        <v>152.57</v>
      </c>
      <c r="F29" s="187">
        <v>9907.1370000000006</v>
      </c>
      <c r="G29" s="187">
        <v>8575.6630000000005</v>
      </c>
    </row>
    <row r="30" spans="1:7">
      <c r="A30" s="186">
        <v>2</v>
      </c>
      <c r="B30" s="186" t="s">
        <v>257</v>
      </c>
      <c r="C30" s="186">
        <v>0</v>
      </c>
      <c r="D30" s="186" t="s">
        <v>253</v>
      </c>
      <c r="E30" s="186">
        <v>100.77</v>
      </c>
      <c r="F30" s="186">
        <v>32.274999999999999</v>
      </c>
      <c r="G30" s="186">
        <v>24.206</v>
      </c>
    </row>
    <row r="31" spans="1:7">
      <c r="A31" s="159"/>
      <c r="B31" s="186" t="s">
        <v>257</v>
      </c>
      <c r="C31" s="186">
        <v>0</v>
      </c>
      <c r="D31" s="186" t="s">
        <v>250</v>
      </c>
      <c r="E31" s="186">
        <v>608.52</v>
      </c>
      <c r="F31" s="186">
        <v>1668.6420000000001</v>
      </c>
      <c r="G31" s="186">
        <v>1531.8130000000001</v>
      </c>
    </row>
    <row r="32" spans="1:7">
      <c r="A32" s="158"/>
      <c r="B32" s="187" t="s">
        <v>2789</v>
      </c>
      <c r="C32" s="187">
        <v>0</v>
      </c>
      <c r="D32" s="158"/>
      <c r="E32" s="187">
        <v>709.29</v>
      </c>
      <c r="F32" s="187">
        <v>1700.9169999999999</v>
      </c>
      <c r="G32" s="187">
        <v>1556.019</v>
      </c>
    </row>
    <row r="33" spans="1:7">
      <c r="A33" s="186">
        <v>3</v>
      </c>
      <c r="B33" s="186" t="s">
        <v>249</v>
      </c>
      <c r="C33" s="186">
        <v>0</v>
      </c>
      <c r="D33" s="186" t="s">
        <v>250</v>
      </c>
      <c r="E33" s="186">
        <v>0</v>
      </c>
      <c r="F33" s="186">
        <v>877.79899999999998</v>
      </c>
      <c r="G33" s="186">
        <v>805.82</v>
      </c>
    </row>
    <row r="34" spans="1:7">
      <c r="A34" s="159"/>
      <c r="B34" s="186" t="s">
        <v>249</v>
      </c>
      <c r="C34" s="186">
        <v>1583.46</v>
      </c>
      <c r="D34" s="186" t="s">
        <v>259</v>
      </c>
      <c r="E34" s="186">
        <v>0</v>
      </c>
      <c r="F34" s="186">
        <v>0</v>
      </c>
      <c r="G34" s="186">
        <v>0</v>
      </c>
    </row>
    <row r="35" spans="1:7">
      <c r="A35" s="158"/>
      <c r="B35" s="187" t="s">
        <v>2789</v>
      </c>
      <c r="C35" s="187">
        <v>1583.46</v>
      </c>
      <c r="D35" s="158"/>
      <c r="E35" s="187">
        <v>0</v>
      </c>
      <c r="F35" s="187">
        <v>877.79899999999998</v>
      </c>
      <c r="G35" s="187">
        <v>805.82</v>
      </c>
    </row>
    <row r="36" spans="1:7">
      <c r="A36" s="186">
        <v>4</v>
      </c>
      <c r="B36" s="186" t="s">
        <v>251</v>
      </c>
      <c r="C36" s="186">
        <v>0</v>
      </c>
      <c r="D36" s="186" t="s">
        <v>250</v>
      </c>
      <c r="E36" s="186">
        <v>60.49</v>
      </c>
      <c r="F36" s="186">
        <v>7.8250000000000002</v>
      </c>
      <c r="G36" s="186">
        <v>7.1829999999999998</v>
      </c>
    </row>
    <row r="37" spans="1:7">
      <c r="A37" s="158"/>
      <c r="B37" s="187" t="s">
        <v>2789</v>
      </c>
      <c r="C37" s="187">
        <v>0</v>
      </c>
      <c r="D37" s="158"/>
      <c r="E37" s="187">
        <v>60.49</v>
      </c>
      <c r="F37" s="187">
        <v>7.8250000000000002</v>
      </c>
      <c r="G37" s="187">
        <v>7.1829999999999998</v>
      </c>
    </row>
    <row r="38" spans="1:7">
      <c r="A38" s="186">
        <v>5</v>
      </c>
      <c r="B38" s="186" t="s">
        <v>660</v>
      </c>
      <c r="C38" s="186">
        <v>0</v>
      </c>
      <c r="D38" s="186" t="s">
        <v>250</v>
      </c>
      <c r="E38" s="186">
        <v>0</v>
      </c>
      <c r="F38" s="186">
        <v>739.78399999999999</v>
      </c>
      <c r="G38" s="186">
        <v>679.12199999999996</v>
      </c>
    </row>
    <row r="39" spans="1:7">
      <c r="A39" s="158"/>
      <c r="B39" s="187" t="s">
        <v>2789</v>
      </c>
      <c r="C39" s="187">
        <v>0</v>
      </c>
      <c r="D39" s="158"/>
      <c r="E39" s="187">
        <v>0</v>
      </c>
      <c r="F39" s="187">
        <v>739.78399999999999</v>
      </c>
      <c r="G39" s="187">
        <v>679.12199999999996</v>
      </c>
    </row>
    <row r="40" spans="1:7" ht="38.25">
      <c r="A40" s="186">
        <v>6</v>
      </c>
      <c r="B40" s="186" t="s">
        <v>2876</v>
      </c>
      <c r="C40" s="186">
        <v>1700</v>
      </c>
      <c r="D40" s="186" t="s">
        <v>259</v>
      </c>
      <c r="E40" s="186">
        <v>0</v>
      </c>
      <c r="F40" s="186">
        <v>0</v>
      </c>
      <c r="G40" s="186">
        <v>0</v>
      </c>
    </row>
    <row r="41" spans="1:7">
      <c r="A41" s="158"/>
      <c r="B41" s="187" t="s">
        <v>2789</v>
      </c>
      <c r="C41" s="187">
        <v>1700</v>
      </c>
      <c r="D41" s="158"/>
      <c r="E41" s="187">
        <v>0</v>
      </c>
      <c r="F41" s="187">
        <v>0</v>
      </c>
      <c r="G41" s="187">
        <v>0</v>
      </c>
    </row>
    <row r="42" spans="1:7" ht="25.5">
      <c r="A42" s="186">
        <v>7</v>
      </c>
      <c r="B42" s="186" t="s">
        <v>2834</v>
      </c>
      <c r="C42" s="186">
        <v>0</v>
      </c>
      <c r="D42" s="186" t="s">
        <v>253</v>
      </c>
      <c r="E42" s="186">
        <v>0</v>
      </c>
      <c r="F42" s="186">
        <v>13.898999999999999</v>
      </c>
      <c r="G42" s="186">
        <v>10.423999999999999</v>
      </c>
    </row>
    <row r="43" spans="1:7" ht="25.5">
      <c r="A43" s="159"/>
      <c r="B43" s="186" t="s">
        <v>2834</v>
      </c>
      <c r="C43" s="186">
        <v>0</v>
      </c>
      <c r="D43" s="186" t="s">
        <v>250</v>
      </c>
      <c r="E43" s="186">
        <v>0</v>
      </c>
      <c r="F43" s="186">
        <v>1790.7629999999999</v>
      </c>
      <c r="G43" s="186">
        <v>1640.3389999999999</v>
      </c>
    </row>
    <row r="44" spans="1:7">
      <c r="A44" s="158"/>
      <c r="B44" s="187" t="s">
        <v>2789</v>
      </c>
      <c r="C44" s="187">
        <v>0</v>
      </c>
      <c r="D44" s="158"/>
      <c r="E44" s="187">
        <v>0</v>
      </c>
      <c r="F44" s="187">
        <v>1804.662</v>
      </c>
      <c r="G44" s="187">
        <v>1650.7629999999999</v>
      </c>
    </row>
    <row r="45" spans="1:7">
      <c r="A45" s="186">
        <v>8</v>
      </c>
      <c r="B45" s="186" t="s">
        <v>662</v>
      </c>
      <c r="C45" s="186">
        <v>0</v>
      </c>
      <c r="D45" s="186" t="s">
        <v>250</v>
      </c>
      <c r="E45" s="186">
        <v>0</v>
      </c>
      <c r="F45" s="186">
        <v>5.12</v>
      </c>
      <c r="G45" s="186">
        <v>4.7</v>
      </c>
    </row>
    <row r="46" spans="1:7">
      <c r="A46" s="158"/>
      <c r="B46" s="187" t="s">
        <v>2789</v>
      </c>
      <c r="C46" s="187">
        <v>0</v>
      </c>
      <c r="D46" s="158"/>
      <c r="E46" s="187">
        <v>0</v>
      </c>
      <c r="F46" s="187">
        <v>5.12</v>
      </c>
      <c r="G46" s="187">
        <v>4.7</v>
      </c>
    </row>
    <row r="47" spans="1:7" ht="25.5">
      <c r="A47" s="186">
        <v>9</v>
      </c>
      <c r="B47" s="186" t="s">
        <v>252</v>
      </c>
      <c r="C47" s="186">
        <v>0</v>
      </c>
      <c r="D47" s="186" t="s">
        <v>253</v>
      </c>
      <c r="E47" s="186">
        <v>0</v>
      </c>
      <c r="F47" s="186">
        <v>41.045999999999999</v>
      </c>
      <c r="G47" s="186">
        <v>30.785</v>
      </c>
    </row>
    <row r="48" spans="1:7" ht="25.5">
      <c r="A48" s="159"/>
      <c r="B48" s="186" t="s">
        <v>252</v>
      </c>
      <c r="C48" s="186">
        <v>0</v>
      </c>
      <c r="D48" s="186" t="s">
        <v>250</v>
      </c>
      <c r="E48" s="186">
        <v>0</v>
      </c>
      <c r="F48" s="186">
        <v>28.135000000000002</v>
      </c>
      <c r="G48" s="186">
        <v>25.827999999999999</v>
      </c>
    </row>
    <row r="49" spans="1:7">
      <c r="A49" s="158"/>
      <c r="B49" s="187" t="s">
        <v>2789</v>
      </c>
      <c r="C49" s="187">
        <v>0</v>
      </c>
      <c r="D49" s="158"/>
      <c r="E49" s="187">
        <v>0</v>
      </c>
      <c r="F49" s="187">
        <v>69.180999999999997</v>
      </c>
      <c r="G49" s="187">
        <v>56.612000000000002</v>
      </c>
    </row>
    <row r="50" spans="1:7">
      <c r="A50" s="186">
        <v>10</v>
      </c>
      <c r="B50" s="186" t="s">
        <v>254</v>
      </c>
      <c r="C50" s="186">
        <v>0</v>
      </c>
      <c r="D50" s="186" t="s">
        <v>253</v>
      </c>
      <c r="E50" s="186">
        <v>57.63</v>
      </c>
      <c r="F50" s="186">
        <v>6.27</v>
      </c>
      <c r="G50" s="186">
        <v>4.7030000000000003</v>
      </c>
    </row>
    <row r="51" spans="1:7">
      <c r="A51" s="158"/>
      <c r="B51" s="187" t="s">
        <v>2789</v>
      </c>
      <c r="C51" s="187">
        <v>0</v>
      </c>
      <c r="D51" s="158"/>
      <c r="E51" s="187">
        <v>57.63</v>
      </c>
      <c r="F51" s="187">
        <v>6.27</v>
      </c>
      <c r="G51" s="187">
        <v>4.7030000000000003</v>
      </c>
    </row>
    <row r="52" spans="1:7" ht="38.25">
      <c r="A52" s="186">
        <v>11</v>
      </c>
      <c r="B52" s="186" t="s">
        <v>2875</v>
      </c>
      <c r="C52" s="186">
        <v>0</v>
      </c>
      <c r="D52" s="186" t="s">
        <v>253</v>
      </c>
      <c r="E52" s="186">
        <v>0</v>
      </c>
      <c r="F52" s="186">
        <v>47.89</v>
      </c>
      <c r="G52" s="186">
        <v>35.917999999999999</v>
      </c>
    </row>
    <row r="53" spans="1:7" ht="38.25">
      <c r="A53" s="159"/>
      <c r="B53" s="186" t="s">
        <v>2875</v>
      </c>
      <c r="C53" s="186">
        <v>0</v>
      </c>
      <c r="D53" s="186" t="s">
        <v>250</v>
      </c>
      <c r="E53" s="186">
        <v>18.626999999999999</v>
      </c>
      <c r="F53" s="186">
        <v>0</v>
      </c>
      <c r="G53" s="186">
        <v>0</v>
      </c>
    </row>
    <row r="54" spans="1:7">
      <c r="A54" s="158"/>
      <c r="B54" s="187" t="s">
        <v>2789</v>
      </c>
      <c r="C54" s="187">
        <v>0</v>
      </c>
      <c r="D54" s="158"/>
      <c r="E54" s="187">
        <v>18.626999999999999</v>
      </c>
      <c r="F54" s="187">
        <v>47.89</v>
      </c>
      <c r="G54" s="187">
        <v>35.917999999999999</v>
      </c>
    </row>
    <row r="55" spans="1:7" ht="25.5">
      <c r="A55" s="186">
        <v>12</v>
      </c>
      <c r="B55" s="186" t="s">
        <v>666</v>
      </c>
      <c r="C55" s="186">
        <v>0</v>
      </c>
      <c r="D55" s="186" t="s">
        <v>250</v>
      </c>
      <c r="E55" s="186">
        <v>0</v>
      </c>
      <c r="F55" s="186">
        <v>960.24300000000005</v>
      </c>
      <c r="G55" s="186">
        <v>881.50300000000004</v>
      </c>
    </row>
    <row r="56" spans="1:7">
      <c r="A56" s="158"/>
      <c r="B56" s="187" t="s">
        <v>2789</v>
      </c>
      <c r="C56" s="187">
        <v>0</v>
      </c>
      <c r="D56" s="158"/>
      <c r="E56" s="187">
        <v>0</v>
      </c>
      <c r="F56" s="187">
        <v>960.24300000000005</v>
      </c>
      <c r="G56" s="187">
        <v>881.50300000000004</v>
      </c>
    </row>
    <row r="57" spans="1:7">
      <c r="A57" s="186">
        <v>13</v>
      </c>
      <c r="B57" s="186" t="s">
        <v>276</v>
      </c>
      <c r="C57" s="186">
        <v>300</v>
      </c>
      <c r="D57" s="186" t="s">
        <v>259</v>
      </c>
      <c r="E57" s="186">
        <v>0</v>
      </c>
      <c r="F57" s="186">
        <v>0</v>
      </c>
      <c r="G57" s="186">
        <v>0</v>
      </c>
    </row>
    <row r="58" spans="1:7">
      <c r="A58" s="158"/>
      <c r="B58" s="187" t="s">
        <v>2789</v>
      </c>
      <c r="C58" s="187">
        <v>300</v>
      </c>
      <c r="D58" s="158"/>
      <c r="E58" s="187">
        <v>0</v>
      </c>
      <c r="F58" s="187">
        <v>0</v>
      </c>
      <c r="G58" s="187">
        <v>0</v>
      </c>
    </row>
    <row r="59" spans="1:7" ht="25.5">
      <c r="A59" s="186">
        <v>14</v>
      </c>
      <c r="B59" s="186" t="s">
        <v>277</v>
      </c>
      <c r="C59" s="186">
        <v>0</v>
      </c>
      <c r="D59" s="186" t="s">
        <v>253</v>
      </c>
      <c r="E59" s="186">
        <v>0</v>
      </c>
      <c r="F59" s="186">
        <v>162.65700000000001</v>
      </c>
      <c r="G59" s="186">
        <v>121.99299999999999</v>
      </c>
    </row>
    <row r="60" spans="1:7" ht="25.5">
      <c r="A60" s="159"/>
      <c r="B60" s="186" t="s">
        <v>277</v>
      </c>
      <c r="C60" s="186">
        <v>599.70000000000005</v>
      </c>
      <c r="D60" s="186" t="s">
        <v>259</v>
      </c>
      <c r="E60" s="186">
        <v>0</v>
      </c>
      <c r="F60" s="186">
        <v>0</v>
      </c>
      <c r="G60" s="186">
        <v>0</v>
      </c>
    </row>
    <row r="61" spans="1:7">
      <c r="A61" s="158"/>
      <c r="B61" s="187" t="s">
        <v>2789</v>
      </c>
      <c r="C61" s="187">
        <v>599.70000000000005</v>
      </c>
      <c r="D61" s="158"/>
      <c r="E61" s="187">
        <v>0</v>
      </c>
      <c r="F61" s="187">
        <v>162.65700000000001</v>
      </c>
      <c r="G61" s="187">
        <v>121.99299999999999</v>
      </c>
    </row>
    <row r="62" spans="1:7" ht="31.5" customHeight="1">
      <c r="A62" s="160"/>
      <c r="B62" s="185" t="s">
        <v>102</v>
      </c>
      <c r="C62" s="185">
        <v>8814.8610000000008</v>
      </c>
      <c r="D62" s="160"/>
      <c r="E62" s="185">
        <v>998.60699999999997</v>
      </c>
      <c r="F62" s="185">
        <v>16289.485000000001</v>
      </c>
      <c r="G62" s="185">
        <v>14379.999</v>
      </c>
    </row>
  </sheetData>
  <mergeCells count="31">
    <mergeCell ref="D19:G19"/>
    <mergeCell ref="A23:G24"/>
    <mergeCell ref="A20:G20"/>
    <mergeCell ref="B21:C21"/>
    <mergeCell ref="D21:E21"/>
    <mergeCell ref="F21:G21"/>
    <mergeCell ref="B22:C22"/>
    <mergeCell ref="D22:E22"/>
    <mergeCell ref="F22:G22"/>
    <mergeCell ref="D14:G14"/>
    <mergeCell ref="D15:G15"/>
    <mergeCell ref="D16:G16"/>
    <mergeCell ref="D17:G17"/>
    <mergeCell ref="A18:C18"/>
    <mergeCell ref="D18:G18"/>
    <mergeCell ref="D9:G9"/>
    <mergeCell ref="D10:G10"/>
    <mergeCell ref="D11:G11"/>
    <mergeCell ref="D12:G12"/>
    <mergeCell ref="A13:C13"/>
    <mergeCell ref="D13:G13"/>
    <mergeCell ref="B5:C5"/>
    <mergeCell ref="D5:G5"/>
    <mergeCell ref="A6:G6"/>
    <mergeCell ref="D7:G7"/>
    <mergeCell ref="D8:G8"/>
    <mergeCell ref="A1:E2"/>
    <mergeCell ref="F1:G3"/>
    <mergeCell ref="A3:E3"/>
    <mergeCell ref="B4:C4"/>
    <mergeCell ref="D4:G4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9E95-CEEF-4AD2-BCB1-A5B377736D19}">
  <sheetPr codeName="Sheet24"/>
  <dimension ref="A1:C15"/>
  <sheetViews>
    <sheetView workbookViewId="0">
      <selection activeCell="A11" sqref="A11:C15"/>
    </sheetView>
  </sheetViews>
  <sheetFormatPr defaultRowHeight="15"/>
  <cols>
    <col min="1" max="1" width="26.28515625" bestFit="1" customWidth="1"/>
    <col min="2" max="2" width="12.140625" bestFit="1" customWidth="1"/>
  </cols>
  <sheetData>
    <row r="1" spans="1:3" ht="25.5">
      <c r="A1" s="93" t="s">
        <v>2737</v>
      </c>
      <c r="B1" s="98" t="s">
        <v>2739</v>
      </c>
    </row>
    <row r="2" spans="1:3">
      <c r="A2" s="95" t="s">
        <v>2741</v>
      </c>
      <c r="B2" s="101">
        <v>4243.4129999999996</v>
      </c>
    </row>
    <row r="3" spans="1:3">
      <c r="A3" s="96" t="s">
        <v>2742</v>
      </c>
      <c r="B3" s="100">
        <v>2374.2689999999998</v>
      </c>
    </row>
    <row r="4" spans="1:3">
      <c r="A4" s="95" t="s">
        <v>2743</v>
      </c>
      <c r="B4" s="101"/>
    </row>
    <row r="5" spans="1:3">
      <c r="A5" s="96" t="s">
        <v>2744</v>
      </c>
      <c r="B5" s="100">
        <v>7410.0969999999998</v>
      </c>
    </row>
    <row r="6" spans="1:3">
      <c r="A6" s="97" t="s">
        <v>2745</v>
      </c>
      <c r="B6" s="99">
        <v>474.35700000000003</v>
      </c>
    </row>
    <row r="7" spans="1:3">
      <c r="A7" s="96" t="s">
        <v>2747</v>
      </c>
      <c r="B7" s="100">
        <v>7.9710000000000001</v>
      </c>
    </row>
    <row r="8" spans="1:3">
      <c r="A8" s="95" t="s">
        <v>617</v>
      </c>
      <c r="B8" s="101">
        <v>-2.7130000000000001</v>
      </c>
    </row>
    <row r="9" spans="1:3">
      <c r="A9" s="96" t="s">
        <v>2746</v>
      </c>
      <c r="B9" s="100">
        <v>0</v>
      </c>
    </row>
    <row r="11" spans="1:3">
      <c r="A11" s="93" t="s">
        <v>2795</v>
      </c>
      <c r="B11" s="98" t="s">
        <v>98</v>
      </c>
      <c r="C11" s="93" t="s">
        <v>2792</v>
      </c>
    </row>
    <row r="12" spans="1:3">
      <c r="A12" s="95" t="s">
        <v>2790</v>
      </c>
      <c r="B12" s="101"/>
      <c r="C12" s="95"/>
    </row>
    <row r="13" spans="1:3">
      <c r="A13" s="96" t="s">
        <v>2791</v>
      </c>
      <c r="B13" s="100"/>
      <c r="C13" s="96"/>
    </row>
    <row r="14" spans="1:3">
      <c r="A14" s="95" t="s">
        <v>2793</v>
      </c>
      <c r="B14" s="101"/>
      <c r="C14" s="95"/>
    </row>
    <row r="15" spans="1:3">
      <c r="A15" s="96" t="s">
        <v>2794</v>
      </c>
      <c r="B15" s="100"/>
      <c r="C15" s="96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2B10-C25B-4651-A5D7-71B43D5B3C67}">
  <sheetPr codeName="Sheet26"/>
  <dimension ref="B1:C31"/>
  <sheetViews>
    <sheetView topLeftCell="A25" workbookViewId="0"/>
  </sheetViews>
  <sheetFormatPr defaultRowHeight="15"/>
  <sheetData>
    <row r="1" spans="2:3" ht="15.75" thickBot="1"/>
    <row r="2" spans="2:3" ht="15.75" thickBot="1">
      <c r="B2" s="82" t="s">
        <v>2720</v>
      </c>
      <c r="C2" s="83" t="s">
        <v>2721</v>
      </c>
    </row>
    <row r="3" spans="2:3" ht="39.75" thickBot="1">
      <c r="B3" s="84" t="s">
        <v>249</v>
      </c>
      <c r="C3" s="85">
        <v>2</v>
      </c>
    </row>
    <row r="4" spans="2:3" ht="27" thickBot="1">
      <c r="B4" s="86" t="s">
        <v>2722</v>
      </c>
      <c r="C4" s="85">
        <v>26</v>
      </c>
    </row>
    <row r="5" spans="2:3" ht="52.5" thickBot="1">
      <c r="B5" s="84" t="s">
        <v>280</v>
      </c>
      <c r="C5" s="85">
        <v>8</v>
      </c>
    </row>
    <row r="6" spans="2:3" ht="39.75" thickBot="1">
      <c r="B6" s="84" t="s">
        <v>251</v>
      </c>
      <c r="C6" s="85">
        <v>13</v>
      </c>
    </row>
    <row r="7" spans="2:3" ht="15.75" thickBot="1">
      <c r="B7" s="86" t="s">
        <v>2723</v>
      </c>
      <c r="C7" s="85">
        <v>19</v>
      </c>
    </row>
    <row r="8" spans="2:3" ht="27" thickBot="1">
      <c r="B8" s="86" t="s">
        <v>659</v>
      </c>
      <c r="C8" s="85">
        <v>17</v>
      </c>
    </row>
    <row r="9" spans="2:3" ht="27" thickBot="1">
      <c r="B9" s="84" t="s">
        <v>660</v>
      </c>
      <c r="C9" s="85">
        <v>3</v>
      </c>
    </row>
    <row r="10" spans="2:3" ht="65.25" thickBot="1">
      <c r="B10" s="84" t="s">
        <v>661</v>
      </c>
      <c r="C10" s="85">
        <v>10</v>
      </c>
    </row>
    <row r="11" spans="2:3" ht="27" thickBot="1">
      <c r="B11" s="86" t="s">
        <v>662</v>
      </c>
      <c r="C11" s="85">
        <v>27</v>
      </c>
    </row>
    <row r="12" spans="2:3" ht="65.25" thickBot="1">
      <c r="B12" s="84" t="s">
        <v>252</v>
      </c>
      <c r="C12" s="85">
        <v>4</v>
      </c>
    </row>
    <row r="13" spans="2:3" ht="27" thickBot="1">
      <c r="B13" s="84" t="s">
        <v>254</v>
      </c>
      <c r="C13" s="85">
        <v>7</v>
      </c>
    </row>
    <row r="14" spans="2:3" ht="52.5" thickBot="1">
      <c r="B14" s="84" t="s">
        <v>256</v>
      </c>
      <c r="C14" s="85">
        <v>14</v>
      </c>
    </row>
    <row r="15" spans="2:3" ht="52.5" thickBot="1">
      <c r="B15" s="86" t="s">
        <v>2724</v>
      </c>
      <c r="C15" s="85">
        <v>23</v>
      </c>
    </row>
    <row r="16" spans="2:3" ht="39.75" thickBot="1">
      <c r="B16" s="84" t="s">
        <v>279</v>
      </c>
      <c r="C16" s="85">
        <v>6</v>
      </c>
    </row>
    <row r="17" spans="2:3" ht="39.75" thickBot="1">
      <c r="B17" s="86" t="s">
        <v>663</v>
      </c>
      <c r="C17" s="85">
        <v>25</v>
      </c>
    </row>
    <row r="18" spans="2:3" ht="27" thickBot="1">
      <c r="B18" s="86" t="s">
        <v>2725</v>
      </c>
      <c r="C18" s="85">
        <v>18</v>
      </c>
    </row>
    <row r="19" spans="2:3" ht="15.75" thickBot="1">
      <c r="B19" s="86" t="s">
        <v>665</v>
      </c>
      <c r="C19" s="85">
        <v>22</v>
      </c>
    </row>
    <row r="20" spans="2:3" ht="52.5" thickBot="1">
      <c r="B20" s="86" t="s">
        <v>666</v>
      </c>
      <c r="C20" s="85">
        <v>16</v>
      </c>
    </row>
    <row r="21" spans="2:3" ht="39.75" thickBot="1">
      <c r="B21" s="84" t="s">
        <v>257</v>
      </c>
      <c r="C21" s="85">
        <v>11</v>
      </c>
    </row>
    <row r="22" spans="2:3" ht="65.25" thickBot="1">
      <c r="B22" s="84" t="s">
        <v>2719</v>
      </c>
      <c r="C22" s="85">
        <v>12</v>
      </c>
    </row>
    <row r="23" spans="2:3" ht="52.5" thickBot="1">
      <c r="B23" s="84" t="s">
        <v>258</v>
      </c>
      <c r="C23" s="85">
        <v>1</v>
      </c>
    </row>
    <row r="24" spans="2:3" ht="39.75" thickBot="1">
      <c r="B24" s="86" t="s">
        <v>261</v>
      </c>
      <c r="C24" s="85">
        <v>21</v>
      </c>
    </row>
    <row r="25" spans="2:3" ht="65.25" thickBot="1">
      <c r="B25" s="84" t="s">
        <v>2726</v>
      </c>
      <c r="C25" s="85">
        <v>15</v>
      </c>
    </row>
    <row r="26" spans="2:3" ht="65.25" thickBot="1">
      <c r="B26" s="84" t="s">
        <v>278</v>
      </c>
      <c r="C26" s="85">
        <v>9</v>
      </c>
    </row>
    <row r="27" spans="2:3" ht="27" thickBot="1">
      <c r="B27" s="86" t="s">
        <v>2727</v>
      </c>
      <c r="C27" s="85">
        <v>28</v>
      </c>
    </row>
    <row r="28" spans="2:3" ht="27" thickBot="1">
      <c r="B28" s="86" t="s">
        <v>2718</v>
      </c>
      <c r="C28" s="85">
        <v>20</v>
      </c>
    </row>
    <row r="29" spans="2:3" ht="15.75" thickBot="1">
      <c r="B29" s="84" t="s">
        <v>276</v>
      </c>
      <c r="C29" s="85">
        <v>5</v>
      </c>
    </row>
    <row r="30" spans="2:3" ht="27" thickBot="1">
      <c r="B30" s="86" t="s">
        <v>668</v>
      </c>
      <c r="C30" s="85">
        <v>24</v>
      </c>
    </row>
    <row r="31" spans="2:3" ht="27" thickBot="1">
      <c r="B31" s="87" t="s">
        <v>102</v>
      </c>
      <c r="C31" s="8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91D1-0595-45B9-A8AB-28951CB723C8}">
  <sheetPr codeName="Sheet22"/>
  <dimension ref="B3:C33"/>
  <sheetViews>
    <sheetView workbookViewId="0">
      <selection activeCell="H9" sqref="H9"/>
    </sheetView>
  </sheetViews>
  <sheetFormatPr defaultRowHeight="15"/>
  <sheetData>
    <row r="3" spans="2:3" ht="15.75" thickBot="1"/>
    <row r="4" spans="2:3" ht="15.75" thickBot="1">
      <c r="B4" s="82" t="s">
        <v>2720</v>
      </c>
      <c r="C4" s="83" t="s">
        <v>2721</v>
      </c>
    </row>
    <row r="5" spans="2:3" ht="39.75" thickBot="1">
      <c r="B5" s="84" t="s">
        <v>249</v>
      </c>
      <c r="C5" s="85">
        <v>2</v>
      </c>
    </row>
    <row r="6" spans="2:3" ht="27" thickBot="1">
      <c r="B6" s="86" t="s">
        <v>2722</v>
      </c>
      <c r="C6" s="85">
        <v>26</v>
      </c>
    </row>
    <row r="7" spans="2:3" ht="52.5" thickBot="1">
      <c r="B7" s="84" t="s">
        <v>280</v>
      </c>
      <c r="C7" s="85">
        <v>8</v>
      </c>
    </row>
    <row r="8" spans="2:3" ht="39.75" thickBot="1">
      <c r="B8" s="84" t="s">
        <v>251</v>
      </c>
      <c r="C8" s="85">
        <v>13</v>
      </c>
    </row>
    <row r="9" spans="2:3" ht="15.75" thickBot="1">
      <c r="B9" s="86" t="s">
        <v>2723</v>
      </c>
      <c r="C9" s="85">
        <v>19</v>
      </c>
    </row>
    <row r="10" spans="2:3" ht="27" thickBot="1">
      <c r="B10" s="86" t="s">
        <v>659</v>
      </c>
      <c r="C10" s="85">
        <v>17</v>
      </c>
    </row>
    <row r="11" spans="2:3" ht="27" thickBot="1">
      <c r="B11" s="84" t="s">
        <v>660</v>
      </c>
      <c r="C11" s="85">
        <v>3</v>
      </c>
    </row>
    <row r="12" spans="2:3" ht="65.25" thickBot="1">
      <c r="B12" s="84" t="s">
        <v>661</v>
      </c>
      <c r="C12" s="85">
        <v>10</v>
      </c>
    </row>
    <row r="13" spans="2:3" ht="27" thickBot="1">
      <c r="B13" s="86" t="s">
        <v>662</v>
      </c>
      <c r="C13" s="85">
        <v>27</v>
      </c>
    </row>
    <row r="14" spans="2:3" ht="65.25" thickBot="1">
      <c r="B14" s="84" t="s">
        <v>252</v>
      </c>
      <c r="C14" s="85">
        <v>4</v>
      </c>
    </row>
    <row r="15" spans="2:3" ht="27" thickBot="1">
      <c r="B15" s="84" t="s">
        <v>254</v>
      </c>
      <c r="C15" s="85">
        <v>7</v>
      </c>
    </row>
    <row r="16" spans="2:3" ht="52.5" thickBot="1">
      <c r="B16" s="84" t="s">
        <v>256</v>
      </c>
      <c r="C16" s="85">
        <v>14</v>
      </c>
    </row>
    <row r="17" spans="2:3" ht="52.5" thickBot="1">
      <c r="B17" s="86" t="s">
        <v>2724</v>
      </c>
      <c r="C17" s="85">
        <v>23</v>
      </c>
    </row>
    <row r="18" spans="2:3" ht="39.75" thickBot="1">
      <c r="B18" s="84" t="s">
        <v>279</v>
      </c>
      <c r="C18" s="85">
        <v>6</v>
      </c>
    </row>
    <row r="19" spans="2:3" ht="39.75" thickBot="1">
      <c r="B19" s="86" t="s">
        <v>663</v>
      </c>
      <c r="C19" s="85">
        <v>25</v>
      </c>
    </row>
    <row r="20" spans="2:3" ht="27" thickBot="1">
      <c r="B20" s="86" t="s">
        <v>2725</v>
      </c>
      <c r="C20" s="85">
        <v>18</v>
      </c>
    </row>
    <row r="21" spans="2:3" ht="15.75" thickBot="1">
      <c r="B21" s="86" t="s">
        <v>665</v>
      </c>
      <c r="C21" s="85">
        <v>22</v>
      </c>
    </row>
    <row r="22" spans="2:3" ht="52.5" thickBot="1">
      <c r="B22" s="86" t="s">
        <v>666</v>
      </c>
      <c r="C22" s="85">
        <v>16</v>
      </c>
    </row>
    <row r="23" spans="2:3" ht="39.75" thickBot="1">
      <c r="B23" s="84" t="s">
        <v>257</v>
      </c>
      <c r="C23" s="85">
        <v>11</v>
      </c>
    </row>
    <row r="24" spans="2:3" ht="65.25" thickBot="1">
      <c r="B24" s="84" t="s">
        <v>2719</v>
      </c>
      <c r="C24" s="85">
        <v>12</v>
      </c>
    </row>
    <row r="25" spans="2:3" ht="52.5" thickBot="1">
      <c r="B25" s="84" t="s">
        <v>258</v>
      </c>
      <c r="C25" s="85">
        <v>1</v>
      </c>
    </row>
    <row r="26" spans="2:3" ht="39.75" thickBot="1">
      <c r="B26" s="86" t="s">
        <v>261</v>
      </c>
      <c r="C26" s="85">
        <v>21</v>
      </c>
    </row>
    <row r="27" spans="2:3" ht="65.25" thickBot="1">
      <c r="B27" s="84" t="s">
        <v>2726</v>
      </c>
      <c r="C27" s="85">
        <v>15</v>
      </c>
    </row>
    <row r="28" spans="2:3" ht="65.25" thickBot="1">
      <c r="B28" s="84" t="s">
        <v>278</v>
      </c>
      <c r="C28" s="85">
        <v>9</v>
      </c>
    </row>
    <row r="29" spans="2:3" ht="27" thickBot="1">
      <c r="B29" s="86" t="s">
        <v>2727</v>
      </c>
      <c r="C29" s="85">
        <v>28</v>
      </c>
    </row>
    <row r="30" spans="2:3" ht="27" thickBot="1">
      <c r="B30" s="86" t="s">
        <v>2718</v>
      </c>
      <c r="C30" s="85">
        <v>20</v>
      </c>
    </row>
    <row r="31" spans="2:3" ht="15.75" thickBot="1">
      <c r="B31" s="84" t="s">
        <v>276</v>
      </c>
      <c r="C31" s="85">
        <v>5</v>
      </c>
    </row>
    <row r="32" spans="2:3" ht="27" thickBot="1">
      <c r="B32" s="86" t="s">
        <v>668</v>
      </c>
      <c r="C32" s="85">
        <v>24</v>
      </c>
    </row>
    <row r="33" spans="2:3" ht="27" thickBot="1">
      <c r="B33" s="87" t="s">
        <v>102</v>
      </c>
      <c r="C33" s="8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1027"/>
  <sheetViews>
    <sheetView workbookViewId="0">
      <selection activeCell="L4" sqref="L4"/>
    </sheetView>
  </sheetViews>
  <sheetFormatPr defaultColWidth="9.140625" defaultRowHeight="15"/>
  <cols>
    <col min="1" max="1" width="12.140625" customWidth="1"/>
    <col min="2" max="2" width="15.42578125" customWidth="1"/>
    <col min="3" max="3" width="7.7109375" bestFit="1" customWidth="1"/>
    <col min="4" max="4" width="8.42578125" bestFit="1" customWidth="1"/>
    <col min="5" max="5" width="7.85546875" bestFit="1" customWidth="1"/>
    <col min="6" max="6" width="10.7109375" bestFit="1" customWidth="1"/>
    <col min="7" max="7" width="9" bestFit="1" customWidth="1"/>
    <col min="8" max="8" width="10.5703125" bestFit="1" customWidth="1"/>
    <col min="9" max="10" width="10.7109375" bestFit="1" customWidth="1"/>
    <col min="11" max="11" width="8.28515625" bestFit="1" customWidth="1"/>
    <col min="12" max="12" width="7.85546875" bestFit="1" customWidth="1"/>
  </cols>
  <sheetData>
    <row r="1" spans="1:12" ht="30" customHeight="1">
      <c r="A1" s="202" t="s">
        <v>295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</row>
    <row r="2" spans="1:12" ht="35.25" customHeight="1">
      <c r="A2" s="253" t="s">
        <v>296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</row>
    <row r="3" spans="1:12" ht="21">
      <c r="A3" s="74" t="s">
        <v>94</v>
      </c>
      <c r="B3" s="74" t="s">
        <v>268</v>
      </c>
      <c r="C3" s="74" t="s">
        <v>95</v>
      </c>
      <c r="D3" s="74" t="s">
        <v>297</v>
      </c>
      <c r="E3" s="74" t="s">
        <v>298</v>
      </c>
      <c r="F3" s="74" t="s">
        <v>299</v>
      </c>
      <c r="G3" s="74" t="s">
        <v>300</v>
      </c>
      <c r="H3" s="74" t="s">
        <v>301</v>
      </c>
      <c r="I3" s="74" t="s">
        <v>302</v>
      </c>
      <c r="J3" s="74" t="s">
        <v>303</v>
      </c>
      <c r="K3" s="74" t="s">
        <v>304</v>
      </c>
      <c r="L3" s="75" t="s">
        <v>305</v>
      </c>
    </row>
    <row r="4" spans="1:12" ht="33.75">
      <c r="A4" s="76" t="s">
        <v>2454</v>
      </c>
      <c r="B4" s="76" t="s">
        <v>2455</v>
      </c>
      <c r="C4" s="76" t="s">
        <v>2456</v>
      </c>
      <c r="D4" s="76" t="s">
        <v>2457</v>
      </c>
      <c r="E4" s="77">
        <v>23.22</v>
      </c>
      <c r="F4" s="76" t="s">
        <v>2475</v>
      </c>
      <c r="G4" s="76"/>
      <c r="H4" s="76" t="s">
        <v>282</v>
      </c>
      <c r="I4" s="78">
        <v>45770</v>
      </c>
      <c r="J4" s="78">
        <v>45763</v>
      </c>
      <c r="K4" s="77">
        <v>-220</v>
      </c>
      <c r="L4" s="77">
        <v>-227</v>
      </c>
    </row>
    <row r="5" spans="1:12" ht="33.75">
      <c r="A5" s="76" t="s">
        <v>308</v>
      </c>
      <c r="B5" s="76" t="s">
        <v>309</v>
      </c>
      <c r="C5" s="76" t="s">
        <v>310</v>
      </c>
      <c r="D5" s="76" t="s">
        <v>311</v>
      </c>
      <c r="E5" s="77">
        <v>10.74</v>
      </c>
      <c r="F5" s="76" t="s">
        <v>73</v>
      </c>
      <c r="G5" s="76"/>
      <c r="H5" s="76" t="s">
        <v>273</v>
      </c>
      <c r="I5" s="78">
        <v>45842</v>
      </c>
      <c r="J5" s="78">
        <v>45835</v>
      </c>
      <c r="K5" s="77">
        <v>-148</v>
      </c>
      <c r="L5" s="77">
        <v>-155</v>
      </c>
    </row>
    <row r="6" spans="1:12" ht="22.5">
      <c r="A6" s="76" t="s">
        <v>312</v>
      </c>
      <c r="B6" s="76" t="s">
        <v>313</v>
      </c>
      <c r="C6" s="76" t="s">
        <v>314</v>
      </c>
      <c r="D6" s="76" t="s">
        <v>315</v>
      </c>
      <c r="E6" s="77">
        <v>0.21</v>
      </c>
      <c r="F6" s="76" t="s">
        <v>73</v>
      </c>
      <c r="G6" s="76"/>
      <c r="H6" s="76" t="s">
        <v>282</v>
      </c>
      <c r="I6" s="78">
        <v>45848</v>
      </c>
      <c r="J6" s="78">
        <v>45841</v>
      </c>
      <c r="K6" s="77">
        <v>-142</v>
      </c>
      <c r="L6" s="77">
        <v>-149</v>
      </c>
    </row>
    <row r="7" spans="1:12" ht="33.75">
      <c r="A7" s="76" t="s">
        <v>1307</v>
      </c>
      <c r="B7" s="76" t="s">
        <v>274</v>
      </c>
      <c r="C7" s="76" t="s">
        <v>307</v>
      </c>
      <c r="D7" s="76" t="s">
        <v>316</v>
      </c>
      <c r="E7" s="79"/>
      <c r="F7" s="76" t="s">
        <v>167</v>
      </c>
      <c r="G7" s="76"/>
      <c r="H7" s="76" t="s">
        <v>317</v>
      </c>
      <c r="I7" s="78">
        <v>45846</v>
      </c>
      <c r="J7" s="78">
        <v>45843</v>
      </c>
      <c r="K7" s="77">
        <v>-144</v>
      </c>
      <c r="L7" s="77">
        <v>-147</v>
      </c>
    </row>
    <row r="8" spans="1:12" ht="33.75">
      <c r="A8" s="76" t="s">
        <v>318</v>
      </c>
      <c r="B8" s="76" t="s">
        <v>319</v>
      </c>
      <c r="C8" s="76" t="s">
        <v>307</v>
      </c>
      <c r="D8" s="76" t="s">
        <v>320</v>
      </c>
      <c r="E8" s="79"/>
      <c r="F8" s="76" t="s">
        <v>167</v>
      </c>
      <c r="G8" s="76"/>
      <c r="H8" s="76" t="s">
        <v>317</v>
      </c>
      <c r="I8" s="78">
        <v>45857</v>
      </c>
      <c r="J8" s="78">
        <v>45857</v>
      </c>
      <c r="K8" s="77">
        <v>-133</v>
      </c>
      <c r="L8" s="77">
        <v>-133</v>
      </c>
    </row>
    <row r="9" spans="1:12" ht="22.5">
      <c r="A9" s="76" t="s">
        <v>321</v>
      </c>
      <c r="B9" s="76" t="s">
        <v>1951</v>
      </c>
      <c r="C9" s="76" t="s">
        <v>307</v>
      </c>
      <c r="D9" s="76" t="s">
        <v>322</v>
      </c>
      <c r="E9" s="79"/>
      <c r="F9" s="76" t="s">
        <v>323</v>
      </c>
      <c r="G9" s="76"/>
      <c r="H9" s="76" t="s">
        <v>272</v>
      </c>
      <c r="I9" s="78">
        <v>45862</v>
      </c>
      <c r="J9" s="78">
        <v>45862</v>
      </c>
      <c r="K9" s="77">
        <v>-128</v>
      </c>
      <c r="L9" s="77">
        <v>-128</v>
      </c>
    </row>
    <row r="10" spans="1:12" ht="22.5">
      <c r="A10" s="76" t="s">
        <v>321</v>
      </c>
      <c r="B10" s="76" t="s">
        <v>1951</v>
      </c>
      <c r="C10" s="76" t="s">
        <v>307</v>
      </c>
      <c r="D10" s="76" t="s">
        <v>324</v>
      </c>
      <c r="E10" s="79"/>
      <c r="F10" s="76" t="s">
        <v>323</v>
      </c>
      <c r="G10" s="76"/>
      <c r="H10" s="76" t="s">
        <v>272</v>
      </c>
      <c r="I10" s="78">
        <v>45862</v>
      </c>
      <c r="J10" s="78">
        <v>45862</v>
      </c>
      <c r="K10" s="77">
        <v>-128</v>
      </c>
      <c r="L10" s="77">
        <v>-128</v>
      </c>
    </row>
    <row r="11" spans="1:12" ht="22.5">
      <c r="A11" s="76" t="s">
        <v>321</v>
      </c>
      <c r="B11" s="76" t="s">
        <v>1951</v>
      </c>
      <c r="C11" s="76" t="s">
        <v>307</v>
      </c>
      <c r="D11" s="76" t="s">
        <v>325</v>
      </c>
      <c r="E11" s="79"/>
      <c r="F11" s="76" t="s">
        <v>323</v>
      </c>
      <c r="G11" s="76"/>
      <c r="H11" s="76" t="s">
        <v>272</v>
      </c>
      <c r="I11" s="78">
        <v>45862</v>
      </c>
      <c r="J11" s="78">
        <v>45862</v>
      </c>
      <c r="K11" s="77">
        <v>-128</v>
      </c>
      <c r="L11" s="77">
        <v>-128</v>
      </c>
    </row>
    <row r="12" spans="1:12" ht="45">
      <c r="A12" s="76" t="s">
        <v>326</v>
      </c>
      <c r="B12" s="76" t="s">
        <v>327</v>
      </c>
      <c r="C12" s="76" t="s">
        <v>307</v>
      </c>
      <c r="D12" s="76" t="s">
        <v>328</v>
      </c>
      <c r="E12" s="79"/>
      <c r="F12" s="76"/>
      <c r="G12" s="76" t="s">
        <v>202</v>
      </c>
      <c r="H12" s="76" t="s">
        <v>273</v>
      </c>
      <c r="I12" s="78">
        <v>45889</v>
      </c>
      <c r="J12" s="78">
        <v>45875</v>
      </c>
      <c r="K12" s="77">
        <v>-101</v>
      </c>
      <c r="L12" s="77">
        <v>-115</v>
      </c>
    </row>
    <row r="13" spans="1:12" ht="33.75">
      <c r="A13" s="76" t="s">
        <v>330</v>
      </c>
      <c r="B13" s="76" t="s">
        <v>331</v>
      </c>
      <c r="C13" s="76" t="s">
        <v>307</v>
      </c>
      <c r="D13" s="76" t="s">
        <v>332</v>
      </c>
      <c r="E13" s="79"/>
      <c r="F13" s="76" t="s">
        <v>194</v>
      </c>
      <c r="G13" s="76"/>
      <c r="H13" s="76" t="s">
        <v>273</v>
      </c>
      <c r="I13" s="78">
        <v>45884</v>
      </c>
      <c r="J13" s="78">
        <v>45877</v>
      </c>
      <c r="K13" s="77">
        <v>-106</v>
      </c>
      <c r="L13" s="77">
        <v>-113</v>
      </c>
    </row>
    <row r="14" spans="1:12" ht="33.75">
      <c r="A14" s="76" t="s">
        <v>333</v>
      </c>
      <c r="B14" s="76" t="s">
        <v>334</v>
      </c>
      <c r="C14" s="76" t="s">
        <v>307</v>
      </c>
      <c r="D14" s="76" t="s">
        <v>335</v>
      </c>
      <c r="E14" s="79"/>
      <c r="F14" s="76" t="s">
        <v>194</v>
      </c>
      <c r="G14" s="76"/>
      <c r="H14" s="76" t="s">
        <v>273</v>
      </c>
      <c r="I14" s="78">
        <v>45892</v>
      </c>
      <c r="J14" s="78">
        <v>45877</v>
      </c>
      <c r="K14" s="77">
        <v>-98</v>
      </c>
      <c r="L14" s="77">
        <v>-113</v>
      </c>
    </row>
    <row r="15" spans="1:12" ht="33.75">
      <c r="A15" s="76" t="s">
        <v>337</v>
      </c>
      <c r="B15" s="76" t="s">
        <v>338</v>
      </c>
      <c r="C15" s="76" t="s">
        <v>307</v>
      </c>
      <c r="D15" s="76" t="s">
        <v>339</v>
      </c>
      <c r="E15" s="79"/>
      <c r="F15" s="76" t="s">
        <v>194</v>
      </c>
      <c r="G15" s="76"/>
      <c r="H15" s="76" t="s">
        <v>272</v>
      </c>
      <c r="I15" s="78">
        <v>45892</v>
      </c>
      <c r="J15" s="78">
        <v>45878</v>
      </c>
      <c r="K15" s="77">
        <v>-98</v>
      </c>
      <c r="L15" s="77">
        <v>-112</v>
      </c>
    </row>
    <row r="16" spans="1:12" ht="33.75">
      <c r="A16" s="76" t="s">
        <v>340</v>
      </c>
      <c r="B16" s="76" t="s">
        <v>341</v>
      </c>
      <c r="C16" s="76" t="s">
        <v>307</v>
      </c>
      <c r="D16" s="76" t="s">
        <v>342</v>
      </c>
      <c r="E16" s="79"/>
      <c r="F16" s="76" t="s">
        <v>194</v>
      </c>
      <c r="G16" s="76"/>
      <c r="H16" s="76" t="s">
        <v>273</v>
      </c>
      <c r="I16" s="78">
        <v>45885</v>
      </c>
      <c r="J16" s="78">
        <v>45881</v>
      </c>
      <c r="K16" s="77">
        <v>-105</v>
      </c>
      <c r="L16" s="77">
        <v>-109</v>
      </c>
    </row>
    <row r="17" spans="1:12" ht="33.75">
      <c r="A17" s="76" t="s">
        <v>340</v>
      </c>
      <c r="B17" s="76" t="s">
        <v>343</v>
      </c>
      <c r="C17" s="76" t="s">
        <v>307</v>
      </c>
      <c r="D17" s="76" t="s">
        <v>344</v>
      </c>
      <c r="E17" s="77">
        <v>243.96</v>
      </c>
      <c r="F17" s="76" t="s">
        <v>894</v>
      </c>
      <c r="G17" s="76"/>
      <c r="H17" s="76" t="s">
        <v>273</v>
      </c>
      <c r="I17" s="78">
        <v>45885</v>
      </c>
      <c r="J17" s="78">
        <v>45881</v>
      </c>
      <c r="K17" s="77">
        <v>-105</v>
      </c>
      <c r="L17" s="77">
        <v>-109</v>
      </c>
    </row>
    <row r="18" spans="1:12" ht="33.75">
      <c r="A18" s="76" t="s">
        <v>340</v>
      </c>
      <c r="B18" s="76" t="s">
        <v>343</v>
      </c>
      <c r="C18" s="76" t="s">
        <v>307</v>
      </c>
      <c r="D18" s="76" t="s">
        <v>849</v>
      </c>
      <c r="E18" s="77">
        <v>11.058999999999999</v>
      </c>
      <c r="F18" s="76" t="s">
        <v>894</v>
      </c>
      <c r="G18" s="76"/>
      <c r="H18" s="76" t="s">
        <v>273</v>
      </c>
      <c r="I18" s="78">
        <v>45885</v>
      </c>
      <c r="J18" s="78">
        <v>45881</v>
      </c>
      <c r="K18" s="77">
        <v>-105</v>
      </c>
      <c r="L18" s="77">
        <v>-109</v>
      </c>
    </row>
    <row r="19" spans="1:12" ht="33.75">
      <c r="A19" s="76" t="s">
        <v>340</v>
      </c>
      <c r="B19" s="76" t="s">
        <v>345</v>
      </c>
      <c r="C19" s="76" t="s">
        <v>307</v>
      </c>
      <c r="D19" s="76" t="s">
        <v>346</v>
      </c>
      <c r="E19" s="77">
        <v>221.77699999999999</v>
      </c>
      <c r="F19" s="76" t="s">
        <v>894</v>
      </c>
      <c r="G19" s="76"/>
      <c r="H19" s="76" t="s">
        <v>273</v>
      </c>
      <c r="I19" s="78">
        <v>45885</v>
      </c>
      <c r="J19" s="78">
        <v>45881</v>
      </c>
      <c r="K19" s="77">
        <v>-105</v>
      </c>
      <c r="L19" s="77">
        <v>-109</v>
      </c>
    </row>
    <row r="20" spans="1:12" ht="33.75">
      <c r="A20" s="76" t="s">
        <v>340</v>
      </c>
      <c r="B20" s="76" t="s">
        <v>345</v>
      </c>
      <c r="C20" s="76" t="s">
        <v>307</v>
      </c>
      <c r="D20" s="76" t="s">
        <v>347</v>
      </c>
      <c r="E20" s="77">
        <v>30.748999999999999</v>
      </c>
      <c r="F20" s="76" t="s">
        <v>894</v>
      </c>
      <c r="G20" s="76"/>
      <c r="H20" s="76" t="s">
        <v>273</v>
      </c>
      <c r="I20" s="78">
        <v>45885</v>
      </c>
      <c r="J20" s="78">
        <v>45881</v>
      </c>
      <c r="K20" s="77">
        <v>-105</v>
      </c>
      <c r="L20" s="77">
        <v>-109</v>
      </c>
    </row>
    <row r="21" spans="1:12" ht="33.75">
      <c r="A21" s="76" t="s">
        <v>340</v>
      </c>
      <c r="B21" s="76" t="s">
        <v>348</v>
      </c>
      <c r="C21" s="76" t="s">
        <v>307</v>
      </c>
      <c r="D21" s="76" t="s">
        <v>349</v>
      </c>
      <c r="E21" s="77">
        <v>236.054</v>
      </c>
      <c r="F21" s="76" t="s">
        <v>894</v>
      </c>
      <c r="G21" s="76"/>
      <c r="H21" s="76" t="s">
        <v>273</v>
      </c>
      <c r="I21" s="78">
        <v>45885</v>
      </c>
      <c r="J21" s="78">
        <v>45881</v>
      </c>
      <c r="K21" s="77">
        <v>-105</v>
      </c>
      <c r="L21" s="77">
        <v>-109</v>
      </c>
    </row>
    <row r="22" spans="1:12" ht="33.75">
      <c r="A22" s="76" t="s">
        <v>340</v>
      </c>
      <c r="B22" s="76" t="s">
        <v>348</v>
      </c>
      <c r="C22" s="76" t="s">
        <v>307</v>
      </c>
      <c r="D22" s="76" t="s">
        <v>676</v>
      </c>
      <c r="E22" s="77">
        <v>9.7070000000000007</v>
      </c>
      <c r="F22" s="76" t="s">
        <v>894</v>
      </c>
      <c r="G22" s="76"/>
      <c r="H22" s="76" t="s">
        <v>273</v>
      </c>
      <c r="I22" s="78">
        <v>45885</v>
      </c>
      <c r="J22" s="78">
        <v>45881</v>
      </c>
      <c r="K22" s="77">
        <v>-105</v>
      </c>
      <c r="L22" s="77">
        <v>-109</v>
      </c>
    </row>
    <row r="23" spans="1:12" ht="33.75">
      <c r="A23" s="76" t="s">
        <v>340</v>
      </c>
      <c r="B23" s="76" t="s">
        <v>350</v>
      </c>
      <c r="C23" s="76" t="s">
        <v>307</v>
      </c>
      <c r="D23" s="76" t="s">
        <v>351</v>
      </c>
      <c r="E23" s="77">
        <v>189.8261</v>
      </c>
      <c r="F23" s="76" t="s">
        <v>894</v>
      </c>
      <c r="G23" s="76"/>
      <c r="H23" s="76" t="s">
        <v>273</v>
      </c>
      <c r="I23" s="78">
        <v>45885</v>
      </c>
      <c r="J23" s="78">
        <v>45881</v>
      </c>
      <c r="K23" s="77">
        <v>-105</v>
      </c>
      <c r="L23" s="77">
        <v>-109</v>
      </c>
    </row>
    <row r="24" spans="1:12" ht="33.75">
      <c r="A24" s="76" t="s">
        <v>340</v>
      </c>
      <c r="B24" s="76" t="s">
        <v>350</v>
      </c>
      <c r="C24" s="76" t="s">
        <v>307</v>
      </c>
      <c r="D24" s="76" t="s">
        <v>352</v>
      </c>
      <c r="E24" s="77">
        <v>10.089</v>
      </c>
      <c r="F24" s="76" t="s">
        <v>894</v>
      </c>
      <c r="G24" s="76"/>
      <c r="H24" s="76" t="s">
        <v>273</v>
      </c>
      <c r="I24" s="78">
        <v>45885</v>
      </c>
      <c r="J24" s="78">
        <v>45881</v>
      </c>
      <c r="K24" s="77">
        <v>-105</v>
      </c>
      <c r="L24" s="77">
        <v>-109</v>
      </c>
    </row>
    <row r="25" spans="1:12" ht="33.75">
      <c r="A25" s="76" t="s">
        <v>356</v>
      </c>
      <c r="B25" s="76" t="s">
        <v>357</v>
      </c>
      <c r="C25" s="76" t="s">
        <v>307</v>
      </c>
      <c r="D25" s="76" t="s">
        <v>358</v>
      </c>
      <c r="E25" s="79"/>
      <c r="F25" s="76" t="s">
        <v>194</v>
      </c>
      <c r="G25" s="76"/>
      <c r="H25" s="76" t="s">
        <v>273</v>
      </c>
      <c r="I25" s="78">
        <v>45886</v>
      </c>
      <c r="J25" s="78">
        <v>45882</v>
      </c>
      <c r="K25" s="77">
        <v>-104</v>
      </c>
      <c r="L25" s="77">
        <v>-108</v>
      </c>
    </row>
    <row r="26" spans="1:12" ht="33.75">
      <c r="A26" s="76" t="s">
        <v>356</v>
      </c>
      <c r="B26" s="76" t="s">
        <v>359</v>
      </c>
      <c r="C26" s="76" t="s">
        <v>307</v>
      </c>
      <c r="D26" s="76" t="s">
        <v>360</v>
      </c>
      <c r="E26" s="79"/>
      <c r="F26" s="76" t="s">
        <v>194</v>
      </c>
      <c r="G26" s="76"/>
      <c r="H26" s="76" t="s">
        <v>273</v>
      </c>
      <c r="I26" s="78">
        <v>45886</v>
      </c>
      <c r="J26" s="78">
        <v>45882</v>
      </c>
      <c r="K26" s="77">
        <v>-104</v>
      </c>
      <c r="L26" s="77">
        <v>-108</v>
      </c>
    </row>
    <row r="27" spans="1:12" ht="33.75">
      <c r="A27" s="76" t="s">
        <v>356</v>
      </c>
      <c r="B27" s="76" t="s">
        <v>361</v>
      </c>
      <c r="C27" s="76" t="s">
        <v>307</v>
      </c>
      <c r="D27" s="76" t="s">
        <v>362</v>
      </c>
      <c r="E27" s="79"/>
      <c r="F27" s="76" t="s">
        <v>194</v>
      </c>
      <c r="G27" s="76"/>
      <c r="H27" s="76" t="s">
        <v>273</v>
      </c>
      <c r="I27" s="78">
        <v>45886</v>
      </c>
      <c r="J27" s="78">
        <v>45882</v>
      </c>
      <c r="K27" s="77">
        <v>-104</v>
      </c>
      <c r="L27" s="77">
        <v>-108</v>
      </c>
    </row>
    <row r="28" spans="1:12" ht="33.75">
      <c r="A28" s="76" t="s">
        <v>356</v>
      </c>
      <c r="B28" s="76" t="s">
        <v>363</v>
      </c>
      <c r="C28" s="76" t="s">
        <v>307</v>
      </c>
      <c r="D28" s="76" t="s">
        <v>364</v>
      </c>
      <c r="E28" s="79"/>
      <c r="F28" s="76" t="s">
        <v>894</v>
      </c>
      <c r="G28" s="76"/>
      <c r="H28" s="76" t="s">
        <v>273</v>
      </c>
      <c r="I28" s="78">
        <v>45886</v>
      </c>
      <c r="J28" s="78">
        <v>45882</v>
      </c>
      <c r="K28" s="77">
        <v>-104</v>
      </c>
      <c r="L28" s="77">
        <v>-108</v>
      </c>
    </row>
    <row r="29" spans="1:12" ht="33.75">
      <c r="A29" s="76" t="s">
        <v>356</v>
      </c>
      <c r="B29" s="76" t="s">
        <v>365</v>
      </c>
      <c r="C29" s="76" t="s">
        <v>307</v>
      </c>
      <c r="D29" s="76" t="s">
        <v>366</v>
      </c>
      <c r="E29" s="79"/>
      <c r="F29" s="76" t="s">
        <v>194</v>
      </c>
      <c r="G29" s="76"/>
      <c r="H29" s="76" t="s">
        <v>273</v>
      </c>
      <c r="I29" s="78">
        <v>45886</v>
      </c>
      <c r="J29" s="78">
        <v>45882</v>
      </c>
      <c r="K29" s="77">
        <v>-104</v>
      </c>
      <c r="L29" s="77">
        <v>-108</v>
      </c>
    </row>
    <row r="30" spans="1:12" ht="33.75">
      <c r="A30" s="76" t="s">
        <v>356</v>
      </c>
      <c r="B30" s="76" t="s">
        <v>367</v>
      </c>
      <c r="C30" s="76" t="s">
        <v>307</v>
      </c>
      <c r="D30" s="76" t="s">
        <v>368</v>
      </c>
      <c r="E30" s="79"/>
      <c r="F30" s="76" t="s">
        <v>194</v>
      </c>
      <c r="G30" s="76"/>
      <c r="H30" s="76" t="s">
        <v>273</v>
      </c>
      <c r="I30" s="78">
        <v>45886</v>
      </c>
      <c r="J30" s="78">
        <v>45882</v>
      </c>
      <c r="K30" s="77">
        <v>-104</v>
      </c>
      <c r="L30" s="77">
        <v>-108</v>
      </c>
    </row>
    <row r="31" spans="1:12" ht="33.75">
      <c r="A31" s="76" t="s">
        <v>370</v>
      </c>
      <c r="B31" s="76" t="s">
        <v>371</v>
      </c>
      <c r="C31" s="76" t="s">
        <v>307</v>
      </c>
      <c r="D31" s="76" t="s">
        <v>372</v>
      </c>
      <c r="E31" s="79"/>
      <c r="F31" s="76" t="s">
        <v>194</v>
      </c>
      <c r="G31" s="76"/>
      <c r="H31" s="76" t="s">
        <v>272</v>
      </c>
      <c r="I31" s="78">
        <v>45892</v>
      </c>
      <c r="J31" s="78">
        <v>45882</v>
      </c>
      <c r="K31" s="77">
        <v>-98</v>
      </c>
      <c r="L31" s="77">
        <v>-108</v>
      </c>
    </row>
    <row r="32" spans="1:12" ht="33.75">
      <c r="A32" s="76" t="s">
        <v>370</v>
      </c>
      <c r="B32" s="76" t="s">
        <v>373</v>
      </c>
      <c r="C32" s="76" t="s">
        <v>307</v>
      </c>
      <c r="D32" s="76" t="s">
        <v>374</v>
      </c>
      <c r="E32" s="79"/>
      <c r="F32" s="76" t="s">
        <v>167</v>
      </c>
      <c r="G32" s="76"/>
      <c r="H32" s="76" t="s">
        <v>272</v>
      </c>
      <c r="I32" s="78">
        <v>45892</v>
      </c>
      <c r="J32" s="78">
        <v>45882</v>
      </c>
      <c r="K32" s="77">
        <v>-98</v>
      </c>
      <c r="L32" s="77">
        <v>-108</v>
      </c>
    </row>
    <row r="33" spans="1:12" ht="33.75">
      <c r="A33" s="76" t="s">
        <v>370</v>
      </c>
      <c r="B33" s="76" t="s">
        <v>375</v>
      </c>
      <c r="C33" s="76" t="s">
        <v>307</v>
      </c>
      <c r="D33" s="76" t="s">
        <v>376</v>
      </c>
      <c r="E33" s="79"/>
      <c r="F33" s="76" t="s">
        <v>167</v>
      </c>
      <c r="G33" s="76"/>
      <c r="H33" s="76" t="s">
        <v>272</v>
      </c>
      <c r="I33" s="78">
        <v>45892</v>
      </c>
      <c r="J33" s="78">
        <v>45882</v>
      </c>
      <c r="K33" s="77">
        <v>-98</v>
      </c>
      <c r="L33" s="77">
        <v>-108</v>
      </c>
    </row>
    <row r="34" spans="1:12" ht="33.75">
      <c r="A34" s="76" t="s">
        <v>353</v>
      </c>
      <c r="B34" s="76" t="s">
        <v>354</v>
      </c>
      <c r="C34" s="76" t="s">
        <v>307</v>
      </c>
      <c r="D34" s="76" t="s">
        <v>355</v>
      </c>
      <c r="E34" s="77">
        <v>7.0309999999999997</v>
      </c>
      <c r="F34" s="76" t="s">
        <v>894</v>
      </c>
      <c r="G34" s="76"/>
      <c r="H34" s="76" t="s">
        <v>273</v>
      </c>
      <c r="I34" s="78">
        <v>45885</v>
      </c>
      <c r="J34" s="78">
        <v>45882</v>
      </c>
      <c r="K34" s="77">
        <v>-105</v>
      </c>
      <c r="L34" s="77">
        <v>-108</v>
      </c>
    </row>
    <row r="35" spans="1:12" ht="33.75">
      <c r="A35" s="76" t="s">
        <v>353</v>
      </c>
      <c r="B35" s="76" t="s">
        <v>354</v>
      </c>
      <c r="C35" s="76" t="s">
        <v>307</v>
      </c>
      <c r="D35" s="76" t="s">
        <v>677</v>
      </c>
      <c r="E35" s="77">
        <v>7.0119999999999996</v>
      </c>
      <c r="F35" s="76" t="s">
        <v>894</v>
      </c>
      <c r="G35" s="76"/>
      <c r="H35" s="76" t="s">
        <v>273</v>
      </c>
      <c r="I35" s="78">
        <v>45885</v>
      </c>
      <c r="J35" s="78">
        <v>45882</v>
      </c>
      <c r="K35" s="77">
        <v>-105</v>
      </c>
      <c r="L35" s="77">
        <v>-108</v>
      </c>
    </row>
    <row r="36" spans="1:12" ht="33.75">
      <c r="A36" s="76" t="s">
        <v>382</v>
      </c>
      <c r="B36" s="76" t="s">
        <v>383</v>
      </c>
      <c r="C36" s="76" t="s">
        <v>307</v>
      </c>
      <c r="D36" s="76" t="s">
        <v>384</v>
      </c>
      <c r="E36" s="77">
        <v>14.52</v>
      </c>
      <c r="F36" s="76" t="s">
        <v>165</v>
      </c>
      <c r="G36" s="76"/>
      <c r="H36" s="76" t="s">
        <v>273</v>
      </c>
      <c r="I36" s="78">
        <v>45895</v>
      </c>
      <c r="J36" s="78">
        <v>45883</v>
      </c>
      <c r="K36" s="77">
        <v>-95</v>
      </c>
      <c r="L36" s="77">
        <v>-107</v>
      </c>
    </row>
    <row r="37" spans="1:12" ht="33.75">
      <c r="A37" s="76" t="s">
        <v>377</v>
      </c>
      <c r="B37" s="76" t="s">
        <v>378</v>
      </c>
      <c r="C37" s="76" t="s">
        <v>307</v>
      </c>
      <c r="D37" s="76" t="s">
        <v>379</v>
      </c>
      <c r="E37" s="77">
        <v>10.210000000000001</v>
      </c>
      <c r="F37" s="76" t="s">
        <v>894</v>
      </c>
      <c r="G37" s="76"/>
      <c r="H37" s="76" t="s">
        <v>273</v>
      </c>
      <c r="I37" s="78">
        <v>45888</v>
      </c>
      <c r="J37" s="78">
        <v>45883</v>
      </c>
      <c r="K37" s="77">
        <v>-102</v>
      </c>
      <c r="L37" s="77">
        <v>-107</v>
      </c>
    </row>
    <row r="38" spans="1:12" ht="33.75">
      <c r="A38" s="76" t="s">
        <v>377</v>
      </c>
      <c r="B38" s="76" t="s">
        <v>380</v>
      </c>
      <c r="C38" s="76" t="s">
        <v>307</v>
      </c>
      <c r="D38" s="76" t="s">
        <v>381</v>
      </c>
      <c r="E38" s="79"/>
      <c r="F38" s="76" t="s">
        <v>194</v>
      </c>
      <c r="G38" s="76"/>
      <c r="H38" s="76" t="s">
        <v>273</v>
      </c>
      <c r="I38" s="78">
        <v>45888</v>
      </c>
      <c r="J38" s="78">
        <v>45883</v>
      </c>
      <c r="K38" s="77">
        <v>-102</v>
      </c>
      <c r="L38" s="77">
        <v>-107</v>
      </c>
    </row>
    <row r="39" spans="1:12" ht="22.5">
      <c r="A39" s="76" t="s">
        <v>385</v>
      </c>
      <c r="B39" s="76" t="s">
        <v>386</v>
      </c>
      <c r="C39" s="76" t="s">
        <v>307</v>
      </c>
      <c r="D39" s="76" t="s">
        <v>387</v>
      </c>
      <c r="E39" s="79"/>
      <c r="F39" s="76" t="s">
        <v>194</v>
      </c>
      <c r="G39" s="76"/>
      <c r="H39" s="76" t="s">
        <v>273</v>
      </c>
      <c r="I39" s="78">
        <v>45889</v>
      </c>
      <c r="J39" s="78">
        <v>45883</v>
      </c>
      <c r="K39" s="77">
        <v>-101</v>
      </c>
      <c r="L39" s="77">
        <v>-107</v>
      </c>
    </row>
    <row r="40" spans="1:12" ht="33.75">
      <c r="A40" s="76" t="s">
        <v>385</v>
      </c>
      <c r="B40" s="76" t="s">
        <v>388</v>
      </c>
      <c r="C40" s="76" t="s">
        <v>307</v>
      </c>
      <c r="D40" s="76" t="s">
        <v>389</v>
      </c>
      <c r="E40" s="79"/>
      <c r="F40" s="76" t="s">
        <v>194</v>
      </c>
      <c r="G40" s="76"/>
      <c r="H40" s="76" t="s">
        <v>273</v>
      </c>
      <c r="I40" s="78">
        <v>45889</v>
      </c>
      <c r="J40" s="78">
        <v>45883</v>
      </c>
      <c r="K40" s="77">
        <v>-101</v>
      </c>
      <c r="L40" s="77">
        <v>-107</v>
      </c>
    </row>
    <row r="41" spans="1:12" ht="22.5">
      <c r="A41" s="76" t="s">
        <v>385</v>
      </c>
      <c r="B41" s="76" t="s">
        <v>390</v>
      </c>
      <c r="C41" s="76" t="s">
        <v>307</v>
      </c>
      <c r="D41" s="76" t="s">
        <v>391</v>
      </c>
      <c r="E41" s="79"/>
      <c r="F41" s="76" t="s">
        <v>194</v>
      </c>
      <c r="G41" s="76"/>
      <c r="H41" s="76" t="s">
        <v>273</v>
      </c>
      <c r="I41" s="78">
        <v>45889</v>
      </c>
      <c r="J41" s="78">
        <v>45883</v>
      </c>
      <c r="K41" s="77">
        <v>-101</v>
      </c>
      <c r="L41" s="77">
        <v>-107</v>
      </c>
    </row>
    <row r="42" spans="1:12" ht="33.75">
      <c r="A42" s="76" t="s">
        <v>392</v>
      </c>
      <c r="B42" s="76" t="s">
        <v>393</v>
      </c>
      <c r="C42" s="76" t="s">
        <v>307</v>
      </c>
      <c r="D42" s="76" t="s">
        <v>394</v>
      </c>
      <c r="E42" s="79"/>
      <c r="F42" s="76" t="s">
        <v>194</v>
      </c>
      <c r="G42" s="76"/>
      <c r="H42" s="76" t="s">
        <v>272</v>
      </c>
      <c r="I42" s="78">
        <v>45894</v>
      </c>
      <c r="J42" s="78">
        <v>45887</v>
      </c>
      <c r="K42" s="77">
        <v>-96</v>
      </c>
      <c r="L42" s="77">
        <v>-103</v>
      </c>
    </row>
    <row r="43" spans="1:12" ht="33.75">
      <c r="A43" s="76" t="s">
        <v>400</v>
      </c>
      <c r="B43" s="76" t="s">
        <v>401</v>
      </c>
      <c r="C43" s="76" t="s">
        <v>307</v>
      </c>
      <c r="D43" s="76" t="s">
        <v>402</v>
      </c>
      <c r="E43" s="79"/>
      <c r="F43" s="76" t="s">
        <v>194</v>
      </c>
      <c r="G43" s="76"/>
      <c r="H43" s="76" t="s">
        <v>273</v>
      </c>
      <c r="I43" s="78">
        <v>45896</v>
      </c>
      <c r="J43" s="78">
        <v>45890</v>
      </c>
      <c r="K43" s="77">
        <v>-94</v>
      </c>
      <c r="L43" s="77">
        <v>-100</v>
      </c>
    </row>
    <row r="44" spans="1:12" ht="33.75">
      <c r="A44" s="76" t="s">
        <v>403</v>
      </c>
      <c r="B44" s="76" t="s">
        <v>404</v>
      </c>
      <c r="C44" s="76" t="s">
        <v>307</v>
      </c>
      <c r="D44" s="76" t="s">
        <v>405</v>
      </c>
      <c r="E44" s="79"/>
      <c r="F44" s="76" t="s">
        <v>194</v>
      </c>
      <c r="G44" s="76"/>
      <c r="H44" s="76" t="s">
        <v>273</v>
      </c>
      <c r="I44" s="78">
        <v>45896</v>
      </c>
      <c r="J44" s="78">
        <v>45890</v>
      </c>
      <c r="K44" s="77">
        <v>-94</v>
      </c>
      <c r="L44" s="77">
        <v>-100</v>
      </c>
    </row>
    <row r="45" spans="1:12" ht="33.75">
      <c r="A45" s="76" t="s">
        <v>395</v>
      </c>
      <c r="B45" s="76" t="s">
        <v>396</v>
      </c>
      <c r="C45" s="76" t="s">
        <v>307</v>
      </c>
      <c r="D45" s="76" t="s">
        <v>397</v>
      </c>
      <c r="E45" s="79"/>
      <c r="F45" s="76" t="s">
        <v>167</v>
      </c>
      <c r="G45" s="76"/>
      <c r="H45" s="76" t="s">
        <v>272</v>
      </c>
      <c r="I45" s="78">
        <v>45890</v>
      </c>
      <c r="J45" s="78">
        <v>45890</v>
      </c>
      <c r="K45" s="77">
        <v>-100</v>
      </c>
      <c r="L45" s="77">
        <v>-100</v>
      </c>
    </row>
    <row r="46" spans="1:12" ht="33.75">
      <c r="A46" s="76" t="s">
        <v>395</v>
      </c>
      <c r="B46" s="76" t="s">
        <v>398</v>
      </c>
      <c r="C46" s="76" t="s">
        <v>307</v>
      </c>
      <c r="D46" s="76" t="s">
        <v>399</v>
      </c>
      <c r="E46" s="79"/>
      <c r="F46" s="76" t="s">
        <v>167</v>
      </c>
      <c r="G46" s="76"/>
      <c r="H46" s="76" t="s">
        <v>272</v>
      </c>
      <c r="I46" s="78">
        <v>45890</v>
      </c>
      <c r="J46" s="78">
        <v>45890</v>
      </c>
      <c r="K46" s="77">
        <v>-100</v>
      </c>
      <c r="L46" s="77">
        <v>-100</v>
      </c>
    </row>
    <row r="47" spans="1:12" ht="22.5">
      <c r="A47" s="76" t="s">
        <v>406</v>
      </c>
      <c r="B47" s="76" t="s">
        <v>407</v>
      </c>
      <c r="C47" s="76" t="s">
        <v>307</v>
      </c>
      <c r="D47" s="76" t="s">
        <v>408</v>
      </c>
      <c r="E47" s="79"/>
      <c r="F47" s="76" t="s">
        <v>194</v>
      </c>
      <c r="G47" s="76"/>
      <c r="H47" s="76" t="s">
        <v>317</v>
      </c>
      <c r="I47" s="78">
        <v>45894</v>
      </c>
      <c r="J47" s="78">
        <v>45892</v>
      </c>
      <c r="K47" s="77">
        <v>-96</v>
      </c>
      <c r="L47" s="77">
        <v>-98</v>
      </c>
    </row>
    <row r="48" spans="1:12" ht="33.75">
      <c r="A48" s="76" t="s">
        <v>409</v>
      </c>
      <c r="B48" s="76" t="s">
        <v>410</v>
      </c>
      <c r="C48" s="76" t="s">
        <v>307</v>
      </c>
      <c r="D48" s="76" t="s">
        <v>411</v>
      </c>
      <c r="E48" s="79"/>
      <c r="F48" s="76" t="s">
        <v>194</v>
      </c>
      <c r="G48" s="76"/>
      <c r="H48" s="76" t="s">
        <v>273</v>
      </c>
      <c r="I48" s="78">
        <v>45899</v>
      </c>
      <c r="J48" s="78">
        <v>45894</v>
      </c>
      <c r="K48" s="77">
        <v>-91</v>
      </c>
      <c r="L48" s="77">
        <v>-96</v>
      </c>
    </row>
    <row r="49" spans="1:12" ht="33.75">
      <c r="A49" s="76" t="s">
        <v>409</v>
      </c>
      <c r="B49" s="76" t="s">
        <v>412</v>
      </c>
      <c r="C49" s="76" t="s">
        <v>307</v>
      </c>
      <c r="D49" s="76" t="s">
        <v>413</v>
      </c>
      <c r="E49" s="79"/>
      <c r="F49" s="76" t="s">
        <v>194</v>
      </c>
      <c r="G49" s="76"/>
      <c r="H49" s="76" t="s">
        <v>273</v>
      </c>
      <c r="I49" s="78">
        <v>45899</v>
      </c>
      <c r="J49" s="78">
        <v>45894</v>
      </c>
      <c r="K49" s="77">
        <v>-91</v>
      </c>
      <c r="L49" s="77">
        <v>-96</v>
      </c>
    </row>
    <row r="50" spans="1:12" ht="33.75">
      <c r="A50" s="76" t="s">
        <v>409</v>
      </c>
      <c r="B50" s="76" t="s">
        <v>367</v>
      </c>
      <c r="C50" s="76" t="s">
        <v>307</v>
      </c>
      <c r="D50" s="76" t="s">
        <v>414</v>
      </c>
      <c r="E50" s="79"/>
      <c r="F50" s="76" t="s">
        <v>194</v>
      </c>
      <c r="G50" s="76"/>
      <c r="H50" s="76" t="s">
        <v>273</v>
      </c>
      <c r="I50" s="78">
        <v>45899</v>
      </c>
      <c r="J50" s="78">
        <v>45894</v>
      </c>
      <c r="K50" s="77">
        <v>-91</v>
      </c>
      <c r="L50" s="77">
        <v>-96</v>
      </c>
    </row>
    <row r="51" spans="1:12" ht="33.75">
      <c r="A51" s="76" t="s">
        <v>409</v>
      </c>
      <c r="B51" s="76" t="s">
        <v>354</v>
      </c>
      <c r="C51" s="76" t="s">
        <v>307</v>
      </c>
      <c r="D51" s="76" t="s">
        <v>415</v>
      </c>
      <c r="E51" s="77">
        <v>6.9870000000000001</v>
      </c>
      <c r="F51" s="76" t="s">
        <v>894</v>
      </c>
      <c r="G51" s="76"/>
      <c r="H51" s="76" t="s">
        <v>273</v>
      </c>
      <c r="I51" s="78">
        <v>45899</v>
      </c>
      <c r="J51" s="78">
        <v>45894</v>
      </c>
      <c r="K51" s="77">
        <v>-91</v>
      </c>
      <c r="L51" s="77">
        <v>-96</v>
      </c>
    </row>
    <row r="52" spans="1:12" ht="33.75">
      <c r="A52" s="76" t="s">
        <v>409</v>
      </c>
      <c r="B52" s="76" t="s">
        <v>416</v>
      </c>
      <c r="C52" s="76" t="s">
        <v>307</v>
      </c>
      <c r="D52" s="76" t="s">
        <v>417</v>
      </c>
      <c r="E52" s="79"/>
      <c r="F52" s="76" t="s">
        <v>194</v>
      </c>
      <c r="G52" s="76"/>
      <c r="H52" s="76" t="s">
        <v>273</v>
      </c>
      <c r="I52" s="78">
        <v>45899</v>
      </c>
      <c r="J52" s="78">
        <v>45894</v>
      </c>
      <c r="K52" s="77">
        <v>-91</v>
      </c>
      <c r="L52" s="77">
        <v>-96</v>
      </c>
    </row>
    <row r="53" spans="1:12" ht="33.75">
      <c r="A53" s="76" t="s">
        <v>409</v>
      </c>
      <c r="B53" s="76" t="s">
        <v>341</v>
      </c>
      <c r="C53" s="76" t="s">
        <v>307</v>
      </c>
      <c r="D53" s="76" t="s">
        <v>418</v>
      </c>
      <c r="E53" s="79"/>
      <c r="F53" s="76" t="s">
        <v>194</v>
      </c>
      <c r="G53" s="76"/>
      <c r="H53" s="76" t="s">
        <v>273</v>
      </c>
      <c r="I53" s="78">
        <v>45899</v>
      </c>
      <c r="J53" s="78">
        <v>45894</v>
      </c>
      <c r="K53" s="77">
        <v>-91</v>
      </c>
      <c r="L53" s="77">
        <v>-96</v>
      </c>
    </row>
    <row r="54" spans="1:12" ht="33.75">
      <c r="A54" s="76" t="s">
        <v>409</v>
      </c>
      <c r="B54" s="76" t="s">
        <v>401</v>
      </c>
      <c r="C54" s="76" t="s">
        <v>307</v>
      </c>
      <c r="D54" s="76" t="s">
        <v>419</v>
      </c>
      <c r="E54" s="79"/>
      <c r="F54" s="76" t="s">
        <v>894</v>
      </c>
      <c r="G54" s="76"/>
      <c r="H54" s="76" t="s">
        <v>273</v>
      </c>
      <c r="I54" s="78">
        <v>45899</v>
      </c>
      <c r="J54" s="78">
        <v>45894</v>
      </c>
      <c r="K54" s="77">
        <v>-91</v>
      </c>
      <c r="L54" s="77">
        <v>-96</v>
      </c>
    </row>
    <row r="55" spans="1:12" ht="33.75">
      <c r="A55" s="76" t="s">
        <v>409</v>
      </c>
      <c r="B55" s="76" t="s">
        <v>420</v>
      </c>
      <c r="C55" s="76" t="s">
        <v>307</v>
      </c>
      <c r="D55" s="76" t="s">
        <v>421</v>
      </c>
      <c r="E55" s="77">
        <v>15.316000000000001</v>
      </c>
      <c r="F55" s="76" t="s">
        <v>894</v>
      </c>
      <c r="G55" s="76"/>
      <c r="H55" s="76" t="s">
        <v>273</v>
      </c>
      <c r="I55" s="78">
        <v>45899</v>
      </c>
      <c r="J55" s="78">
        <v>45894</v>
      </c>
      <c r="K55" s="77">
        <v>-91</v>
      </c>
      <c r="L55" s="77">
        <v>-96</v>
      </c>
    </row>
    <row r="56" spans="1:12" ht="33.75">
      <c r="A56" s="76" t="s">
        <v>422</v>
      </c>
      <c r="B56" s="76" t="s">
        <v>423</v>
      </c>
      <c r="C56" s="76" t="s">
        <v>307</v>
      </c>
      <c r="D56" s="76" t="s">
        <v>424</v>
      </c>
      <c r="E56" s="79"/>
      <c r="F56" s="76" t="s">
        <v>194</v>
      </c>
      <c r="G56" s="76"/>
      <c r="H56" s="76" t="s">
        <v>273</v>
      </c>
      <c r="I56" s="78">
        <v>45901</v>
      </c>
      <c r="J56" s="78">
        <v>45899</v>
      </c>
      <c r="K56" s="77">
        <v>-89</v>
      </c>
      <c r="L56" s="77">
        <v>-91</v>
      </c>
    </row>
    <row r="57" spans="1:12" ht="22.5">
      <c r="A57" s="76" t="s">
        <v>426</v>
      </c>
      <c r="B57" s="76" t="s">
        <v>306</v>
      </c>
      <c r="C57" s="76" t="s">
        <v>307</v>
      </c>
      <c r="D57" s="76" t="s">
        <v>427</v>
      </c>
      <c r="E57" s="79"/>
      <c r="F57" s="76" t="s">
        <v>194</v>
      </c>
      <c r="G57" s="76"/>
      <c r="H57" s="76" t="s">
        <v>273</v>
      </c>
      <c r="I57" s="78">
        <v>45903</v>
      </c>
      <c r="J57" s="78">
        <v>45902</v>
      </c>
      <c r="K57" s="77">
        <v>-87</v>
      </c>
      <c r="L57" s="77">
        <v>-88</v>
      </c>
    </row>
    <row r="58" spans="1:12" ht="45">
      <c r="A58" s="76" t="s">
        <v>428</v>
      </c>
      <c r="B58" s="76" t="s">
        <v>429</v>
      </c>
      <c r="C58" s="76" t="s">
        <v>307</v>
      </c>
      <c r="D58" s="76" t="s">
        <v>430</v>
      </c>
      <c r="E58" s="79"/>
      <c r="F58" s="76" t="s">
        <v>194</v>
      </c>
      <c r="G58" s="76"/>
      <c r="H58" s="76" t="s">
        <v>273</v>
      </c>
      <c r="I58" s="78">
        <v>45910</v>
      </c>
      <c r="J58" s="78">
        <v>45903</v>
      </c>
      <c r="K58" s="77">
        <v>-80</v>
      </c>
      <c r="L58" s="77">
        <v>-87</v>
      </c>
    </row>
    <row r="59" spans="1:12" ht="45">
      <c r="A59" s="76" t="s">
        <v>431</v>
      </c>
      <c r="B59" s="76" t="s">
        <v>432</v>
      </c>
      <c r="C59" s="76" t="s">
        <v>307</v>
      </c>
      <c r="D59" s="76" t="s">
        <v>433</v>
      </c>
      <c r="E59" s="79"/>
      <c r="F59" s="76" t="s">
        <v>194</v>
      </c>
      <c r="G59" s="76"/>
      <c r="H59" s="76" t="s">
        <v>273</v>
      </c>
      <c r="I59" s="78">
        <v>45909</v>
      </c>
      <c r="J59" s="78">
        <v>45903</v>
      </c>
      <c r="K59" s="77">
        <v>-81</v>
      </c>
      <c r="L59" s="77">
        <v>-87</v>
      </c>
    </row>
    <row r="60" spans="1:12" ht="45">
      <c r="A60" s="76" t="s">
        <v>431</v>
      </c>
      <c r="B60" s="76" t="s">
        <v>434</v>
      </c>
      <c r="C60" s="76" t="s">
        <v>307</v>
      </c>
      <c r="D60" s="76" t="s">
        <v>435</v>
      </c>
      <c r="E60" s="79"/>
      <c r="F60" s="76" t="s">
        <v>194</v>
      </c>
      <c r="G60" s="76"/>
      <c r="H60" s="76" t="s">
        <v>273</v>
      </c>
      <c r="I60" s="78">
        <v>45909</v>
      </c>
      <c r="J60" s="78">
        <v>45903</v>
      </c>
      <c r="K60" s="77">
        <v>-81</v>
      </c>
      <c r="L60" s="77">
        <v>-87</v>
      </c>
    </row>
    <row r="61" spans="1:12" ht="45">
      <c r="A61" s="76" t="s">
        <v>431</v>
      </c>
      <c r="B61" s="76" t="s">
        <v>436</v>
      </c>
      <c r="C61" s="76" t="s">
        <v>307</v>
      </c>
      <c r="D61" s="76" t="s">
        <v>437</v>
      </c>
      <c r="E61" s="79"/>
      <c r="F61" s="76" t="s">
        <v>194</v>
      </c>
      <c r="G61" s="76"/>
      <c r="H61" s="76" t="s">
        <v>273</v>
      </c>
      <c r="I61" s="78">
        <v>45909</v>
      </c>
      <c r="J61" s="78">
        <v>45903</v>
      </c>
      <c r="K61" s="77">
        <v>-81</v>
      </c>
      <c r="L61" s="77">
        <v>-87</v>
      </c>
    </row>
    <row r="62" spans="1:12" ht="45">
      <c r="A62" s="76" t="s">
        <v>431</v>
      </c>
      <c r="B62" s="76" t="s">
        <v>438</v>
      </c>
      <c r="C62" s="76" t="s">
        <v>307</v>
      </c>
      <c r="D62" s="76" t="s">
        <v>439</v>
      </c>
      <c r="E62" s="79"/>
      <c r="F62" s="76" t="s">
        <v>194</v>
      </c>
      <c r="G62" s="76"/>
      <c r="H62" s="76" t="s">
        <v>273</v>
      </c>
      <c r="I62" s="78">
        <v>45909</v>
      </c>
      <c r="J62" s="78">
        <v>45903</v>
      </c>
      <c r="K62" s="77">
        <v>-81</v>
      </c>
      <c r="L62" s="77">
        <v>-87</v>
      </c>
    </row>
    <row r="63" spans="1:12" ht="45">
      <c r="A63" s="76" t="s">
        <v>440</v>
      </c>
      <c r="B63" s="76" t="s">
        <v>905</v>
      </c>
      <c r="C63" s="76" t="s">
        <v>307</v>
      </c>
      <c r="D63" s="76" t="s">
        <v>441</v>
      </c>
      <c r="E63" s="79"/>
      <c r="F63" s="76" t="s">
        <v>194</v>
      </c>
      <c r="G63" s="76"/>
      <c r="H63" s="76" t="s">
        <v>272</v>
      </c>
      <c r="I63" s="78">
        <v>45909</v>
      </c>
      <c r="J63" s="78">
        <v>45903</v>
      </c>
      <c r="K63" s="77">
        <v>-81</v>
      </c>
      <c r="L63" s="77">
        <v>-87</v>
      </c>
    </row>
    <row r="64" spans="1:12" ht="45">
      <c r="A64" s="76" t="s">
        <v>440</v>
      </c>
      <c r="B64" s="76" t="s">
        <v>442</v>
      </c>
      <c r="C64" s="76" t="s">
        <v>307</v>
      </c>
      <c r="D64" s="76" t="s">
        <v>443</v>
      </c>
      <c r="E64" s="79"/>
      <c r="F64" s="76" t="s">
        <v>194</v>
      </c>
      <c r="G64" s="76"/>
      <c r="H64" s="76" t="s">
        <v>272</v>
      </c>
      <c r="I64" s="78">
        <v>45909</v>
      </c>
      <c r="J64" s="78">
        <v>45903</v>
      </c>
      <c r="K64" s="77">
        <v>-81</v>
      </c>
      <c r="L64" s="77">
        <v>-87</v>
      </c>
    </row>
    <row r="65" spans="1:12" ht="45">
      <c r="A65" s="76" t="s">
        <v>440</v>
      </c>
      <c r="B65" s="76" t="s">
        <v>900</v>
      </c>
      <c r="C65" s="76" t="s">
        <v>307</v>
      </c>
      <c r="D65" s="76" t="s">
        <v>444</v>
      </c>
      <c r="E65" s="79"/>
      <c r="F65" s="76" t="s">
        <v>194</v>
      </c>
      <c r="G65" s="76"/>
      <c r="H65" s="76" t="s">
        <v>272</v>
      </c>
      <c r="I65" s="78">
        <v>45909</v>
      </c>
      <c r="J65" s="78">
        <v>45903</v>
      </c>
      <c r="K65" s="77">
        <v>-81</v>
      </c>
      <c r="L65" s="77">
        <v>-87</v>
      </c>
    </row>
    <row r="66" spans="1:12" ht="45">
      <c r="A66" s="76" t="s">
        <v>440</v>
      </c>
      <c r="B66" s="76" t="s">
        <v>901</v>
      </c>
      <c r="C66" s="76" t="s">
        <v>307</v>
      </c>
      <c r="D66" s="76" t="s">
        <v>445</v>
      </c>
      <c r="E66" s="79"/>
      <c r="F66" s="76" t="s">
        <v>194</v>
      </c>
      <c r="G66" s="76"/>
      <c r="H66" s="76" t="s">
        <v>272</v>
      </c>
      <c r="I66" s="78">
        <v>45909</v>
      </c>
      <c r="J66" s="78">
        <v>45903</v>
      </c>
      <c r="K66" s="77">
        <v>-81</v>
      </c>
      <c r="L66" s="77">
        <v>-87</v>
      </c>
    </row>
    <row r="67" spans="1:12" ht="45">
      <c r="A67" s="76" t="s">
        <v>440</v>
      </c>
      <c r="B67" s="76" t="s">
        <v>902</v>
      </c>
      <c r="C67" s="76" t="s">
        <v>307</v>
      </c>
      <c r="D67" s="76" t="s">
        <v>446</v>
      </c>
      <c r="E67" s="79"/>
      <c r="F67" s="76" t="s">
        <v>194</v>
      </c>
      <c r="G67" s="76"/>
      <c r="H67" s="76" t="s">
        <v>272</v>
      </c>
      <c r="I67" s="78">
        <v>45909</v>
      </c>
      <c r="J67" s="78">
        <v>45903</v>
      </c>
      <c r="K67" s="77">
        <v>-81</v>
      </c>
      <c r="L67" s="77">
        <v>-87</v>
      </c>
    </row>
    <row r="68" spans="1:12" ht="45">
      <c r="A68" s="76" t="s">
        <v>440</v>
      </c>
      <c r="B68" s="76" t="s">
        <v>903</v>
      </c>
      <c r="C68" s="76" t="s">
        <v>307</v>
      </c>
      <c r="D68" s="76" t="s">
        <v>447</v>
      </c>
      <c r="E68" s="79"/>
      <c r="F68" s="76" t="s">
        <v>194</v>
      </c>
      <c r="G68" s="76"/>
      <c r="H68" s="76" t="s">
        <v>272</v>
      </c>
      <c r="I68" s="78">
        <v>45909</v>
      </c>
      <c r="J68" s="78">
        <v>45903</v>
      </c>
      <c r="K68" s="77">
        <v>-81</v>
      </c>
      <c r="L68" s="77">
        <v>-87</v>
      </c>
    </row>
    <row r="69" spans="1:12" ht="22.5">
      <c r="A69" s="76" t="s">
        <v>449</v>
      </c>
      <c r="B69" s="76" t="s">
        <v>450</v>
      </c>
      <c r="C69" s="76" t="s">
        <v>307</v>
      </c>
      <c r="D69" s="76" t="s">
        <v>451</v>
      </c>
      <c r="E69" s="79"/>
      <c r="F69" s="76" t="s">
        <v>194</v>
      </c>
      <c r="G69" s="76"/>
      <c r="H69" s="76" t="s">
        <v>272</v>
      </c>
      <c r="I69" s="78">
        <v>45910</v>
      </c>
      <c r="J69" s="78">
        <v>45904</v>
      </c>
      <c r="K69" s="77">
        <v>-80</v>
      </c>
      <c r="L69" s="77">
        <v>-86</v>
      </c>
    </row>
    <row r="70" spans="1:12" ht="45">
      <c r="A70" s="76" t="s">
        <v>452</v>
      </c>
      <c r="B70" s="76" t="s">
        <v>453</v>
      </c>
      <c r="C70" s="76" t="s">
        <v>307</v>
      </c>
      <c r="D70" s="76" t="s">
        <v>454</v>
      </c>
      <c r="E70" s="79"/>
      <c r="F70" s="76" t="s">
        <v>194</v>
      </c>
      <c r="G70" s="76"/>
      <c r="H70" s="76" t="s">
        <v>273</v>
      </c>
      <c r="I70" s="78">
        <v>45908</v>
      </c>
      <c r="J70" s="78">
        <v>45908</v>
      </c>
      <c r="K70" s="77">
        <v>-82</v>
      </c>
      <c r="L70" s="77">
        <v>-82</v>
      </c>
    </row>
    <row r="71" spans="1:12" ht="22.5">
      <c r="A71" s="76" t="s">
        <v>460</v>
      </c>
      <c r="B71" s="76" t="s">
        <v>461</v>
      </c>
      <c r="C71" s="76" t="s">
        <v>307</v>
      </c>
      <c r="D71" s="76" t="s">
        <v>462</v>
      </c>
      <c r="E71" s="79"/>
      <c r="F71" s="76" t="s">
        <v>194</v>
      </c>
      <c r="G71" s="76"/>
      <c r="H71" s="76" t="s">
        <v>282</v>
      </c>
      <c r="I71" s="78">
        <v>45911</v>
      </c>
      <c r="J71" s="78">
        <v>45910</v>
      </c>
      <c r="K71" s="77">
        <v>-79</v>
      </c>
      <c r="L71" s="77">
        <v>-80</v>
      </c>
    </row>
    <row r="72" spans="1:12" ht="22.5">
      <c r="A72" s="76" t="s">
        <v>290</v>
      </c>
      <c r="B72" s="76" t="s">
        <v>463</v>
      </c>
      <c r="C72" s="76" t="s">
        <v>307</v>
      </c>
      <c r="D72" s="76" t="s">
        <v>464</v>
      </c>
      <c r="E72" s="79"/>
      <c r="F72" s="76" t="s">
        <v>194</v>
      </c>
      <c r="G72" s="76"/>
      <c r="H72" s="76" t="s">
        <v>273</v>
      </c>
      <c r="I72" s="78">
        <v>45920</v>
      </c>
      <c r="J72" s="78">
        <v>45910</v>
      </c>
      <c r="K72" s="77">
        <v>-70</v>
      </c>
      <c r="L72" s="77">
        <v>-80</v>
      </c>
    </row>
    <row r="73" spans="1:12" ht="22.5">
      <c r="A73" s="76" t="s">
        <v>457</v>
      </c>
      <c r="B73" s="76" t="s">
        <v>458</v>
      </c>
      <c r="C73" s="76" t="s">
        <v>307</v>
      </c>
      <c r="D73" s="76" t="s">
        <v>459</v>
      </c>
      <c r="E73" s="79"/>
      <c r="F73" s="76" t="s">
        <v>194</v>
      </c>
      <c r="G73" s="76"/>
      <c r="H73" s="76" t="s">
        <v>273</v>
      </c>
      <c r="I73" s="78">
        <v>45913</v>
      </c>
      <c r="J73" s="78">
        <v>45910</v>
      </c>
      <c r="K73" s="77">
        <v>-77</v>
      </c>
      <c r="L73" s="77">
        <v>-80</v>
      </c>
    </row>
    <row r="74" spans="1:12" ht="22.5">
      <c r="A74" s="76" t="s">
        <v>502</v>
      </c>
      <c r="B74" s="76" t="s">
        <v>902</v>
      </c>
      <c r="C74" s="76" t="s">
        <v>307</v>
      </c>
      <c r="D74" s="76" t="s">
        <v>503</v>
      </c>
      <c r="E74" s="79"/>
      <c r="F74" s="76" t="s">
        <v>194</v>
      </c>
      <c r="G74" s="76"/>
      <c r="H74" s="76" t="s">
        <v>272</v>
      </c>
      <c r="I74" s="78">
        <v>45920</v>
      </c>
      <c r="J74" s="78">
        <v>45911</v>
      </c>
      <c r="K74" s="77">
        <v>-70</v>
      </c>
      <c r="L74" s="77">
        <v>-79</v>
      </c>
    </row>
    <row r="75" spans="1:12" ht="22.5">
      <c r="A75" s="76" t="s">
        <v>502</v>
      </c>
      <c r="B75" s="76" t="s">
        <v>904</v>
      </c>
      <c r="C75" s="76" t="s">
        <v>307</v>
      </c>
      <c r="D75" s="76" t="s">
        <v>504</v>
      </c>
      <c r="E75" s="79"/>
      <c r="F75" s="76" t="s">
        <v>194</v>
      </c>
      <c r="G75" s="76"/>
      <c r="H75" s="76" t="s">
        <v>272</v>
      </c>
      <c r="I75" s="78">
        <v>45920</v>
      </c>
      <c r="J75" s="78">
        <v>45911</v>
      </c>
      <c r="K75" s="77">
        <v>-70</v>
      </c>
      <c r="L75" s="77">
        <v>-79</v>
      </c>
    </row>
    <row r="76" spans="1:12" ht="22.5">
      <c r="A76" s="76" t="s">
        <v>502</v>
      </c>
      <c r="B76" s="76" t="s">
        <v>905</v>
      </c>
      <c r="C76" s="76" t="s">
        <v>307</v>
      </c>
      <c r="D76" s="76" t="s">
        <v>505</v>
      </c>
      <c r="E76" s="79"/>
      <c r="F76" s="76" t="s">
        <v>194</v>
      </c>
      <c r="G76" s="76"/>
      <c r="H76" s="76" t="s">
        <v>272</v>
      </c>
      <c r="I76" s="78">
        <v>45920</v>
      </c>
      <c r="J76" s="78">
        <v>45911</v>
      </c>
      <c r="K76" s="77">
        <v>-70</v>
      </c>
      <c r="L76" s="77">
        <v>-79</v>
      </c>
    </row>
    <row r="77" spans="1:12" ht="22.5">
      <c r="A77" s="76" t="s">
        <v>502</v>
      </c>
      <c r="B77" s="76" t="s">
        <v>442</v>
      </c>
      <c r="C77" s="76" t="s">
        <v>307</v>
      </c>
      <c r="D77" s="76" t="s">
        <v>506</v>
      </c>
      <c r="E77" s="79"/>
      <c r="F77" s="76" t="s">
        <v>194</v>
      </c>
      <c r="G77" s="76"/>
      <c r="H77" s="76" t="s">
        <v>272</v>
      </c>
      <c r="I77" s="78">
        <v>45920</v>
      </c>
      <c r="J77" s="78">
        <v>45911</v>
      </c>
      <c r="K77" s="77">
        <v>-70</v>
      </c>
      <c r="L77" s="77">
        <v>-79</v>
      </c>
    </row>
    <row r="78" spans="1:12" ht="33.75">
      <c r="A78" s="76" t="s">
        <v>502</v>
      </c>
      <c r="B78" s="76" t="s">
        <v>906</v>
      </c>
      <c r="C78" s="76" t="s">
        <v>307</v>
      </c>
      <c r="D78" s="76" t="s">
        <v>507</v>
      </c>
      <c r="E78" s="79"/>
      <c r="F78" s="76" t="s">
        <v>194</v>
      </c>
      <c r="G78" s="76"/>
      <c r="H78" s="76" t="s">
        <v>272</v>
      </c>
      <c r="I78" s="78">
        <v>45920</v>
      </c>
      <c r="J78" s="78">
        <v>45911</v>
      </c>
      <c r="K78" s="77">
        <v>-70</v>
      </c>
      <c r="L78" s="77">
        <v>-79</v>
      </c>
    </row>
    <row r="79" spans="1:12" ht="22.5">
      <c r="A79" s="76" t="s">
        <v>502</v>
      </c>
      <c r="B79" s="76" t="s">
        <v>900</v>
      </c>
      <c r="C79" s="76" t="s">
        <v>307</v>
      </c>
      <c r="D79" s="76" t="s">
        <v>508</v>
      </c>
      <c r="E79" s="79"/>
      <c r="F79" s="76" t="s">
        <v>194</v>
      </c>
      <c r="G79" s="76"/>
      <c r="H79" s="76" t="s">
        <v>272</v>
      </c>
      <c r="I79" s="78">
        <v>45920</v>
      </c>
      <c r="J79" s="78">
        <v>45911</v>
      </c>
      <c r="K79" s="77">
        <v>-70</v>
      </c>
      <c r="L79" s="77">
        <v>-79</v>
      </c>
    </row>
    <row r="80" spans="1:12" ht="22.5">
      <c r="A80" s="76" t="s">
        <v>502</v>
      </c>
      <c r="B80" s="76" t="s">
        <v>509</v>
      </c>
      <c r="C80" s="76" t="s">
        <v>307</v>
      </c>
      <c r="D80" s="76" t="s">
        <v>510</v>
      </c>
      <c r="E80" s="79"/>
      <c r="F80" s="76" t="s">
        <v>194</v>
      </c>
      <c r="G80" s="76"/>
      <c r="H80" s="76" t="s">
        <v>272</v>
      </c>
      <c r="I80" s="78">
        <v>45920</v>
      </c>
      <c r="J80" s="78">
        <v>45911</v>
      </c>
      <c r="K80" s="77">
        <v>-70</v>
      </c>
      <c r="L80" s="77">
        <v>-79</v>
      </c>
    </row>
    <row r="81" spans="1:12" ht="33.75">
      <c r="A81" s="76" t="s">
        <v>465</v>
      </c>
      <c r="B81" s="76" t="s">
        <v>470</v>
      </c>
      <c r="C81" s="76" t="s">
        <v>307</v>
      </c>
      <c r="D81" s="76" t="s">
        <v>471</v>
      </c>
      <c r="E81" s="79"/>
      <c r="F81" s="76" t="s">
        <v>894</v>
      </c>
      <c r="G81" s="76"/>
      <c r="H81" s="76" t="s">
        <v>273</v>
      </c>
      <c r="I81" s="78">
        <v>45917</v>
      </c>
      <c r="J81" s="78">
        <v>45911</v>
      </c>
      <c r="K81" s="77">
        <v>-73</v>
      </c>
      <c r="L81" s="77">
        <v>-79</v>
      </c>
    </row>
    <row r="82" spans="1:12" ht="33.75">
      <c r="A82" s="76" t="s">
        <v>465</v>
      </c>
      <c r="B82" s="76" t="s">
        <v>472</v>
      </c>
      <c r="C82" s="76" t="s">
        <v>307</v>
      </c>
      <c r="D82" s="76" t="s">
        <v>473</v>
      </c>
      <c r="E82" s="79"/>
      <c r="F82" s="76" t="s">
        <v>194</v>
      </c>
      <c r="G82" s="76"/>
      <c r="H82" s="76" t="s">
        <v>273</v>
      </c>
      <c r="I82" s="78">
        <v>45917</v>
      </c>
      <c r="J82" s="78">
        <v>45911</v>
      </c>
      <c r="K82" s="77">
        <v>-73</v>
      </c>
      <c r="L82" s="77">
        <v>-79</v>
      </c>
    </row>
    <row r="83" spans="1:12" ht="33.75">
      <c r="A83" s="76" t="s">
        <v>465</v>
      </c>
      <c r="B83" s="76" t="s">
        <v>357</v>
      </c>
      <c r="C83" s="76" t="s">
        <v>307</v>
      </c>
      <c r="D83" s="76" t="s">
        <v>475</v>
      </c>
      <c r="E83" s="79"/>
      <c r="F83" s="76" t="s">
        <v>194</v>
      </c>
      <c r="G83" s="76"/>
      <c r="H83" s="76" t="s">
        <v>273</v>
      </c>
      <c r="I83" s="78">
        <v>45917</v>
      </c>
      <c r="J83" s="78">
        <v>45911</v>
      </c>
      <c r="K83" s="77">
        <v>-73</v>
      </c>
      <c r="L83" s="77">
        <v>-79</v>
      </c>
    </row>
    <row r="84" spans="1:12" ht="33.75">
      <c r="A84" s="76" t="s">
        <v>465</v>
      </c>
      <c r="B84" s="76" t="s">
        <v>348</v>
      </c>
      <c r="C84" s="76" t="s">
        <v>307</v>
      </c>
      <c r="D84" s="76" t="s">
        <v>477</v>
      </c>
      <c r="E84" s="77">
        <v>9.9700000000000006</v>
      </c>
      <c r="F84" s="76" t="s">
        <v>894</v>
      </c>
      <c r="G84" s="76"/>
      <c r="H84" s="76" t="s">
        <v>273</v>
      </c>
      <c r="I84" s="78">
        <v>45917</v>
      </c>
      <c r="J84" s="78">
        <v>45911</v>
      </c>
      <c r="K84" s="77">
        <v>-73</v>
      </c>
      <c r="L84" s="77">
        <v>-79</v>
      </c>
    </row>
    <row r="85" spans="1:12" ht="33.75">
      <c r="A85" s="76" t="s">
        <v>465</v>
      </c>
      <c r="B85" s="76" t="s">
        <v>287</v>
      </c>
      <c r="C85" s="76" t="s">
        <v>307</v>
      </c>
      <c r="D85" s="76" t="s">
        <v>478</v>
      </c>
      <c r="E85" s="79"/>
      <c r="F85" s="76" t="s">
        <v>194</v>
      </c>
      <c r="G85" s="76"/>
      <c r="H85" s="76" t="s">
        <v>273</v>
      </c>
      <c r="I85" s="78">
        <v>45917</v>
      </c>
      <c r="J85" s="78">
        <v>45911</v>
      </c>
      <c r="K85" s="77">
        <v>-73</v>
      </c>
      <c r="L85" s="77">
        <v>-79</v>
      </c>
    </row>
    <row r="86" spans="1:12" ht="33.75">
      <c r="A86" s="76" t="s">
        <v>465</v>
      </c>
      <c r="B86" s="76" t="s">
        <v>369</v>
      </c>
      <c r="C86" s="76" t="s">
        <v>307</v>
      </c>
      <c r="D86" s="76" t="s">
        <v>479</v>
      </c>
      <c r="E86" s="77">
        <v>6.516</v>
      </c>
      <c r="F86" s="76" t="s">
        <v>894</v>
      </c>
      <c r="G86" s="76"/>
      <c r="H86" s="76" t="s">
        <v>273</v>
      </c>
      <c r="I86" s="78">
        <v>45917</v>
      </c>
      <c r="J86" s="78">
        <v>45911</v>
      </c>
      <c r="K86" s="77">
        <v>-73</v>
      </c>
      <c r="L86" s="77">
        <v>-79</v>
      </c>
    </row>
    <row r="87" spans="1:12" ht="33.75">
      <c r="A87" s="76" t="s">
        <v>465</v>
      </c>
      <c r="B87" s="76" t="s">
        <v>480</v>
      </c>
      <c r="C87" s="76" t="s">
        <v>307</v>
      </c>
      <c r="D87" s="76" t="s">
        <v>481</v>
      </c>
      <c r="E87" s="79"/>
      <c r="F87" s="76" t="s">
        <v>894</v>
      </c>
      <c r="G87" s="76"/>
      <c r="H87" s="76" t="s">
        <v>273</v>
      </c>
      <c r="I87" s="78">
        <v>45917</v>
      </c>
      <c r="J87" s="78">
        <v>45911</v>
      </c>
      <c r="K87" s="77">
        <v>-73</v>
      </c>
      <c r="L87" s="77">
        <v>-79</v>
      </c>
    </row>
    <row r="88" spans="1:12" ht="33.75">
      <c r="A88" s="76" t="s">
        <v>465</v>
      </c>
      <c r="B88" s="76" t="s">
        <v>291</v>
      </c>
      <c r="C88" s="76" t="s">
        <v>307</v>
      </c>
      <c r="D88" s="76" t="s">
        <v>483</v>
      </c>
      <c r="E88" s="77">
        <v>5.8609999999999998</v>
      </c>
      <c r="F88" s="76" t="s">
        <v>894</v>
      </c>
      <c r="G88" s="76"/>
      <c r="H88" s="76" t="s">
        <v>273</v>
      </c>
      <c r="I88" s="78">
        <v>45917</v>
      </c>
      <c r="J88" s="78">
        <v>45911</v>
      </c>
      <c r="K88" s="77">
        <v>-73</v>
      </c>
      <c r="L88" s="77">
        <v>-79</v>
      </c>
    </row>
    <row r="89" spans="1:12" ht="33.75">
      <c r="A89" s="76" t="s">
        <v>465</v>
      </c>
      <c r="B89" s="76" t="s">
        <v>345</v>
      </c>
      <c r="C89" s="76" t="s">
        <v>307</v>
      </c>
      <c r="D89" s="76" t="s">
        <v>484</v>
      </c>
      <c r="E89" s="77">
        <v>10.27</v>
      </c>
      <c r="F89" s="76" t="s">
        <v>894</v>
      </c>
      <c r="G89" s="76"/>
      <c r="H89" s="76" t="s">
        <v>273</v>
      </c>
      <c r="I89" s="78">
        <v>45917</v>
      </c>
      <c r="J89" s="78">
        <v>45911</v>
      </c>
      <c r="K89" s="77">
        <v>-73</v>
      </c>
      <c r="L89" s="77">
        <v>-79</v>
      </c>
    </row>
    <row r="90" spans="1:12" ht="33.75">
      <c r="A90" s="76" t="s">
        <v>465</v>
      </c>
      <c r="B90" s="76" t="s">
        <v>485</v>
      </c>
      <c r="C90" s="76" t="s">
        <v>307</v>
      </c>
      <c r="D90" s="76" t="s">
        <v>486</v>
      </c>
      <c r="E90" s="77">
        <v>2.8</v>
      </c>
      <c r="F90" s="76" t="s">
        <v>894</v>
      </c>
      <c r="G90" s="76"/>
      <c r="H90" s="76" t="s">
        <v>273</v>
      </c>
      <c r="I90" s="78">
        <v>45917</v>
      </c>
      <c r="J90" s="78">
        <v>45911</v>
      </c>
      <c r="K90" s="77">
        <v>-73</v>
      </c>
      <c r="L90" s="77">
        <v>-79</v>
      </c>
    </row>
    <row r="91" spans="1:12" ht="33.75">
      <c r="A91" s="76" t="s">
        <v>465</v>
      </c>
      <c r="B91" s="76" t="s">
        <v>487</v>
      </c>
      <c r="C91" s="76" t="s">
        <v>307</v>
      </c>
      <c r="D91" s="76" t="s">
        <v>488</v>
      </c>
      <c r="E91" s="79"/>
      <c r="F91" s="76" t="s">
        <v>194</v>
      </c>
      <c r="G91" s="76"/>
      <c r="H91" s="76" t="s">
        <v>273</v>
      </c>
      <c r="I91" s="78">
        <v>45917</v>
      </c>
      <c r="J91" s="78">
        <v>45911</v>
      </c>
      <c r="K91" s="77">
        <v>-73</v>
      </c>
      <c r="L91" s="77">
        <v>-79</v>
      </c>
    </row>
    <row r="92" spans="1:12" ht="33.75">
      <c r="A92" s="76" t="s">
        <v>465</v>
      </c>
      <c r="B92" s="76" t="s">
        <v>489</v>
      </c>
      <c r="C92" s="76" t="s">
        <v>307</v>
      </c>
      <c r="D92" s="76" t="s">
        <v>490</v>
      </c>
      <c r="E92" s="77">
        <v>7.3659999999999997</v>
      </c>
      <c r="F92" s="76" t="s">
        <v>894</v>
      </c>
      <c r="G92" s="76"/>
      <c r="H92" s="76" t="s">
        <v>273</v>
      </c>
      <c r="I92" s="78">
        <v>45917</v>
      </c>
      <c r="J92" s="78">
        <v>45911</v>
      </c>
      <c r="K92" s="77">
        <v>-73</v>
      </c>
      <c r="L92" s="77">
        <v>-79</v>
      </c>
    </row>
    <row r="93" spans="1:12" ht="33.75">
      <c r="A93" s="76" t="s">
        <v>465</v>
      </c>
      <c r="B93" s="76" t="s">
        <v>378</v>
      </c>
      <c r="C93" s="76" t="s">
        <v>307</v>
      </c>
      <c r="D93" s="76" t="s">
        <v>491</v>
      </c>
      <c r="E93" s="77">
        <v>10.5</v>
      </c>
      <c r="F93" s="76" t="s">
        <v>894</v>
      </c>
      <c r="G93" s="76"/>
      <c r="H93" s="76" t="s">
        <v>273</v>
      </c>
      <c r="I93" s="78">
        <v>45917</v>
      </c>
      <c r="J93" s="78">
        <v>45911</v>
      </c>
      <c r="K93" s="77">
        <v>-73</v>
      </c>
      <c r="L93" s="77">
        <v>-79</v>
      </c>
    </row>
    <row r="94" spans="1:12" ht="33.75">
      <c r="A94" s="76" t="s">
        <v>465</v>
      </c>
      <c r="B94" s="76" t="s">
        <v>482</v>
      </c>
      <c r="C94" s="76" t="s">
        <v>307</v>
      </c>
      <c r="D94" s="76" t="s">
        <v>493</v>
      </c>
      <c r="E94" s="79"/>
      <c r="F94" s="76" t="s">
        <v>194</v>
      </c>
      <c r="G94" s="76"/>
      <c r="H94" s="76" t="s">
        <v>273</v>
      </c>
      <c r="I94" s="78">
        <v>45917</v>
      </c>
      <c r="J94" s="78">
        <v>45911</v>
      </c>
      <c r="K94" s="77">
        <v>-73</v>
      </c>
      <c r="L94" s="77">
        <v>-79</v>
      </c>
    </row>
    <row r="95" spans="1:12" ht="33.75">
      <c r="A95" s="76" t="s">
        <v>465</v>
      </c>
      <c r="B95" s="76" t="s">
        <v>495</v>
      </c>
      <c r="C95" s="76" t="s">
        <v>307</v>
      </c>
      <c r="D95" s="76" t="s">
        <v>496</v>
      </c>
      <c r="E95" s="77">
        <v>5.2720000000000002</v>
      </c>
      <c r="F95" s="76" t="s">
        <v>894</v>
      </c>
      <c r="G95" s="76"/>
      <c r="H95" s="76" t="s">
        <v>273</v>
      </c>
      <c r="I95" s="78">
        <v>45917</v>
      </c>
      <c r="J95" s="78">
        <v>45911</v>
      </c>
      <c r="K95" s="77">
        <v>-73</v>
      </c>
      <c r="L95" s="77">
        <v>-79</v>
      </c>
    </row>
    <row r="96" spans="1:12" ht="33.75">
      <c r="A96" s="76" t="s">
        <v>465</v>
      </c>
      <c r="B96" s="76" t="s">
        <v>354</v>
      </c>
      <c r="C96" s="76" t="s">
        <v>307</v>
      </c>
      <c r="D96" s="76" t="s">
        <v>497</v>
      </c>
      <c r="E96" s="77">
        <v>6.8650000000000002</v>
      </c>
      <c r="F96" s="76" t="s">
        <v>894</v>
      </c>
      <c r="G96" s="76"/>
      <c r="H96" s="76" t="s">
        <v>273</v>
      </c>
      <c r="I96" s="78">
        <v>45917</v>
      </c>
      <c r="J96" s="78">
        <v>45911</v>
      </c>
      <c r="K96" s="77">
        <v>-73</v>
      </c>
      <c r="L96" s="77">
        <v>-79</v>
      </c>
    </row>
    <row r="97" spans="1:12" ht="33.75">
      <c r="A97" s="76" t="s">
        <v>465</v>
      </c>
      <c r="B97" s="76" t="s">
        <v>474</v>
      </c>
      <c r="C97" s="76" t="s">
        <v>307</v>
      </c>
      <c r="D97" s="76" t="s">
        <v>498</v>
      </c>
      <c r="E97" s="77">
        <v>7.1660000000000004</v>
      </c>
      <c r="F97" s="76" t="s">
        <v>894</v>
      </c>
      <c r="G97" s="76"/>
      <c r="H97" s="76" t="s">
        <v>273</v>
      </c>
      <c r="I97" s="78">
        <v>45917</v>
      </c>
      <c r="J97" s="78">
        <v>45911</v>
      </c>
      <c r="K97" s="77">
        <v>-73</v>
      </c>
      <c r="L97" s="77">
        <v>-79</v>
      </c>
    </row>
    <row r="98" spans="1:12" ht="22.5">
      <c r="A98" s="76" t="s">
        <v>499</v>
      </c>
      <c r="B98" s="76" t="s">
        <v>500</v>
      </c>
      <c r="C98" s="76" t="s">
        <v>307</v>
      </c>
      <c r="D98" s="76" t="s">
        <v>501</v>
      </c>
      <c r="E98" s="79"/>
      <c r="F98" s="76" t="s">
        <v>194</v>
      </c>
      <c r="G98" s="76"/>
      <c r="H98" s="76" t="s">
        <v>273</v>
      </c>
      <c r="I98" s="78">
        <v>45915</v>
      </c>
      <c r="J98" s="78">
        <v>45911</v>
      </c>
      <c r="K98" s="77">
        <v>-75</v>
      </c>
      <c r="L98" s="77">
        <v>-79</v>
      </c>
    </row>
    <row r="99" spans="1:12" ht="33.75">
      <c r="A99" s="76" t="s">
        <v>465</v>
      </c>
      <c r="B99" s="76" t="s">
        <v>286</v>
      </c>
      <c r="C99" s="76" t="s">
        <v>307</v>
      </c>
      <c r="D99" s="76" t="s">
        <v>467</v>
      </c>
      <c r="E99" s="79"/>
      <c r="F99" s="76" t="s">
        <v>194</v>
      </c>
      <c r="G99" s="76"/>
      <c r="H99" s="76" t="s">
        <v>273</v>
      </c>
      <c r="I99" s="78">
        <v>45917</v>
      </c>
      <c r="J99" s="78">
        <v>45911</v>
      </c>
      <c r="K99" s="77">
        <v>-73</v>
      </c>
      <c r="L99" s="77">
        <v>-79</v>
      </c>
    </row>
    <row r="100" spans="1:12" ht="33.75">
      <c r="A100" s="76" t="s">
        <v>465</v>
      </c>
      <c r="B100" s="76" t="s">
        <v>468</v>
      </c>
      <c r="C100" s="76" t="s">
        <v>307</v>
      </c>
      <c r="D100" s="76" t="s">
        <v>469</v>
      </c>
      <c r="E100" s="79"/>
      <c r="F100" s="76" t="s">
        <v>194</v>
      </c>
      <c r="G100" s="76"/>
      <c r="H100" s="76" t="s">
        <v>273</v>
      </c>
      <c r="I100" s="78">
        <v>45917</v>
      </c>
      <c r="J100" s="78">
        <v>45911</v>
      </c>
      <c r="K100" s="77">
        <v>-73</v>
      </c>
      <c r="L100" s="77">
        <v>-79</v>
      </c>
    </row>
    <row r="101" spans="1:12" ht="45">
      <c r="A101" s="76" t="s">
        <v>511</v>
      </c>
      <c r="B101" s="76" t="s">
        <v>512</v>
      </c>
      <c r="C101" s="76" t="s">
        <v>307</v>
      </c>
      <c r="D101" s="76" t="s">
        <v>513</v>
      </c>
      <c r="E101" s="79"/>
      <c r="F101" s="76" t="s">
        <v>870</v>
      </c>
      <c r="G101" s="76"/>
      <c r="H101" s="76" t="s">
        <v>282</v>
      </c>
      <c r="I101" s="78">
        <v>45920</v>
      </c>
      <c r="J101" s="78">
        <v>45911</v>
      </c>
      <c r="K101" s="77">
        <v>-70</v>
      </c>
      <c r="L101" s="77">
        <v>-79</v>
      </c>
    </row>
    <row r="102" spans="1:12" ht="22.5">
      <c r="A102" s="76" t="s">
        <v>514</v>
      </c>
      <c r="B102" s="76" t="s">
        <v>516</v>
      </c>
      <c r="C102" s="76" t="s">
        <v>307</v>
      </c>
      <c r="D102" s="76" t="s">
        <v>517</v>
      </c>
      <c r="E102" s="79"/>
      <c r="F102" s="76" t="s">
        <v>194</v>
      </c>
      <c r="G102" s="76"/>
      <c r="H102" s="76" t="s">
        <v>282</v>
      </c>
      <c r="I102" s="78">
        <v>45922</v>
      </c>
      <c r="J102" s="78">
        <v>45912</v>
      </c>
      <c r="K102" s="77">
        <v>-68</v>
      </c>
      <c r="L102" s="77">
        <v>-78</v>
      </c>
    </row>
    <row r="103" spans="1:12" ht="22.5">
      <c r="A103" s="76" t="s">
        <v>514</v>
      </c>
      <c r="B103" s="76" t="s">
        <v>516</v>
      </c>
      <c r="C103" s="76" t="s">
        <v>307</v>
      </c>
      <c r="D103" s="76" t="s">
        <v>718</v>
      </c>
      <c r="E103" s="79"/>
      <c r="F103" s="76" t="s">
        <v>194</v>
      </c>
      <c r="G103" s="76"/>
      <c r="H103" s="76" t="s">
        <v>282</v>
      </c>
      <c r="I103" s="78">
        <v>45922</v>
      </c>
      <c r="J103" s="78">
        <v>45912</v>
      </c>
      <c r="K103" s="77">
        <v>-68</v>
      </c>
      <c r="L103" s="77">
        <v>-78</v>
      </c>
    </row>
    <row r="104" spans="1:12" ht="33.75">
      <c r="A104" s="76" t="s">
        <v>514</v>
      </c>
      <c r="B104" s="76" t="s">
        <v>518</v>
      </c>
      <c r="C104" s="76" t="s">
        <v>307</v>
      </c>
      <c r="D104" s="76" t="s">
        <v>519</v>
      </c>
      <c r="E104" s="79"/>
      <c r="F104" s="76" t="s">
        <v>194</v>
      </c>
      <c r="G104" s="76"/>
      <c r="H104" s="76" t="s">
        <v>272</v>
      </c>
      <c r="I104" s="78">
        <v>45922</v>
      </c>
      <c r="J104" s="78">
        <v>45912</v>
      </c>
      <c r="K104" s="77">
        <v>-68</v>
      </c>
      <c r="L104" s="77">
        <v>-78</v>
      </c>
    </row>
    <row r="105" spans="1:12" ht="22.5">
      <c r="A105" s="76" t="s">
        <v>514</v>
      </c>
      <c r="B105" s="76" t="s">
        <v>520</v>
      </c>
      <c r="C105" s="76" t="s">
        <v>307</v>
      </c>
      <c r="D105" s="76" t="s">
        <v>521</v>
      </c>
      <c r="E105" s="79"/>
      <c r="F105" s="76" t="s">
        <v>194</v>
      </c>
      <c r="G105" s="76"/>
      <c r="H105" s="76" t="s">
        <v>282</v>
      </c>
      <c r="I105" s="78">
        <v>45922</v>
      </c>
      <c r="J105" s="78">
        <v>45912</v>
      </c>
      <c r="K105" s="77">
        <v>-68</v>
      </c>
      <c r="L105" s="77">
        <v>-78</v>
      </c>
    </row>
    <row r="106" spans="1:12" ht="33.75">
      <c r="A106" s="76" t="s">
        <v>514</v>
      </c>
      <c r="B106" s="76" t="s">
        <v>522</v>
      </c>
      <c r="C106" s="76" t="s">
        <v>307</v>
      </c>
      <c r="D106" s="76" t="s">
        <v>523</v>
      </c>
      <c r="E106" s="79"/>
      <c r="F106" s="76" t="s">
        <v>194</v>
      </c>
      <c r="G106" s="76"/>
      <c r="H106" s="76" t="s">
        <v>282</v>
      </c>
      <c r="I106" s="78">
        <v>45922</v>
      </c>
      <c r="J106" s="78">
        <v>45912</v>
      </c>
      <c r="K106" s="77">
        <v>-68</v>
      </c>
      <c r="L106" s="77">
        <v>-78</v>
      </c>
    </row>
    <row r="107" spans="1:12" ht="22.5">
      <c r="A107" s="76" t="s">
        <v>514</v>
      </c>
      <c r="B107" s="76" t="s">
        <v>524</v>
      </c>
      <c r="C107" s="76" t="s">
        <v>307</v>
      </c>
      <c r="D107" s="76" t="s">
        <v>525</v>
      </c>
      <c r="E107" s="79"/>
      <c r="F107" s="76" t="s">
        <v>194</v>
      </c>
      <c r="G107" s="76"/>
      <c r="H107" s="76" t="s">
        <v>282</v>
      </c>
      <c r="I107" s="78">
        <v>45922</v>
      </c>
      <c r="J107" s="78">
        <v>45912</v>
      </c>
      <c r="K107" s="77">
        <v>-68</v>
      </c>
      <c r="L107" s="77">
        <v>-78</v>
      </c>
    </row>
    <row r="108" spans="1:12" ht="22.5">
      <c r="A108" s="76" t="s">
        <v>514</v>
      </c>
      <c r="B108" s="76" t="s">
        <v>524</v>
      </c>
      <c r="C108" s="76" t="s">
        <v>307</v>
      </c>
      <c r="D108" s="76" t="s">
        <v>526</v>
      </c>
      <c r="E108" s="79"/>
      <c r="F108" s="76" t="s">
        <v>194</v>
      </c>
      <c r="G108" s="76"/>
      <c r="H108" s="76" t="s">
        <v>282</v>
      </c>
      <c r="I108" s="78">
        <v>45922</v>
      </c>
      <c r="J108" s="78">
        <v>45912</v>
      </c>
      <c r="K108" s="77">
        <v>-68</v>
      </c>
      <c r="L108" s="77">
        <v>-78</v>
      </c>
    </row>
    <row r="109" spans="1:12" ht="22.5">
      <c r="A109" s="76" t="s">
        <v>514</v>
      </c>
      <c r="B109" s="76" t="s">
        <v>527</v>
      </c>
      <c r="C109" s="76" t="s">
        <v>307</v>
      </c>
      <c r="D109" s="76" t="s">
        <v>528</v>
      </c>
      <c r="E109" s="79"/>
      <c r="F109" s="76" t="s">
        <v>194</v>
      </c>
      <c r="G109" s="76"/>
      <c r="H109" s="76" t="s">
        <v>272</v>
      </c>
      <c r="I109" s="78">
        <v>45922</v>
      </c>
      <c r="J109" s="78">
        <v>45912</v>
      </c>
      <c r="K109" s="77">
        <v>-68</v>
      </c>
      <c r="L109" s="77">
        <v>-78</v>
      </c>
    </row>
    <row r="110" spans="1:12" ht="22.5">
      <c r="A110" s="76" t="s">
        <v>514</v>
      </c>
      <c r="B110" s="76" t="s">
        <v>529</v>
      </c>
      <c r="C110" s="76" t="s">
        <v>307</v>
      </c>
      <c r="D110" s="76" t="s">
        <v>530</v>
      </c>
      <c r="E110" s="79"/>
      <c r="F110" s="76" t="s">
        <v>194</v>
      </c>
      <c r="G110" s="76"/>
      <c r="H110" s="76" t="s">
        <v>282</v>
      </c>
      <c r="I110" s="78">
        <v>45922</v>
      </c>
      <c r="J110" s="78">
        <v>45912</v>
      </c>
      <c r="K110" s="77">
        <v>-68</v>
      </c>
      <c r="L110" s="77">
        <v>-78</v>
      </c>
    </row>
    <row r="111" spans="1:12" ht="22.5">
      <c r="A111" s="76" t="s">
        <v>514</v>
      </c>
      <c r="B111" s="76" t="s">
        <v>531</v>
      </c>
      <c r="C111" s="76" t="s">
        <v>307</v>
      </c>
      <c r="D111" s="76" t="s">
        <v>532</v>
      </c>
      <c r="E111" s="79"/>
      <c r="F111" s="76" t="s">
        <v>194</v>
      </c>
      <c r="G111" s="76"/>
      <c r="H111" s="76" t="s">
        <v>282</v>
      </c>
      <c r="I111" s="78">
        <v>45922</v>
      </c>
      <c r="J111" s="78">
        <v>45912</v>
      </c>
      <c r="K111" s="77">
        <v>-68</v>
      </c>
      <c r="L111" s="77">
        <v>-78</v>
      </c>
    </row>
    <row r="112" spans="1:12" ht="22.5">
      <c r="A112" s="76" t="s">
        <v>514</v>
      </c>
      <c r="B112" s="76" t="s">
        <v>531</v>
      </c>
      <c r="C112" s="76" t="s">
        <v>307</v>
      </c>
      <c r="D112" s="76" t="s">
        <v>706</v>
      </c>
      <c r="E112" s="77">
        <v>24.91</v>
      </c>
      <c r="F112" s="76" t="s">
        <v>894</v>
      </c>
      <c r="G112" s="76"/>
      <c r="H112" s="76" t="s">
        <v>282</v>
      </c>
      <c r="I112" s="78">
        <v>45922</v>
      </c>
      <c r="J112" s="78">
        <v>45912</v>
      </c>
      <c r="K112" s="77">
        <v>-68</v>
      </c>
      <c r="L112" s="77">
        <v>-78</v>
      </c>
    </row>
    <row r="113" spans="1:12" ht="33.75">
      <c r="A113" s="76" t="s">
        <v>514</v>
      </c>
      <c r="B113" s="76" t="s">
        <v>533</v>
      </c>
      <c r="C113" s="76" t="s">
        <v>307</v>
      </c>
      <c r="D113" s="76" t="s">
        <v>534</v>
      </c>
      <c r="E113" s="79"/>
      <c r="F113" s="76" t="s">
        <v>194</v>
      </c>
      <c r="G113" s="76"/>
      <c r="H113" s="76" t="s">
        <v>272</v>
      </c>
      <c r="I113" s="78">
        <v>45922</v>
      </c>
      <c r="J113" s="78">
        <v>45912</v>
      </c>
      <c r="K113" s="77">
        <v>-68</v>
      </c>
      <c r="L113" s="77">
        <v>-78</v>
      </c>
    </row>
    <row r="114" spans="1:12" ht="33.75">
      <c r="A114" s="76" t="s">
        <v>514</v>
      </c>
      <c r="B114" s="76" t="s">
        <v>533</v>
      </c>
      <c r="C114" s="76" t="s">
        <v>307</v>
      </c>
      <c r="D114" s="76" t="s">
        <v>695</v>
      </c>
      <c r="E114" s="79"/>
      <c r="F114" s="76" t="s">
        <v>194</v>
      </c>
      <c r="G114" s="76"/>
      <c r="H114" s="76" t="s">
        <v>272</v>
      </c>
      <c r="I114" s="78">
        <v>45922</v>
      </c>
      <c r="J114" s="78">
        <v>45912</v>
      </c>
      <c r="K114" s="77">
        <v>-68</v>
      </c>
      <c r="L114" s="77">
        <v>-78</v>
      </c>
    </row>
    <row r="115" spans="1:12" ht="22.5">
      <c r="A115" s="76" t="s">
        <v>535</v>
      </c>
      <c r="B115" s="76" t="s">
        <v>536</v>
      </c>
      <c r="C115" s="76" t="s">
        <v>307</v>
      </c>
      <c r="D115" s="76" t="s">
        <v>537</v>
      </c>
      <c r="E115" s="77">
        <v>2.3069999999999999</v>
      </c>
      <c r="F115" s="76" t="s">
        <v>894</v>
      </c>
      <c r="G115" s="76"/>
      <c r="H115" s="76" t="s">
        <v>273</v>
      </c>
      <c r="I115" s="78">
        <v>45917</v>
      </c>
      <c r="J115" s="78">
        <v>45912</v>
      </c>
      <c r="K115" s="77">
        <v>-73</v>
      </c>
      <c r="L115" s="77">
        <v>-78</v>
      </c>
    </row>
    <row r="116" spans="1:12" ht="22.5">
      <c r="A116" s="76" t="s">
        <v>515</v>
      </c>
      <c r="B116" s="76" t="s">
        <v>548</v>
      </c>
      <c r="C116" s="76" t="s">
        <v>307</v>
      </c>
      <c r="D116" s="76" t="s">
        <v>549</v>
      </c>
      <c r="E116" s="79"/>
      <c r="F116" s="76" t="s">
        <v>194</v>
      </c>
      <c r="G116" s="76"/>
      <c r="H116" s="76" t="s">
        <v>282</v>
      </c>
      <c r="I116" s="78">
        <v>45922</v>
      </c>
      <c r="J116" s="78">
        <v>45912</v>
      </c>
      <c r="K116" s="77">
        <v>-68</v>
      </c>
      <c r="L116" s="77">
        <v>-78</v>
      </c>
    </row>
    <row r="117" spans="1:12" ht="33.75">
      <c r="A117" s="76" t="s">
        <v>515</v>
      </c>
      <c r="B117" s="76" t="s">
        <v>548</v>
      </c>
      <c r="C117" s="76" t="s">
        <v>307</v>
      </c>
      <c r="D117" s="76" t="s">
        <v>853</v>
      </c>
      <c r="E117" s="77">
        <v>23.25</v>
      </c>
      <c r="F117" s="76" t="s">
        <v>894</v>
      </c>
      <c r="G117" s="76"/>
      <c r="H117" s="76" t="s">
        <v>282</v>
      </c>
      <c r="I117" s="78">
        <v>45922</v>
      </c>
      <c r="J117" s="78">
        <v>45912</v>
      </c>
      <c r="K117" s="77">
        <v>-68</v>
      </c>
      <c r="L117" s="77">
        <v>-78</v>
      </c>
    </row>
    <row r="118" spans="1:12" ht="22.5">
      <c r="A118" s="76" t="s">
        <v>515</v>
      </c>
      <c r="B118" s="76" t="s">
        <v>548</v>
      </c>
      <c r="C118" s="76" t="s">
        <v>307</v>
      </c>
      <c r="D118" s="76" t="s">
        <v>705</v>
      </c>
      <c r="E118" s="79"/>
      <c r="F118" s="76" t="s">
        <v>194</v>
      </c>
      <c r="G118" s="76"/>
      <c r="H118" s="76" t="s">
        <v>282</v>
      </c>
      <c r="I118" s="78">
        <v>45922</v>
      </c>
      <c r="J118" s="78">
        <v>45912</v>
      </c>
      <c r="K118" s="77">
        <v>-68</v>
      </c>
      <c r="L118" s="77">
        <v>-78</v>
      </c>
    </row>
    <row r="119" spans="1:12" ht="22.5">
      <c r="A119" s="76" t="s">
        <v>515</v>
      </c>
      <c r="B119" s="76" t="s">
        <v>550</v>
      </c>
      <c r="C119" s="76" t="s">
        <v>307</v>
      </c>
      <c r="D119" s="76" t="s">
        <v>551</v>
      </c>
      <c r="E119" s="79"/>
      <c r="F119" s="76" t="s">
        <v>194</v>
      </c>
      <c r="G119" s="76"/>
      <c r="H119" s="76" t="s">
        <v>272</v>
      </c>
      <c r="I119" s="78">
        <v>45922</v>
      </c>
      <c r="J119" s="78">
        <v>45912</v>
      </c>
      <c r="K119" s="77">
        <v>-68</v>
      </c>
      <c r="L119" s="77">
        <v>-78</v>
      </c>
    </row>
    <row r="120" spans="1:12" ht="22.5">
      <c r="A120" s="76" t="s">
        <v>515</v>
      </c>
      <c r="B120" s="76" t="s">
        <v>550</v>
      </c>
      <c r="C120" s="76" t="s">
        <v>307</v>
      </c>
      <c r="D120" s="76" t="s">
        <v>678</v>
      </c>
      <c r="E120" s="79"/>
      <c r="F120" s="76" t="s">
        <v>194</v>
      </c>
      <c r="G120" s="76"/>
      <c r="H120" s="76" t="s">
        <v>272</v>
      </c>
      <c r="I120" s="78">
        <v>45922</v>
      </c>
      <c r="J120" s="78">
        <v>45912</v>
      </c>
      <c r="K120" s="77">
        <v>-68</v>
      </c>
      <c r="L120" s="77">
        <v>-78</v>
      </c>
    </row>
    <row r="121" spans="1:12" ht="22.5">
      <c r="A121" s="76" t="s">
        <v>515</v>
      </c>
      <c r="B121" s="76" t="s">
        <v>552</v>
      </c>
      <c r="C121" s="76" t="s">
        <v>307</v>
      </c>
      <c r="D121" s="76" t="s">
        <v>553</v>
      </c>
      <c r="E121" s="77">
        <v>18.603999999999999</v>
      </c>
      <c r="F121" s="76" t="s">
        <v>894</v>
      </c>
      <c r="G121" s="76"/>
      <c r="H121" s="76" t="s">
        <v>282</v>
      </c>
      <c r="I121" s="78">
        <v>45922</v>
      </c>
      <c r="J121" s="78">
        <v>45912</v>
      </c>
      <c r="K121" s="77">
        <v>-68</v>
      </c>
      <c r="L121" s="77">
        <v>-78</v>
      </c>
    </row>
    <row r="122" spans="1:12" ht="22.5">
      <c r="A122" s="76" t="s">
        <v>515</v>
      </c>
      <c r="B122" s="76" t="s">
        <v>552</v>
      </c>
      <c r="C122" s="76" t="s">
        <v>307</v>
      </c>
      <c r="D122" s="76" t="s">
        <v>554</v>
      </c>
      <c r="E122" s="79"/>
      <c r="F122" s="76" t="s">
        <v>194</v>
      </c>
      <c r="G122" s="76"/>
      <c r="H122" s="76" t="s">
        <v>282</v>
      </c>
      <c r="I122" s="78">
        <v>45922</v>
      </c>
      <c r="J122" s="78">
        <v>45912</v>
      </c>
      <c r="K122" s="77">
        <v>-68</v>
      </c>
      <c r="L122" s="77">
        <v>-78</v>
      </c>
    </row>
    <row r="123" spans="1:12" ht="22.5">
      <c r="A123" s="76" t="s">
        <v>515</v>
      </c>
      <c r="B123" s="76" t="s">
        <v>555</v>
      </c>
      <c r="C123" s="76" t="s">
        <v>307</v>
      </c>
      <c r="D123" s="76" t="s">
        <v>556</v>
      </c>
      <c r="E123" s="79"/>
      <c r="F123" s="76" t="s">
        <v>194</v>
      </c>
      <c r="G123" s="76"/>
      <c r="H123" s="76" t="s">
        <v>272</v>
      </c>
      <c r="I123" s="78">
        <v>45922</v>
      </c>
      <c r="J123" s="78">
        <v>45912</v>
      </c>
      <c r="K123" s="77">
        <v>-68</v>
      </c>
      <c r="L123" s="77">
        <v>-78</v>
      </c>
    </row>
    <row r="124" spans="1:12" ht="22.5">
      <c r="A124" s="76" t="s">
        <v>515</v>
      </c>
      <c r="B124" s="76" t="s">
        <v>555</v>
      </c>
      <c r="C124" s="76" t="s">
        <v>307</v>
      </c>
      <c r="D124" s="76" t="s">
        <v>714</v>
      </c>
      <c r="E124" s="79"/>
      <c r="F124" s="76" t="s">
        <v>194</v>
      </c>
      <c r="G124" s="76"/>
      <c r="H124" s="76" t="s">
        <v>272</v>
      </c>
      <c r="I124" s="78">
        <v>45922</v>
      </c>
      <c r="J124" s="78">
        <v>45912</v>
      </c>
      <c r="K124" s="77">
        <v>-68</v>
      </c>
      <c r="L124" s="77">
        <v>-78</v>
      </c>
    </row>
    <row r="125" spans="1:12" ht="22.5">
      <c r="A125" s="76" t="s">
        <v>515</v>
      </c>
      <c r="B125" s="76" t="s">
        <v>557</v>
      </c>
      <c r="C125" s="76" t="s">
        <v>307</v>
      </c>
      <c r="D125" s="76" t="s">
        <v>558</v>
      </c>
      <c r="E125" s="79"/>
      <c r="F125" s="76" t="s">
        <v>194</v>
      </c>
      <c r="G125" s="76"/>
      <c r="H125" s="76" t="s">
        <v>282</v>
      </c>
      <c r="I125" s="78">
        <v>45922</v>
      </c>
      <c r="J125" s="78">
        <v>45912</v>
      </c>
      <c r="K125" s="77">
        <v>-68</v>
      </c>
      <c r="L125" s="77">
        <v>-78</v>
      </c>
    </row>
    <row r="126" spans="1:12" ht="22.5">
      <c r="A126" s="76" t="s">
        <v>515</v>
      </c>
      <c r="B126" s="76" t="s">
        <v>559</v>
      </c>
      <c r="C126" s="76" t="s">
        <v>307</v>
      </c>
      <c r="D126" s="76" t="s">
        <v>560</v>
      </c>
      <c r="E126" s="79"/>
      <c r="F126" s="76" t="s">
        <v>194</v>
      </c>
      <c r="G126" s="76"/>
      <c r="H126" s="76" t="s">
        <v>272</v>
      </c>
      <c r="I126" s="78">
        <v>45922</v>
      </c>
      <c r="J126" s="78">
        <v>45912</v>
      </c>
      <c r="K126" s="77">
        <v>-68</v>
      </c>
      <c r="L126" s="77">
        <v>-78</v>
      </c>
    </row>
    <row r="127" spans="1:12" ht="22.5">
      <c r="A127" s="76" t="s">
        <v>515</v>
      </c>
      <c r="B127" s="76" t="s">
        <v>561</v>
      </c>
      <c r="C127" s="76" t="s">
        <v>307</v>
      </c>
      <c r="D127" s="76" t="s">
        <v>562</v>
      </c>
      <c r="E127" s="79"/>
      <c r="F127" s="76" t="s">
        <v>194</v>
      </c>
      <c r="G127" s="76"/>
      <c r="H127" s="76" t="s">
        <v>282</v>
      </c>
      <c r="I127" s="78">
        <v>45922</v>
      </c>
      <c r="J127" s="78">
        <v>45912</v>
      </c>
      <c r="K127" s="77">
        <v>-68</v>
      </c>
      <c r="L127" s="77">
        <v>-78</v>
      </c>
    </row>
    <row r="128" spans="1:12" ht="22.5">
      <c r="A128" s="76" t="s">
        <v>515</v>
      </c>
      <c r="B128" s="76" t="s">
        <v>561</v>
      </c>
      <c r="C128" s="76" t="s">
        <v>307</v>
      </c>
      <c r="D128" s="76" t="s">
        <v>563</v>
      </c>
      <c r="E128" s="79"/>
      <c r="F128" s="76" t="s">
        <v>194</v>
      </c>
      <c r="G128" s="76"/>
      <c r="H128" s="76" t="s">
        <v>282</v>
      </c>
      <c r="I128" s="78">
        <v>45922</v>
      </c>
      <c r="J128" s="78">
        <v>45912</v>
      </c>
      <c r="K128" s="77">
        <v>-68</v>
      </c>
      <c r="L128" s="77">
        <v>-78</v>
      </c>
    </row>
    <row r="129" spans="1:12" ht="22.5">
      <c r="A129" s="76" t="s">
        <v>515</v>
      </c>
      <c r="B129" s="76" t="s">
        <v>538</v>
      </c>
      <c r="C129" s="76" t="s">
        <v>307</v>
      </c>
      <c r="D129" s="76" t="s">
        <v>539</v>
      </c>
      <c r="E129" s="79"/>
      <c r="F129" s="76" t="s">
        <v>194</v>
      </c>
      <c r="G129" s="76"/>
      <c r="H129" s="76" t="s">
        <v>282</v>
      </c>
      <c r="I129" s="78">
        <v>45922</v>
      </c>
      <c r="J129" s="78">
        <v>45912</v>
      </c>
      <c r="K129" s="77">
        <v>-68</v>
      </c>
      <c r="L129" s="77">
        <v>-78</v>
      </c>
    </row>
    <row r="130" spans="1:12" ht="22.5">
      <c r="A130" s="76" t="s">
        <v>515</v>
      </c>
      <c r="B130" s="76" t="s">
        <v>538</v>
      </c>
      <c r="C130" s="76" t="s">
        <v>307</v>
      </c>
      <c r="D130" s="76" t="s">
        <v>540</v>
      </c>
      <c r="E130" s="77">
        <v>17.82</v>
      </c>
      <c r="F130" s="76" t="s">
        <v>894</v>
      </c>
      <c r="G130" s="76"/>
      <c r="H130" s="76" t="s">
        <v>282</v>
      </c>
      <c r="I130" s="78">
        <v>45922</v>
      </c>
      <c r="J130" s="78">
        <v>45912</v>
      </c>
      <c r="K130" s="77">
        <v>-68</v>
      </c>
      <c r="L130" s="77">
        <v>-78</v>
      </c>
    </row>
    <row r="131" spans="1:12" ht="22.5">
      <c r="A131" s="76" t="s">
        <v>515</v>
      </c>
      <c r="B131" s="76" t="s">
        <v>293</v>
      </c>
      <c r="C131" s="76" t="s">
        <v>307</v>
      </c>
      <c r="D131" s="76" t="s">
        <v>541</v>
      </c>
      <c r="E131" s="79"/>
      <c r="F131" s="76" t="s">
        <v>194</v>
      </c>
      <c r="G131" s="76"/>
      <c r="H131" s="76" t="s">
        <v>282</v>
      </c>
      <c r="I131" s="78">
        <v>45922</v>
      </c>
      <c r="J131" s="78">
        <v>45912</v>
      </c>
      <c r="K131" s="77">
        <v>-68</v>
      </c>
      <c r="L131" s="77">
        <v>-78</v>
      </c>
    </row>
    <row r="132" spans="1:12" ht="22.5">
      <c r="A132" s="76" t="s">
        <v>515</v>
      </c>
      <c r="B132" s="76" t="s">
        <v>293</v>
      </c>
      <c r="C132" s="76" t="s">
        <v>307</v>
      </c>
      <c r="D132" s="76" t="s">
        <v>542</v>
      </c>
      <c r="E132" s="79"/>
      <c r="F132" s="76" t="s">
        <v>194</v>
      </c>
      <c r="G132" s="76"/>
      <c r="H132" s="76" t="s">
        <v>282</v>
      </c>
      <c r="I132" s="78">
        <v>45922</v>
      </c>
      <c r="J132" s="78">
        <v>45912</v>
      </c>
      <c r="K132" s="77">
        <v>-68</v>
      </c>
      <c r="L132" s="77">
        <v>-78</v>
      </c>
    </row>
    <row r="133" spans="1:12" ht="33.75">
      <c r="A133" s="76" t="s">
        <v>515</v>
      </c>
      <c r="B133" s="76" t="s">
        <v>293</v>
      </c>
      <c r="C133" s="76" t="s">
        <v>307</v>
      </c>
      <c r="D133" s="76" t="s">
        <v>719</v>
      </c>
      <c r="E133" s="79"/>
      <c r="F133" s="76" t="s">
        <v>194</v>
      </c>
      <c r="G133" s="76"/>
      <c r="H133" s="76" t="s">
        <v>282</v>
      </c>
      <c r="I133" s="78">
        <v>45922</v>
      </c>
      <c r="J133" s="78">
        <v>45912</v>
      </c>
      <c r="K133" s="77">
        <v>-68</v>
      </c>
      <c r="L133" s="77">
        <v>-78</v>
      </c>
    </row>
    <row r="134" spans="1:12" ht="22.5">
      <c r="A134" s="76" t="s">
        <v>515</v>
      </c>
      <c r="B134" s="76" t="s">
        <v>292</v>
      </c>
      <c r="C134" s="76" t="s">
        <v>307</v>
      </c>
      <c r="D134" s="76" t="s">
        <v>543</v>
      </c>
      <c r="E134" s="79"/>
      <c r="F134" s="76" t="s">
        <v>194</v>
      </c>
      <c r="G134" s="76"/>
      <c r="H134" s="76" t="s">
        <v>282</v>
      </c>
      <c r="I134" s="78">
        <v>45922</v>
      </c>
      <c r="J134" s="78">
        <v>45912</v>
      </c>
      <c r="K134" s="77">
        <v>-68</v>
      </c>
      <c r="L134" s="77">
        <v>-78</v>
      </c>
    </row>
    <row r="135" spans="1:12" ht="22.5">
      <c r="A135" s="76" t="s">
        <v>515</v>
      </c>
      <c r="B135" s="76" t="s">
        <v>292</v>
      </c>
      <c r="C135" s="76" t="s">
        <v>307</v>
      </c>
      <c r="D135" s="76" t="s">
        <v>544</v>
      </c>
      <c r="E135" s="77">
        <v>20.178999999999998</v>
      </c>
      <c r="F135" s="76" t="s">
        <v>894</v>
      </c>
      <c r="G135" s="76"/>
      <c r="H135" s="76" t="s">
        <v>282</v>
      </c>
      <c r="I135" s="78">
        <v>45922</v>
      </c>
      <c r="J135" s="78">
        <v>45912</v>
      </c>
      <c r="K135" s="77">
        <v>-68</v>
      </c>
      <c r="L135" s="77">
        <v>-78</v>
      </c>
    </row>
    <row r="136" spans="1:12" ht="22.5">
      <c r="A136" s="76" t="s">
        <v>515</v>
      </c>
      <c r="B136" s="76" t="s">
        <v>545</v>
      </c>
      <c r="C136" s="76" t="s">
        <v>307</v>
      </c>
      <c r="D136" s="76" t="s">
        <v>546</v>
      </c>
      <c r="E136" s="77">
        <v>15.426</v>
      </c>
      <c r="F136" s="76" t="s">
        <v>894</v>
      </c>
      <c r="G136" s="76"/>
      <c r="H136" s="76" t="s">
        <v>282</v>
      </c>
      <c r="I136" s="78">
        <v>45922</v>
      </c>
      <c r="J136" s="78">
        <v>45912</v>
      </c>
      <c r="K136" s="77">
        <v>-68</v>
      </c>
      <c r="L136" s="77">
        <v>-78</v>
      </c>
    </row>
    <row r="137" spans="1:12" ht="22.5">
      <c r="A137" s="76" t="s">
        <v>515</v>
      </c>
      <c r="B137" s="76" t="s">
        <v>545</v>
      </c>
      <c r="C137" s="76" t="s">
        <v>307</v>
      </c>
      <c r="D137" s="76" t="s">
        <v>547</v>
      </c>
      <c r="E137" s="79"/>
      <c r="F137" s="76" t="s">
        <v>194</v>
      </c>
      <c r="G137" s="76"/>
      <c r="H137" s="76" t="s">
        <v>282</v>
      </c>
      <c r="I137" s="78">
        <v>45922</v>
      </c>
      <c r="J137" s="78">
        <v>45912</v>
      </c>
      <c r="K137" s="77">
        <v>-68</v>
      </c>
      <c r="L137" s="77">
        <v>-78</v>
      </c>
    </row>
    <row r="138" spans="1:12" ht="33.75">
      <c r="A138" s="76" t="s">
        <v>564</v>
      </c>
      <c r="B138" s="76" t="s">
        <v>565</v>
      </c>
      <c r="C138" s="76" t="s">
        <v>669</v>
      </c>
      <c r="D138" s="76" t="s">
        <v>566</v>
      </c>
      <c r="E138" s="77">
        <v>194.59200000000001</v>
      </c>
      <c r="F138" s="76" t="s">
        <v>894</v>
      </c>
      <c r="G138" s="76"/>
      <c r="H138" s="76" t="s">
        <v>1417</v>
      </c>
      <c r="I138" s="78">
        <v>45916</v>
      </c>
      <c r="J138" s="78">
        <v>45913</v>
      </c>
      <c r="K138" s="77">
        <v>-74</v>
      </c>
      <c r="L138" s="77">
        <v>-77</v>
      </c>
    </row>
    <row r="139" spans="1:12" ht="33.75">
      <c r="A139" s="76" t="s">
        <v>564</v>
      </c>
      <c r="B139" s="76" t="s">
        <v>567</v>
      </c>
      <c r="C139" s="76" t="s">
        <v>669</v>
      </c>
      <c r="D139" s="76" t="s">
        <v>568</v>
      </c>
      <c r="E139" s="77">
        <v>194.59200000000001</v>
      </c>
      <c r="F139" s="76" t="s">
        <v>894</v>
      </c>
      <c r="G139" s="76"/>
      <c r="H139" s="76" t="s">
        <v>1417</v>
      </c>
      <c r="I139" s="78">
        <v>45916</v>
      </c>
      <c r="J139" s="78">
        <v>45913</v>
      </c>
      <c r="K139" s="77">
        <v>-74</v>
      </c>
      <c r="L139" s="77">
        <v>-77</v>
      </c>
    </row>
    <row r="140" spans="1:12" ht="33.75">
      <c r="A140" s="76" t="s">
        <v>564</v>
      </c>
      <c r="B140" s="76" t="s">
        <v>569</v>
      </c>
      <c r="C140" s="76" t="s">
        <v>669</v>
      </c>
      <c r="D140" s="76" t="s">
        <v>570</v>
      </c>
      <c r="E140" s="77">
        <v>194.59200000000001</v>
      </c>
      <c r="F140" s="76" t="s">
        <v>894</v>
      </c>
      <c r="G140" s="76"/>
      <c r="H140" s="76" t="s">
        <v>1417</v>
      </c>
      <c r="I140" s="78">
        <v>45916</v>
      </c>
      <c r="J140" s="78">
        <v>45913</v>
      </c>
      <c r="K140" s="77">
        <v>-74</v>
      </c>
      <c r="L140" s="77">
        <v>-77</v>
      </c>
    </row>
    <row r="141" spans="1:12" ht="33.75">
      <c r="A141" s="76" t="s">
        <v>564</v>
      </c>
      <c r="B141" s="76" t="s">
        <v>571</v>
      </c>
      <c r="C141" s="76" t="s">
        <v>669</v>
      </c>
      <c r="D141" s="76" t="s">
        <v>572</v>
      </c>
      <c r="E141" s="77">
        <v>194.59200000000001</v>
      </c>
      <c r="F141" s="76" t="s">
        <v>894</v>
      </c>
      <c r="G141" s="76"/>
      <c r="H141" s="76" t="s">
        <v>1417</v>
      </c>
      <c r="I141" s="78">
        <v>45916</v>
      </c>
      <c r="J141" s="78">
        <v>45913</v>
      </c>
      <c r="K141" s="77">
        <v>-74</v>
      </c>
      <c r="L141" s="77">
        <v>-77</v>
      </c>
    </row>
    <row r="142" spans="1:12" ht="33.75">
      <c r="A142" s="76" t="s">
        <v>564</v>
      </c>
      <c r="B142" s="76" t="s">
        <v>573</v>
      </c>
      <c r="C142" s="76" t="s">
        <v>669</v>
      </c>
      <c r="D142" s="76" t="s">
        <v>574</v>
      </c>
      <c r="E142" s="77">
        <v>194.59200000000001</v>
      </c>
      <c r="F142" s="76" t="s">
        <v>894</v>
      </c>
      <c r="G142" s="76"/>
      <c r="H142" s="76" t="s">
        <v>1417</v>
      </c>
      <c r="I142" s="78">
        <v>45916</v>
      </c>
      <c r="J142" s="78">
        <v>45913</v>
      </c>
      <c r="K142" s="77">
        <v>-74</v>
      </c>
      <c r="L142" s="77">
        <v>-77</v>
      </c>
    </row>
    <row r="143" spans="1:12" ht="33.75">
      <c r="A143" s="76" t="s">
        <v>564</v>
      </c>
      <c r="B143" s="76" t="s">
        <v>575</v>
      </c>
      <c r="C143" s="76" t="s">
        <v>669</v>
      </c>
      <c r="D143" s="76" t="s">
        <v>576</v>
      </c>
      <c r="E143" s="77">
        <v>194.59200000000001</v>
      </c>
      <c r="F143" s="76" t="s">
        <v>894</v>
      </c>
      <c r="G143" s="76"/>
      <c r="H143" s="76" t="s">
        <v>1417</v>
      </c>
      <c r="I143" s="78">
        <v>45916</v>
      </c>
      <c r="J143" s="78">
        <v>45913</v>
      </c>
      <c r="K143" s="77">
        <v>-74</v>
      </c>
      <c r="L143" s="77">
        <v>-77</v>
      </c>
    </row>
    <row r="144" spans="1:12" ht="33.75">
      <c r="A144" s="76" t="s">
        <v>577</v>
      </c>
      <c r="B144" s="76" t="s">
        <v>285</v>
      </c>
      <c r="C144" s="76" t="s">
        <v>307</v>
      </c>
      <c r="D144" s="76" t="s">
        <v>578</v>
      </c>
      <c r="E144" s="79"/>
      <c r="F144" s="76" t="s">
        <v>194</v>
      </c>
      <c r="G144" s="76"/>
      <c r="H144" s="76" t="s">
        <v>273</v>
      </c>
      <c r="I144" s="78">
        <v>45922</v>
      </c>
      <c r="J144" s="78">
        <v>45915</v>
      </c>
      <c r="K144" s="77">
        <v>-68</v>
      </c>
      <c r="L144" s="77">
        <v>-75</v>
      </c>
    </row>
    <row r="145" spans="1:12" ht="33.75">
      <c r="A145" s="76" t="s">
        <v>580</v>
      </c>
      <c r="B145" s="76" t="s">
        <v>289</v>
      </c>
      <c r="C145" s="76" t="s">
        <v>307</v>
      </c>
      <c r="D145" s="76" t="s">
        <v>581</v>
      </c>
      <c r="E145" s="79"/>
      <c r="F145" s="76" t="s">
        <v>167</v>
      </c>
      <c r="G145" s="76"/>
      <c r="H145" s="76" t="s">
        <v>272</v>
      </c>
      <c r="I145" s="78">
        <v>45920</v>
      </c>
      <c r="J145" s="78">
        <v>45915</v>
      </c>
      <c r="K145" s="77">
        <v>-70</v>
      </c>
      <c r="L145" s="77">
        <v>-75</v>
      </c>
    </row>
    <row r="146" spans="1:12" ht="33.75">
      <c r="A146" s="76" t="s">
        <v>582</v>
      </c>
      <c r="B146" s="76" t="s">
        <v>579</v>
      </c>
      <c r="C146" s="76" t="s">
        <v>307</v>
      </c>
      <c r="D146" s="76" t="s">
        <v>583</v>
      </c>
      <c r="E146" s="79"/>
      <c r="F146" s="76" t="s">
        <v>194</v>
      </c>
      <c r="G146" s="76"/>
      <c r="H146" s="76" t="s">
        <v>273</v>
      </c>
      <c r="I146" s="78">
        <v>45923</v>
      </c>
      <c r="J146" s="78">
        <v>45916</v>
      </c>
      <c r="K146" s="77">
        <v>-67</v>
      </c>
      <c r="L146" s="77">
        <v>-74</v>
      </c>
    </row>
    <row r="147" spans="1:12" ht="33.75">
      <c r="A147" s="76" t="s">
        <v>585</v>
      </c>
      <c r="B147" s="76" t="s">
        <v>586</v>
      </c>
      <c r="C147" s="76" t="s">
        <v>307</v>
      </c>
      <c r="D147" s="76" t="s">
        <v>587</v>
      </c>
      <c r="E147" s="79"/>
      <c r="F147" s="76" t="s">
        <v>194</v>
      </c>
      <c r="G147" s="76"/>
      <c r="H147" s="76" t="s">
        <v>273</v>
      </c>
      <c r="I147" s="78">
        <v>45924</v>
      </c>
      <c r="J147" s="78">
        <v>45917</v>
      </c>
      <c r="K147" s="77">
        <v>-66</v>
      </c>
      <c r="L147" s="77">
        <v>-73</v>
      </c>
    </row>
    <row r="148" spans="1:12" ht="45">
      <c r="A148" s="76" t="s">
        <v>284</v>
      </c>
      <c r="B148" s="76" t="s">
        <v>283</v>
      </c>
      <c r="C148" s="76" t="s">
        <v>307</v>
      </c>
      <c r="D148" s="76" t="s">
        <v>584</v>
      </c>
      <c r="E148" s="79"/>
      <c r="F148" s="76" t="s">
        <v>194</v>
      </c>
      <c r="G148" s="76"/>
      <c r="H148" s="76" t="s">
        <v>273</v>
      </c>
      <c r="I148" s="78">
        <v>45924</v>
      </c>
      <c r="J148" s="78">
        <v>45917</v>
      </c>
      <c r="K148" s="77">
        <v>-66</v>
      </c>
      <c r="L148" s="77">
        <v>-73</v>
      </c>
    </row>
    <row r="149" spans="1:12" ht="22.5">
      <c r="A149" s="76" t="s">
        <v>588</v>
      </c>
      <c r="B149" s="76" t="s">
        <v>390</v>
      </c>
      <c r="C149" s="76" t="s">
        <v>307</v>
      </c>
      <c r="D149" s="76" t="s">
        <v>589</v>
      </c>
      <c r="E149" s="77">
        <v>10.342000000000001</v>
      </c>
      <c r="F149" s="76" t="s">
        <v>894</v>
      </c>
      <c r="G149" s="76"/>
      <c r="H149" s="76" t="s">
        <v>273</v>
      </c>
      <c r="I149" s="78">
        <v>45923</v>
      </c>
      <c r="J149" s="78">
        <v>45917</v>
      </c>
      <c r="K149" s="77">
        <v>-67</v>
      </c>
      <c r="L149" s="77">
        <v>-73</v>
      </c>
    </row>
    <row r="150" spans="1:12" ht="33.75">
      <c r="A150" s="76" t="s">
        <v>588</v>
      </c>
      <c r="B150" s="76" t="s">
        <v>590</v>
      </c>
      <c r="C150" s="76" t="s">
        <v>307</v>
      </c>
      <c r="D150" s="76" t="s">
        <v>591</v>
      </c>
      <c r="E150" s="77">
        <v>16.9589</v>
      </c>
      <c r="F150" s="76" t="s">
        <v>894</v>
      </c>
      <c r="G150" s="76"/>
      <c r="H150" s="76" t="s">
        <v>273</v>
      </c>
      <c r="I150" s="78">
        <v>45923</v>
      </c>
      <c r="J150" s="78">
        <v>45917</v>
      </c>
      <c r="K150" s="77">
        <v>-67</v>
      </c>
      <c r="L150" s="77">
        <v>-73</v>
      </c>
    </row>
    <row r="151" spans="1:12" ht="33.75">
      <c r="A151" s="76" t="s">
        <v>588</v>
      </c>
      <c r="B151" s="76" t="s">
        <v>410</v>
      </c>
      <c r="C151" s="76" t="s">
        <v>307</v>
      </c>
      <c r="D151" s="76" t="s">
        <v>592</v>
      </c>
      <c r="E151" s="79"/>
      <c r="F151" s="76" t="s">
        <v>194</v>
      </c>
      <c r="G151" s="76"/>
      <c r="H151" s="76" t="s">
        <v>273</v>
      </c>
      <c r="I151" s="78">
        <v>45923</v>
      </c>
      <c r="J151" s="78">
        <v>45917</v>
      </c>
      <c r="K151" s="77">
        <v>-67</v>
      </c>
      <c r="L151" s="77">
        <v>-73</v>
      </c>
    </row>
    <row r="152" spans="1:12" ht="22.5">
      <c r="A152" s="76" t="s">
        <v>588</v>
      </c>
      <c r="B152" s="76" t="s">
        <v>593</v>
      </c>
      <c r="C152" s="76" t="s">
        <v>307</v>
      </c>
      <c r="D152" s="76" t="s">
        <v>594</v>
      </c>
      <c r="E152" s="79"/>
      <c r="F152" s="76" t="s">
        <v>194</v>
      </c>
      <c r="G152" s="76"/>
      <c r="H152" s="76" t="s">
        <v>273</v>
      </c>
      <c r="I152" s="78">
        <v>45923</v>
      </c>
      <c r="J152" s="78">
        <v>45917</v>
      </c>
      <c r="K152" s="77">
        <v>-67</v>
      </c>
      <c r="L152" s="77">
        <v>-73</v>
      </c>
    </row>
    <row r="153" spans="1:12" ht="22.5">
      <c r="A153" s="76" t="s">
        <v>588</v>
      </c>
      <c r="B153" s="76" t="s">
        <v>593</v>
      </c>
      <c r="C153" s="76" t="s">
        <v>307</v>
      </c>
      <c r="D153" s="76" t="s">
        <v>595</v>
      </c>
      <c r="E153" s="79"/>
      <c r="F153" s="76" t="s">
        <v>194</v>
      </c>
      <c r="G153" s="76"/>
      <c r="H153" s="76" t="s">
        <v>273</v>
      </c>
      <c r="I153" s="78">
        <v>45923</v>
      </c>
      <c r="J153" s="78">
        <v>45917</v>
      </c>
      <c r="K153" s="77">
        <v>-67</v>
      </c>
      <c r="L153" s="77">
        <v>-73</v>
      </c>
    </row>
    <row r="154" spans="1:12" ht="33.75">
      <c r="A154" s="76" t="s">
        <v>588</v>
      </c>
      <c r="B154" s="76" t="s">
        <v>494</v>
      </c>
      <c r="C154" s="76" t="s">
        <v>307</v>
      </c>
      <c r="D154" s="76" t="s">
        <v>596</v>
      </c>
      <c r="E154" s="77">
        <v>3.24</v>
      </c>
      <c r="F154" s="76" t="s">
        <v>894</v>
      </c>
      <c r="G154" s="76"/>
      <c r="H154" s="76" t="s">
        <v>273</v>
      </c>
      <c r="I154" s="78">
        <v>45923</v>
      </c>
      <c r="J154" s="78">
        <v>45917</v>
      </c>
      <c r="K154" s="77">
        <v>-67</v>
      </c>
      <c r="L154" s="77">
        <v>-73</v>
      </c>
    </row>
    <row r="155" spans="1:12" ht="33.75">
      <c r="A155" s="76" t="s">
        <v>588</v>
      </c>
      <c r="B155" s="76" t="s">
        <v>597</v>
      </c>
      <c r="C155" s="76" t="s">
        <v>307</v>
      </c>
      <c r="D155" s="76" t="s">
        <v>598</v>
      </c>
      <c r="E155" s="77">
        <v>12.79</v>
      </c>
      <c r="F155" s="76" t="s">
        <v>894</v>
      </c>
      <c r="G155" s="76"/>
      <c r="H155" s="76" t="s">
        <v>273</v>
      </c>
      <c r="I155" s="78">
        <v>45923</v>
      </c>
      <c r="J155" s="78">
        <v>45917</v>
      </c>
      <c r="K155" s="77">
        <v>-67</v>
      </c>
      <c r="L155" s="77">
        <v>-73</v>
      </c>
    </row>
    <row r="156" spans="1:12" ht="33.75">
      <c r="A156" s="76" t="s">
        <v>588</v>
      </c>
      <c r="B156" s="76" t="s">
        <v>378</v>
      </c>
      <c r="C156" s="76" t="s">
        <v>307</v>
      </c>
      <c r="D156" s="76" t="s">
        <v>599</v>
      </c>
      <c r="E156" s="77">
        <v>10.153</v>
      </c>
      <c r="F156" s="76" t="s">
        <v>894</v>
      </c>
      <c r="G156" s="76"/>
      <c r="H156" s="76" t="s">
        <v>273</v>
      </c>
      <c r="I156" s="78">
        <v>45923</v>
      </c>
      <c r="J156" s="78">
        <v>45917</v>
      </c>
      <c r="K156" s="77">
        <v>-67</v>
      </c>
      <c r="L156" s="77">
        <v>-73</v>
      </c>
    </row>
    <row r="157" spans="1:12" ht="33.75">
      <c r="A157" s="76" t="s">
        <v>588</v>
      </c>
      <c r="B157" s="76" t="s">
        <v>489</v>
      </c>
      <c r="C157" s="76" t="s">
        <v>307</v>
      </c>
      <c r="D157" s="76" t="s">
        <v>600</v>
      </c>
      <c r="E157" s="77">
        <v>7.08</v>
      </c>
      <c r="F157" s="76" t="s">
        <v>894</v>
      </c>
      <c r="G157" s="76"/>
      <c r="H157" s="76" t="s">
        <v>273</v>
      </c>
      <c r="I157" s="78">
        <v>45923</v>
      </c>
      <c r="J157" s="78">
        <v>45917</v>
      </c>
      <c r="K157" s="77">
        <v>-67</v>
      </c>
      <c r="L157" s="77">
        <v>-73</v>
      </c>
    </row>
    <row r="158" spans="1:12" ht="22.5">
      <c r="A158" s="76" t="s">
        <v>588</v>
      </c>
      <c r="B158" s="76" t="s">
        <v>466</v>
      </c>
      <c r="C158" s="76" t="s">
        <v>307</v>
      </c>
      <c r="D158" s="76" t="s">
        <v>601</v>
      </c>
      <c r="E158" s="77">
        <v>4.8780000000000001</v>
      </c>
      <c r="F158" s="76" t="s">
        <v>894</v>
      </c>
      <c r="G158" s="76"/>
      <c r="H158" s="76" t="s">
        <v>273</v>
      </c>
      <c r="I158" s="78">
        <v>45923</v>
      </c>
      <c r="J158" s="78">
        <v>45917</v>
      </c>
      <c r="K158" s="77">
        <v>-67</v>
      </c>
      <c r="L158" s="77">
        <v>-73</v>
      </c>
    </row>
    <row r="159" spans="1:12" ht="33.75">
      <c r="A159" s="76" t="s">
        <v>588</v>
      </c>
      <c r="B159" s="76" t="s">
        <v>420</v>
      </c>
      <c r="C159" s="76" t="s">
        <v>307</v>
      </c>
      <c r="D159" s="76" t="s">
        <v>602</v>
      </c>
      <c r="E159" s="77">
        <v>7.54</v>
      </c>
      <c r="F159" s="76" t="s">
        <v>894</v>
      </c>
      <c r="G159" s="76"/>
      <c r="H159" s="76" t="s">
        <v>273</v>
      </c>
      <c r="I159" s="78">
        <v>45923</v>
      </c>
      <c r="J159" s="78">
        <v>45917</v>
      </c>
      <c r="K159" s="77">
        <v>-67</v>
      </c>
      <c r="L159" s="77">
        <v>-73</v>
      </c>
    </row>
    <row r="160" spans="1:12" ht="22.5">
      <c r="A160" s="76" t="s">
        <v>588</v>
      </c>
      <c r="B160" s="76" t="s">
        <v>603</v>
      </c>
      <c r="C160" s="76" t="s">
        <v>307</v>
      </c>
      <c r="D160" s="76" t="s">
        <v>604</v>
      </c>
      <c r="E160" s="77">
        <v>6.4109999999999996</v>
      </c>
      <c r="F160" s="76" t="s">
        <v>894</v>
      </c>
      <c r="G160" s="76"/>
      <c r="H160" s="76" t="s">
        <v>273</v>
      </c>
      <c r="I160" s="78">
        <v>45923</v>
      </c>
      <c r="J160" s="78">
        <v>45917</v>
      </c>
      <c r="K160" s="77">
        <v>-67</v>
      </c>
      <c r="L160" s="77">
        <v>-73</v>
      </c>
    </row>
    <row r="161" spans="1:12" ht="22.5">
      <c r="A161" s="76" t="s">
        <v>588</v>
      </c>
      <c r="B161" s="76" t="s">
        <v>492</v>
      </c>
      <c r="C161" s="76" t="s">
        <v>307</v>
      </c>
      <c r="D161" s="76" t="s">
        <v>605</v>
      </c>
      <c r="E161" s="77">
        <v>4.9859999999999998</v>
      </c>
      <c r="F161" s="76" t="s">
        <v>894</v>
      </c>
      <c r="G161" s="76"/>
      <c r="H161" s="76" t="s">
        <v>273</v>
      </c>
      <c r="I161" s="78">
        <v>45923</v>
      </c>
      <c r="J161" s="78">
        <v>45917</v>
      </c>
      <c r="K161" s="77">
        <v>-67</v>
      </c>
      <c r="L161" s="77">
        <v>-73</v>
      </c>
    </row>
    <row r="162" spans="1:12" ht="22.5">
      <c r="A162" s="76" t="s">
        <v>673</v>
      </c>
      <c r="B162" s="76" t="s">
        <v>674</v>
      </c>
      <c r="C162" s="76" t="s">
        <v>307</v>
      </c>
      <c r="D162" s="76" t="s">
        <v>675</v>
      </c>
      <c r="E162" s="79"/>
      <c r="F162" s="76" t="s">
        <v>194</v>
      </c>
      <c r="G162" s="76"/>
      <c r="H162" s="76" t="s">
        <v>288</v>
      </c>
      <c r="I162" s="78">
        <v>45927</v>
      </c>
      <c r="J162" s="78">
        <v>45919</v>
      </c>
      <c r="K162" s="77">
        <v>-63</v>
      </c>
      <c r="L162" s="77">
        <v>-71</v>
      </c>
    </row>
    <row r="163" spans="1:12" ht="22.5">
      <c r="A163" s="76" t="s">
        <v>670</v>
      </c>
      <c r="B163" s="76" t="s">
        <v>671</v>
      </c>
      <c r="C163" s="76" t="s">
        <v>307</v>
      </c>
      <c r="D163" s="76" t="s">
        <v>672</v>
      </c>
      <c r="E163" s="79"/>
      <c r="F163" s="76" t="s">
        <v>194</v>
      </c>
      <c r="G163" s="76"/>
      <c r="H163" s="76" t="s">
        <v>288</v>
      </c>
      <c r="I163" s="78">
        <v>45927</v>
      </c>
      <c r="J163" s="78">
        <v>45919</v>
      </c>
      <c r="K163" s="77">
        <v>-63</v>
      </c>
      <c r="L163" s="77">
        <v>-71</v>
      </c>
    </row>
    <row r="164" spans="1:12" ht="33.75">
      <c r="A164" s="76" t="s">
        <v>680</v>
      </c>
      <c r="B164" s="76" t="s">
        <v>907</v>
      </c>
      <c r="C164" s="76" t="s">
        <v>307</v>
      </c>
      <c r="D164" s="76" t="s">
        <v>681</v>
      </c>
      <c r="E164" s="79"/>
      <c r="F164" s="76" t="s">
        <v>194</v>
      </c>
      <c r="G164" s="76"/>
      <c r="H164" s="76" t="s">
        <v>272</v>
      </c>
      <c r="I164" s="78">
        <v>45927</v>
      </c>
      <c r="J164" s="78">
        <v>45920</v>
      </c>
      <c r="K164" s="77">
        <v>-63</v>
      </c>
      <c r="L164" s="77">
        <v>-70</v>
      </c>
    </row>
    <row r="165" spans="1:12" ht="33.75">
      <c r="A165" s="76" t="s">
        <v>680</v>
      </c>
      <c r="B165" s="76" t="s">
        <v>908</v>
      </c>
      <c r="C165" s="76" t="s">
        <v>307</v>
      </c>
      <c r="D165" s="76" t="s">
        <v>682</v>
      </c>
      <c r="E165" s="79"/>
      <c r="F165" s="76" t="s">
        <v>194</v>
      </c>
      <c r="G165" s="76"/>
      <c r="H165" s="76" t="s">
        <v>272</v>
      </c>
      <c r="I165" s="78">
        <v>45927</v>
      </c>
      <c r="J165" s="78">
        <v>45920</v>
      </c>
      <c r="K165" s="77">
        <v>-63</v>
      </c>
      <c r="L165" s="77">
        <v>-70</v>
      </c>
    </row>
    <row r="166" spans="1:12" ht="33.75">
      <c r="A166" s="76" t="s">
        <v>680</v>
      </c>
      <c r="B166" s="76" t="s">
        <v>1101</v>
      </c>
      <c r="C166" s="76" t="s">
        <v>307</v>
      </c>
      <c r="D166" s="76" t="s">
        <v>683</v>
      </c>
      <c r="E166" s="79"/>
      <c r="F166" s="76" t="s">
        <v>194</v>
      </c>
      <c r="G166" s="76"/>
      <c r="H166" s="76" t="s">
        <v>272</v>
      </c>
      <c r="I166" s="78">
        <v>45927</v>
      </c>
      <c r="J166" s="78">
        <v>45920</v>
      </c>
      <c r="K166" s="77">
        <v>-63</v>
      </c>
      <c r="L166" s="77">
        <v>-70</v>
      </c>
    </row>
    <row r="167" spans="1:12" ht="33.75">
      <c r="A167" s="76" t="s">
        <v>680</v>
      </c>
      <c r="B167" s="76" t="s">
        <v>909</v>
      </c>
      <c r="C167" s="76" t="s">
        <v>307</v>
      </c>
      <c r="D167" s="76" t="s">
        <v>684</v>
      </c>
      <c r="E167" s="79"/>
      <c r="F167" s="76" t="s">
        <v>194</v>
      </c>
      <c r="G167" s="76"/>
      <c r="H167" s="76" t="s">
        <v>272</v>
      </c>
      <c r="I167" s="78">
        <v>45927</v>
      </c>
      <c r="J167" s="78">
        <v>45920</v>
      </c>
      <c r="K167" s="77">
        <v>-63</v>
      </c>
      <c r="L167" s="77">
        <v>-70</v>
      </c>
    </row>
    <row r="168" spans="1:12" ht="33.75">
      <c r="A168" s="76" t="s">
        <v>680</v>
      </c>
      <c r="B168" s="76" t="s">
        <v>911</v>
      </c>
      <c r="C168" s="76" t="s">
        <v>307</v>
      </c>
      <c r="D168" s="76" t="s">
        <v>685</v>
      </c>
      <c r="E168" s="79"/>
      <c r="F168" s="76" t="s">
        <v>194</v>
      </c>
      <c r="G168" s="76"/>
      <c r="H168" s="76" t="s">
        <v>272</v>
      </c>
      <c r="I168" s="78">
        <v>45927</v>
      </c>
      <c r="J168" s="78">
        <v>45920</v>
      </c>
      <c r="K168" s="77">
        <v>-63</v>
      </c>
      <c r="L168" s="77">
        <v>-70</v>
      </c>
    </row>
    <row r="169" spans="1:12" ht="33.75">
      <c r="A169" s="76" t="s">
        <v>680</v>
      </c>
      <c r="B169" s="76" t="s">
        <v>912</v>
      </c>
      <c r="C169" s="76" t="s">
        <v>307</v>
      </c>
      <c r="D169" s="76" t="s">
        <v>686</v>
      </c>
      <c r="E169" s="79"/>
      <c r="F169" s="76" t="s">
        <v>194</v>
      </c>
      <c r="G169" s="76"/>
      <c r="H169" s="76" t="s">
        <v>272</v>
      </c>
      <c r="I169" s="78">
        <v>45927</v>
      </c>
      <c r="J169" s="78">
        <v>45920</v>
      </c>
      <c r="K169" s="77">
        <v>-63</v>
      </c>
      <c r="L169" s="77">
        <v>-70</v>
      </c>
    </row>
    <row r="170" spans="1:12" ht="33.75">
      <c r="A170" s="76" t="s">
        <v>680</v>
      </c>
      <c r="B170" s="76" t="s">
        <v>1102</v>
      </c>
      <c r="C170" s="76" t="s">
        <v>307</v>
      </c>
      <c r="D170" s="76" t="s">
        <v>687</v>
      </c>
      <c r="E170" s="79"/>
      <c r="F170" s="76" t="s">
        <v>194</v>
      </c>
      <c r="G170" s="76"/>
      <c r="H170" s="76" t="s">
        <v>272</v>
      </c>
      <c r="I170" s="78">
        <v>45927</v>
      </c>
      <c r="J170" s="78">
        <v>45920</v>
      </c>
      <c r="K170" s="77">
        <v>-63</v>
      </c>
      <c r="L170" s="77">
        <v>-70</v>
      </c>
    </row>
    <row r="171" spans="1:12" ht="45">
      <c r="A171" s="76" t="s">
        <v>688</v>
      </c>
      <c r="B171" s="76" t="s">
        <v>689</v>
      </c>
      <c r="C171" s="76" t="s">
        <v>307</v>
      </c>
      <c r="D171" s="76" t="s">
        <v>690</v>
      </c>
      <c r="E171" s="77">
        <v>21.91</v>
      </c>
      <c r="F171" s="76"/>
      <c r="G171" s="76" t="s">
        <v>192</v>
      </c>
      <c r="H171" s="76" t="s">
        <v>273</v>
      </c>
      <c r="I171" s="78">
        <v>45925</v>
      </c>
      <c r="J171" s="78">
        <v>45920</v>
      </c>
      <c r="K171" s="77">
        <v>-65</v>
      </c>
      <c r="L171" s="77">
        <v>-70</v>
      </c>
    </row>
    <row r="172" spans="1:12" ht="33.75">
      <c r="A172" s="76" t="s">
        <v>692</v>
      </c>
      <c r="B172" s="76" t="s">
        <v>336</v>
      </c>
      <c r="C172" s="76" t="s">
        <v>307</v>
      </c>
      <c r="D172" s="76" t="s">
        <v>696</v>
      </c>
      <c r="E172" s="79"/>
      <c r="F172" s="76" t="s">
        <v>194</v>
      </c>
      <c r="G172" s="76"/>
      <c r="H172" s="76" t="s">
        <v>273</v>
      </c>
      <c r="I172" s="78">
        <v>45926</v>
      </c>
      <c r="J172" s="78">
        <v>45922</v>
      </c>
      <c r="K172" s="77">
        <v>-64</v>
      </c>
      <c r="L172" s="77">
        <v>-68</v>
      </c>
    </row>
    <row r="173" spans="1:12" ht="33.75">
      <c r="A173" s="76" t="s">
        <v>692</v>
      </c>
      <c r="B173" s="76" t="s">
        <v>336</v>
      </c>
      <c r="C173" s="76" t="s">
        <v>307</v>
      </c>
      <c r="D173" s="76" t="s">
        <v>693</v>
      </c>
      <c r="E173" s="79"/>
      <c r="F173" s="76" t="s">
        <v>194</v>
      </c>
      <c r="G173" s="76"/>
      <c r="H173" s="76" t="s">
        <v>273</v>
      </c>
      <c r="I173" s="78">
        <v>45926</v>
      </c>
      <c r="J173" s="78">
        <v>45922</v>
      </c>
      <c r="K173" s="77">
        <v>-64</v>
      </c>
      <c r="L173" s="77">
        <v>-68</v>
      </c>
    </row>
    <row r="174" spans="1:12" ht="22.5">
      <c r="A174" s="76" t="s">
        <v>697</v>
      </c>
      <c r="B174" s="76" t="s">
        <v>698</v>
      </c>
      <c r="C174" s="76" t="s">
        <v>307</v>
      </c>
      <c r="D174" s="76" t="s">
        <v>699</v>
      </c>
      <c r="E174" s="79"/>
      <c r="F174" s="76" t="s">
        <v>194</v>
      </c>
      <c r="G174" s="76"/>
      <c r="H174" s="76" t="s">
        <v>272</v>
      </c>
      <c r="I174" s="78">
        <v>45930</v>
      </c>
      <c r="J174" s="78">
        <v>45922</v>
      </c>
      <c r="K174" s="77">
        <v>-60</v>
      </c>
      <c r="L174" s="77">
        <v>-68</v>
      </c>
    </row>
    <row r="175" spans="1:12" ht="22.5">
      <c r="A175" s="76" t="s">
        <v>697</v>
      </c>
      <c r="B175" s="76" t="s">
        <v>698</v>
      </c>
      <c r="C175" s="76" t="s">
        <v>307</v>
      </c>
      <c r="D175" s="76" t="s">
        <v>700</v>
      </c>
      <c r="E175" s="79"/>
      <c r="F175" s="76" t="s">
        <v>194</v>
      </c>
      <c r="G175" s="76"/>
      <c r="H175" s="76" t="s">
        <v>272</v>
      </c>
      <c r="I175" s="78">
        <v>45930</v>
      </c>
      <c r="J175" s="78">
        <v>45922</v>
      </c>
      <c r="K175" s="77">
        <v>-60</v>
      </c>
      <c r="L175" s="77">
        <v>-68</v>
      </c>
    </row>
    <row r="176" spans="1:12" ht="33.75">
      <c r="A176" s="76" t="s">
        <v>691</v>
      </c>
      <c r="B176" s="76" t="s">
        <v>438</v>
      </c>
      <c r="C176" s="76" t="s">
        <v>307</v>
      </c>
      <c r="D176" s="76" t="s">
        <v>694</v>
      </c>
      <c r="E176" s="79"/>
      <c r="F176" s="76" t="s">
        <v>194</v>
      </c>
      <c r="G176" s="76"/>
      <c r="H176" s="76" t="s">
        <v>273</v>
      </c>
      <c r="I176" s="78">
        <v>45930</v>
      </c>
      <c r="J176" s="78">
        <v>45922</v>
      </c>
      <c r="K176" s="77">
        <v>-60</v>
      </c>
      <c r="L176" s="77">
        <v>-68</v>
      </c>
    </row>
    <row r="177" spans="1:12" ht="22.5">
      <c r="A177" s="76" t="s">
        <v>702</v>
      </c>
      <c r="B177" s="76" t="s">
        <v>476</v>
      </c>
      <c r="C177" s="76" t="s">
        <v>307</v>
      </c>
      <c r="D177" s="76" t="s">
        <v>707</v>
      </c>
      <c r="E177" s="77">
        <v>7.2729999999999997</v>
      </c>
      <c r="F177" s="76" t="s">
        <v>894</v>
      </c>
      <c r="G177" s="76"/>
      <c r="H177" s="76" t="s">
        <v>273</v>
      </c>
      <c r="I177" s="78">
        <v>45927</v>
      </c>
      <c r="J177" s="78">
        <v>45923</v>
      </c>
      <c r="K177" s="77">
        <v>-63</v>
      </c>
      <c r="L177" s="77">
        <v>-67</v>
      </c>
    </row>
    <row r="178" spans="1:12" ht="33.75">
      <c r="A178" s="76" t="s">
        <v>702</v>
      </c>
      <c r="B178" s="76" t="s">
        <v>388</v>
      </c>
      <c r="C178" s="76" t="s">
        <v>307</v>
      </c>
      <c r="D178" s="76" t="s">
        <v>703</v>
      </c>
      <c r="E178" s="77">
        <v>16.285</v>
      </c>
      <c r="F178" s="76" t="s">
        <v>894</v>
      </c>
      <c r="G178" s="76"/>
      <c r="H178" s="76" t="s">
        <v>273</v>
      </c>
      <c r="I178" s="78">
        <v>45927</v>
      </c>
      <c r="J178" s="78">
        <v>45923</v>
      </c>
      <c r="K178" s="77">
        <v>-63</v>
      </c>
      <c r="L178" s="77">
        <v>-67</v>
      </c>
    </row>
    <row r="179" spans="1:12" ht="45">
      <c r="A179" s="76" t="s">
        <v>704</v>
      </c>
      <c r="B179" s="76" t="s">
        <v>329</v>
      </c>
      <c r="C179" s="76" t="s">
        <v>307</v>
      </c>
      <c r="D179" s="76" t="s">
        <v>710</v>
      </c>
      <c r="E179" s="77">
        <v>7.66</v>
      </c>
      <c r="F179" s="76"/>
      <c r="G179" s="76" t="s">
        <v>222</v>
      </c>
      <c r="H179" s="76" t="s">
        <v>273</v>
      </c>
      <c r="I179" s="78">
        <v>45930</v>
      </c>
      <c r="J179" s="78">
        <v>45923</v>
      </c>
      <c r="K179" s="77">
        <v>-60</v>
      </c>
      <c r="L179" s="77">
        <v>-67</v>
      </c>
    </row>
    <row r="180" spans="1:12" ht="22.5">
      <c r="A180" s="76" t="s">
        <v>708</v>
      </c>
      <c r="B180" s="76" t="s">
        <v>327</v>
      </c>
      <c r="C180" s="76" t="s">
        <v>307</v>
      </c>
      <c r="D180" s="76" t="s">
        <v>709</v>
      </c>
      <c r="E180" s="77">
        <v>39.01</v>
      </c>
      <c r="F180" s="76" t="s">
        <v>85</v>
      </c>
      <c r="G180" s="76"/>
      <c r="H180" s="76" t="s">
        <v>273</v>
      </c>
      <c r="I180" s="78">
        <v>45930</v>
      </c>
      <c r="J180" s="78">
        <v>45923</v>
      </c>
      <c r="K180" s="77">
        <v>-60</v>
      </c>
      <c r="L180" s="77">
        <v>-67</v>
      </c>
    </row>
    <row r="181" spans="1:12" ht="45">
      <c r="A181" s="76" t="s">
        <v>701</v>
      </c>
      <c r="B181" s="76" t="s">
        <v>455</v>
      </c>
      <c r="C181" s="76" t="s">
        <v>307</v>
      </c>
      <c r="D181" s="76" t="s">
        <v>711</v>
      </c>
      <c r="E181" s="79"/>
      <c r="F181" s="76"/>
      <c r="G181" s="76" t="s">
        <v>202</v>
      </c>
      <c r="H181" s="76" t="s">
        <v>273</v>
      </c>
      <c r="I181" s="78">
        <v>45930</v>
      </c>
      <c r="J181" s="78">
        <v>45923</v>
      </c>
      <c r="K181" s="77">
        <v>-60</v>
      </c>
      <c r="L181" s="77">
        <v>-67</v>
      </c>
    </row>
    <row r="182" spans="1:12" ht="33.75">
      <c r="A182" s="76" t="s">
        <v>720</v>
      </c>
      <c r="B182" s="76" t="s">
        <v>721</v>
      </c>
      <c r="C182" s="76" t="s">
        <v>307</v>
      </c>
      <c r="D182" s="76" t="s">
        <v>722</v>
      </c>
      <c r="E182" s="77">
        <v>79.14</v>
      </c>
      <c r="F182" s="76" t="s">
        <v>66</v>
      </c>
      <c r="G182" s="76"/>
      <c r="H182" s="76" t="s">
        <v>273</v>
      </c>
      <c r="I182" s="78">
        <v>45937</v>
      </c>
      <c r="J182" s="78">
        <v>45924</v>
      </c>
      <c r="K182" s="77">
        <v>-53</v>
      </c>
      <c r="L182" s="77">
        <v>-66</v>
      </c>
    </row>
    <row r="183" spans="1:12" ht="22.5">
      <c r="A183" s="76" t="s">
        <v>715</v>
      </c>
      <c r="B183" s="76" t="s">
        <v>716</v>
      </c>
      <c r="C183" s="76" t="s">
        <v>307</v>
      </c>
      <c r="D183" s="76" t="s">
        <v>717</v>
      </c>
      <c r="E183" s="77">
        <v>1.873</v>
      </c>
      <c r="F183" s="76" t="s">
        <v>894</v>
      </c>
      <c r="G183" s="76"/>
      <c r="H183" s="76" t="s">
        <v>273</v>
      </c>
      <c r="I183" s="78">
        <v>45930</v>
      </c>
      <c r="J183" s="78">
        <v>45924</v>
      </c>
      <c r="K183" s="77">
        <v>-60</v>
      </c>
      <c r="L183" s="77">
        <v>-66</v>
      </c>
    </row>
    <row r="184" spans="1:12" ht="33.75">
      <c r="A184" s="76" t="s">
        <v>712</v>
      </c>
      <c r="B184" s="76" t="s">
        <v>913</v>
      </c>
      <c r="C184" s="76" t="s">
        <v>307</v>
      </c>
      <c r="D184" s="76" t="s">
        <v>713</v>
      </c>
      <c r="E184" s="79"/>
      <c r="F184" s="76" t="s">
        <v>194</v>
      </c>
      <c r="G184" s="76"/>
      <c r="H184" s="76" t="s">
        <v>272</v>
      </c>
      <c r="I184" s="78">
        <v>45934</v>
      </c>
      <c r="J184" s="78">
        <v>45925</v>
      </c>
      <c r="K184" s="77">
        <v>-56</v>
      </c>
      <c r="L184" s="77">
        <v>-65</v>
      </c>
    </row>
    <row r="185" spans="1:12" ht="45">
      <c r="A185" s="76" t="s">
        <v>723</v>
      </c>
      <c r="B185" s="76" t="s">
        <v>724</v>
      </c>
      <c r="C185" s="76" t="s">
        <v>307</v>
      </c>
      <c r="D185" s="76" t="s">
        <v>725</v>
      </c>
      <c r="E185" s="79"/>
      <c r="F185" s="76"/>
      <c r="G185" s="76" t="s">
        <v>201</v>
      </c>
      <c r="H185" s="76" t="s">
        <v>272</v>
      </c>
      <c r="I185" s="78">
        <v>45932</v>
      </c>
      <c r="J185" s="78">
        <v>45925</v>
      </c>
      <c r="K185" s="77">
        <v>-58</v>
      </c>
      <c r="L185" s="77">
        <v>-65</v>
      </c>
    </row>
    <row r="186" spans="1:12" ht="33.75">
      <c r="A186" s="76" t="s">
        <v>730</v>
      </c>
      <c r="B186" s="76" t="s">
        <v>911</v>
      </c>
      <c r="C186" s="76" t="s">
        <v>307</v>
      </c>
      <c r="D186" s="76" t="s">
        <v>731</v>
      </c>
      <c r="E186" s="79"/>
      <c r="F186" s="76" t="s">
        <v>194</v>
      </c>
      <c r="G186" s="76"/>
      <c r="H186" s="76" t="s">
        <v>272</v>
      </c>
      <c r="I186" s="78">
        <v>45934</v>
      </c>
      <c r="J186" s="78">
        <v>45926</v>
      </c>
      <c r="K186" s="77">
        <v>-56</v>
      </c>
      <c r="L186" s="77">
        <v>-64</v>
      </c>
    </row>
    <row r="187" spans="1:12" ht="33.75">
      <c r="A187" s="76" t="s">
        <v>730</v>
      </c>
      <c r="B187" s="76" t="s">
        <v>910</v>
      </c>
      <c r="C187" s="76" t="s">
        <v>307</v>
      </c>
      <c r="D187" s="76" t="s">
        <v>732</v>
      </c>
      <c r="E187" s="79"/>
      <c r="F187" s="76" t="s">
        <v>194</v>
      </c>
      <c r="G187" s="76"/>
      <c r="H187" s="76" t="s">
        <v>272</v>
      </c>
      <c r="I187" s="78">
        <v>45934</v>
      </c>
      <c r="J187" s="78">
        <v>45926</v>
      </c>
      <c r="K187" s="77">
        <v>-56</v>
      </c>
      <c r="L187" s="77">
        <v>-64</v>
      </c>
    </row>
    <row r="188" spans="1:12" ht="22.5">
      <c r="A188" s="76" t="s">
        <v>733</v>
      </c>
      <c r="B188" s="76" t="s">
        <v>456</v>
      </c>
      <c r="C188" s="76" t="s">
        <v>307</v>
      </c>
      <c r="D188" s="76" t="s">
        <v>734</v>
      </c>
      <c r="E188" s="79"/>
      <c r="F188" s="76" t="s">
        <v>194</v>
      </c>
      <c r="G188" s="76"/>
      <c r="H188" s="76" t="s">
        <v>273</v>
      </c>
      <c r="I188" s="78">
        <v>45936</v>
      </c>
      <c r="J188" s="78">
        <v>45926</v>
      </c>
      <c r="K188" s="77">
        <v>-54</v>
      </c>
      <c r="L188" s="77">
        <v>-64</v>
      </c>
    </row>
    <row r="189" spans="1:12" ht="22.5">
      <c r="A189" s="76" t="s">
        <v>727</v>
      </c>
      <c r="B189" s="76" t="s">
        <v>728</v>
      </c>
      <c r="C189" s="76" t="s">
        <v>307</v>
      </c>
      <c r="D189" s="76" t="s">
        <v>729</v>
      </c>
      <c r="E189" s="79"/>
      <c r="F189" s="76" t="s">
        <v>194</v>
      </c>
      <c r="G189" s="76"/>
      <c r="H189" s="76" t="s">
        <v>273</v>
      </c>
      <c r="I189" s="78">
        <v>45926</v>
      </c>
      <c r="J189" s="78">
        <v>45926</v>
      </c>
      <c r="K189" s="77">
        <v>-64</v>
      </c>
      <c r="L189" s="77">
        <v>-64</v>
      </c>
    </row>
    <row r="190" spans="1:12" ht="33.75">
      <c r="A190" s="76" t="s">
        <v>772</v>
      </c>
      <c r="B190" s="76" t="s">
        <v>361</v>
      </c>
      <c r="C190" s="76" t="s">
        <v>307</v>
      </c>
      <c r="D190" s="76" t="s">
        <v>773</v>
      </c>
      <c r="E190" s="79"/>
      <c r="F190" s="76" t="s">
        <v>194</v>
      </c>
      <c r="G190" s="76"/>
      <c r="H190" s="76" t="s">
        <v>273</v>
      </c>
      <c r="I190" s="78">
        <v>45931</v>
      </c>
      <c r="J190" s="78">
        <v>45927</v>
      </c>
      <c r="K190" s="77">
        <v>-59</v>
      </c>
      <c r="L190" s="77">
        <v>-63</v>
      </c>
    </row>
    <row r="191" spans="1:12" ht="45">
      <c r="A191" s="76" t="s">
        <v>736</v>
      </c>
      <c r="B191" s="76" t="s">
        <v>737</v>
      </c>
      <c r="C191" s="76" t="s">
        <v>307</v>
      </c>
      <c r="D191" s="76" t="s">
        <v>738</v>
      </c>
      <c r="E191" s="79"/>
      <c r="F191" s="76"/>
      <c r="G191" s="76" t="s">
        <v>202</v>
      </c>
      <c r="H191" s="76" t="s">
        <v>273</v>
      </c>
      <c r="I191" s="78">
        <v>45934</v>
      </c>
      <c r="J191" s="78">
        <v>45927</v>
      </c>
      <c r="K191" s="77">
        <v>-56</v>
      </c>
      <c r="L191" s="77">
        <v>-63</v>
      </c>
    </row>
    <row r="192" spans="1:12" ht="22.5">
      <c r="A192" s="76" t="s">
        <v>736</v>
      </c>
      <c r="B192" s="76" t="s">
        <v>739</v>
      </c>
      <c r="C192" s="76" t="s">
        <v>307</v>
      </c>
      <c r="D192" s="76" t="s">
        <v>740</v>
      </c>
      <c r="E192" s="77">
        <v>49.25</v>
      </c>
      <c r="F192" s="76" t="s">
        <v>85</v>
      </c>
      <c r="G192" s="76"/>
      <c r="H192" s="76" t="s">
        <v>273</v>
      </c>
      <c r="I192" s="78">
        <v>45934</v>
      </c>
      <c r="J192" s="78">
        <v>45927</v>
      </c>
      <c r="K192" s="77">
        <v>-56</v>
      </c>
      <c r="L192" s="77">
        <v>-63</v>
      </c>
    </row>
    <row r="193" spans="1:12" ht="22.5">
      <c r="A193" s="76" t="s">
        <v>736</v>
      </c>
      <c r="B193" s="76" t="s">
        <v>741</v>
      </c>
      <c r="C193" s="76" t="s">
        <v>307</v>
      </c>
      <c r="D193" s="76" t="s">
        <v>742</v>
      </c>
      <c r="E193" s="77">
        <v>76.19</v>
      </c>
      <c r="F193" s="76" t="s">
        <v>66</v>
      </c>
      <c r="G193" s="76"/>
      <c r="H193" s="76" t="s">
        <v>273</v>
      </c>
      <c r="I193" s="78">
        <v>45934</v>
      </c>
      <c r="J193" s="78">
        <v>45927</v>
      </c>
      <c r="K193" s="77">
        <v>-56</v>
      </c>
      <c r="L193" s="77">
        <v>-63</v>
      </c>
    </row>
    <row r="194" spans="1:12" ht="45">
      <c r="A194" s="76" t="s">
        <v>736</v>
      </c>
      <c r="B194" s="76" t="s">
        <v>743</v>
      </c>
      <c r="C194" s="76" t="s">
        <v>307</v>
      </c>
      <c r="D194" s="76" t="s">
        <v>744</v>
      </c>
      <c r="E194" s="79"/>
      <c r="F194" s="76"/>
      <c r="G194" s="76" t="s">
        <v>202</v>
      </c>
      <c r="H194" s="76" t="s">
        <v>273</v>
      </c>
      <c r="I194" s="78">
        <v>45934</v>
      </c>
      <c r="J194" s="78">
        <v>45927</v>
      </c>
      <c r="K194" s="77">
        <v>-56</v>
      </c>
      <c r="L194" s="77">
        <v>-63</v>
      </c>
    </row>
    <row r="195" spans="1:12" ht="45">
      <c r="A195" s="76" t="s">
        <v>736</v>
      </c>
      <c r="B195" s="76" t="s">
        <v>745</v>
      </c>
      <c r="C195" s="76" t="s">
        <v>307</v>
      </c>
      <c r="D195" s="76" t="s">
        <v>746</v>
      </c>
      <c r="E195" s="79"/>
      <c r="F195" s="76"/>
      <c r="G195" s="76" t="s">
        <v>202</v>
      </c>
      <c r="H195" s="76" t="s">
        <v>273</v>
      </c>
      <c r="I195" s="78">
        <v>45934</v>
      </c>
      <c r="J195" s="78">
        <v>45927</v>
      </c>
      <c r="K195" s="77">
        <v>-56</v>
      </c>
      <c r="L195" s="77">
        <v>-63</v>
      </c>
    </row>
    <row r="196" spans="1:12" ht="45">
      <c r="A196" s="76" t="s">
        <v>736</v>
      </c>
      <c r="B196" s="76" t="s">
        <v>747</v>
      </c>
      <c r="C196" s="76" t="s">
        <v>307</v>
      </c>
      <c r="D196" s="76" t="s">
        <v>748</v>
      </c>
      <c r="E196" s="79"/>
      <c r="F196" s="76"/>
      <c r="G196" s="76" t="s">
        <v>202</v>
      </c>
      <c r="H196" s="76" t="s">
        <v>273</v>
      </c>
      <c r="I196" s="78">
        <v>45934</v>
      </c>
      <c r="J196" s="78">
        <v>45927</v>
      </c>
      <c r="K196" s="77">
        <v>-56</v>
      </c>
      <c r="L196" s="77">
        <v>-63</v>
      </c>
    </row>
    <row r="197" spans="1:12" ht="45">
      <c r="A197" s="76" t="s">
        <v>736</v>
      </c>
      <c r="B197" s="76" t="s">
        <v>749</v>
      </c>
      <c r="C197" s="76" t="s">
        <v>307</v>
      </c>
      <c r="D197" s="76" t="s">
        <v>750</v>
      </c>
      <c r="E197" s="79"/>
      <c r="F197" s="76"/>
      <c r="G197" s="76" t="s">
        <v>202</v>
      </c>
      <c r="H197" s="76" t="s">
        <v>273</v>
      </c>
      <c r="I197" s="78">
        <v>45934</v>
      </c>
      <c r="J197" s="78">
        <v>45927</v>
      </c>
      <c r="K197" s="77">
        <v>-56</v>
      </c>
      <c r="L197" s="77">
        <v>-63</v>
      </c>
    </row>
    <row r="198" spans="1:12" ht="45">
      <c r="A198" s="76" t="s">
        <v>736</v>
      </c>
      <c r="B198" s="76" t="s">
        <v>751</v>
      </c>
      <c r="C198" s="76" t="s">
        <v>307</v>
      </c>
      <c r="D198" s="76" t="s">
        <v>752</v>
      </c>
      <c r="E198" s="79"/>
      <c r="F198" s="76"/>
      <c r="G198" s="76" t="s">
        <v>202</v>
      </c>
      <c r="H198" s="76" t="s">
        <v>273</v>
      </c>
      <c r="I198" s="78">
        <v>45934</v>
      </c>
      <c r="J198" s="78">
        <v>45927</v>
      </c>
      <c r="K198" s="77">
        <v>-56</v>
      </c>
      <c r="L198" s="77">
        <v>-63</v>
      </c>
    </row>
    <row r="199" spans="1:12" ht="45">
      <c r="A199" s="76" t="s">
        <v>736</v>
      </c>
      <c r="B199" s="76" t="s">
        <v>753</v>
      </c>
      <c r="C199" s="76" t="s">
        <v>307</v>
      </c>
      <c r="D199" s="76" t="s">
        <v>754</v>
      </c>
      <c r="E199" s="77">
        <v>48.11</v>
      </c>
      <c r="F199" s="76"/>
      <c r="G199" s="76" t="s">
        <v>202</v>
      </c>
      <c r="H199" s="76" t="s">
        <v>273</v>
      </c>
      <c r="I199" s="78">
        <v>45934</v>
      </c>
      <c r="J199" s="78">
        <v>45927</v>
      </c>
      <c r="K199" s="77">
        <v>-56</v>
      </c>
      <c r="L199" s="77">
        <v>-63</v>
      </c>
    </row>
    <row r="200" spans="1:12" ht="45">
      <c r="A200" s="76" t="s">
        <v>736</v>
      </c>
      <c r="B200" s="76" t="s">
        <v>755</v>
      </c>
      <c r="C200" s="76" t="s">
        <v>307</v>
      </c>
      <c r="D200" s="76" t="s">
        <v>756</v>
      </c>
      <c r="E200" s="79"/>
      <c r="F200" s="76"/>
      <c r="G200" s="76" t="s">
        <v>202</v>
      </c>
      <c r="H200" s="76" t="s">
        <v>273</v>
      </c>
      <c r="I200" s="78">
        <v>45934</v>
      </c>
      <c r="J200" s="78">
        <v>45927</v>
      </c>
      <c r="K200" s="77">
        <v>-56</v>
      </c>
      <c r="L200" s="77">
        <v>-63</v>
      </c>
    </row>
    <row r="201" spans="1:12" ht="45">
      <c r="A201" s="76" t="s">
        <v>757</v>
      </c>
      <c r="B201" s="76" t="s">
        <v>758</v>
      </c>
      <c r="C201" s="76" t="s">
        <v>307</v>
      </c>
      <c r="D201" s="76" t="s">
        <v>759</v>
      </c>
      <c r="E201" s="79"/>
      <c r="F201" s="76"/>
      <c r="G201" s="76" t="s">
        <v>202</v>
      </c>
      <c r="H201" s="76" t="s">
        <v>273</v>
      </c>
      <c r="I201" s="78">
        <v>45934</v>
      </c>
      <c r="J201" s="78">
        <v>45927</v>
      </c>
      <c r="K201" s="77">
        <v>-56</v>
      </c>
      <c r="L201" s="77">
        <v>-63</v>
      </c>
    </row>
    <row r="202" spans="1:12" ht="45">
      <c r="A202" s="76" t="s">
        <v>757</v>
      </c>
      <c r="B202" s="76" t="s">
        <v>760</v>
      </c>
      <c r="C202" s="76" t="s">
        <v>307</v>
      </c>
      <c r="D202" s="76" t="s">
        <v>761</v>
      </c>
      <c r="E202" s="79"/>
      <c r="F202" s="76"/>
      <c r="G202" s="76" t="s">
        <v>202</v>
      </c>
      <c r="H202" s="76" t="s">
        <v>273</v>
      </c>
      <c r="I202" s="78">
        <v>45934</v>
      </c>
      <c r="J202" s="78">
        <v>45927</v>
      </c>
      <c r="K202" s="77">
        <v>-56</v>
      </c>
      <c r="L202" s="77">
        <v>-63</v>
      </c>
    </row>
    <row r="203" spans="1:12" ht="45">
      <c r="A203" s="76" t="s">
        <v>757</v>
      </c>
      <c r="B203" s="76" t="s">
        <v>762</v>
      </c>
      <c r="C203" s="76" t="s">
        <v>307</v>
      </c>
      <c r="D203" s="76" t="s">
        <v>763</v>
      </c>
      <c r="E203" s="79"/>
      <c r="F203" s="76"/>
      <c r="G203" s="76" t="s">
        <v>202</v>
      </c>
      <c r="H203" s="76" t="s">
        <v>273</v>
      </c>
      <c r="I203" s="78">
        <v>45934</v>
      </c>
      <c r="J203" s="78">
        <v>45927</v>
      </c>
      <c r="K203" s="77">
        <v>-56</v>
      </c>
      <c r="L203" s="77">
        <v>-63</v>
      </c>
    </row>
    <row r="204" spans="1:12" ht="45">
      <c r="A204" s="76" t="s">
        <v>757</v>
      </c>
      <c r="B204" s="76" t="s">
        <v>764</v>
      </c>
      <c r="C204" s="76" t="s">
        <v>307</v>
      </c>
      <c r="D204" s="76" t="s">
        <v>765</v>
      </c>
      <c r="E204" s="79"/>
      <c r="F204" s="76"/>
      <c r="G204" s="76" t="s">
        <v>202</v>
      </c>
      <c r="H204" s="76" t="s">
        <v>273</v>
      </c>
      <c r="I204" s="78">
        <v>45934</v>
      </c>
      <c r="J204" s="78">
        <v>45927</v>
      </c>
      <c r="K204" s="77">
        <v>-56</v>
      </c>
      <c r="L204" s="77">
        <v>-63</v>
      </c>
    </row>
    <row r="205" spans="1:12" ht="33.75">
      <c r="A205" s="76" t="s">
        <v>766</v>
      </c>
      <c r="B205" s="76" t="s">
        <v>767</v>
      </c>
      <c r="C205" s="76" t="s">
        <v>307</v>
      </c>
      <c r="D205" s="76" t="s">
        <v>840</v>
      </c>
      <c r="E205" s="79"/>
      <c r="F205" s="76" t="s">
        <v>870</v>
      </c>
      <c r="G205" s="76"/>
      <c r="H205" s="76" t="s">
        <v>282</v>
      </c>
      <c r="I205" s="78">
        <v>45932</v>
      </c>
      <c r="J205" s="78">
        <v>45927</v>
      </c>
      <c r="K205" s="77">
        <v>-58</v>
      </c>
      <c r="L205" s="77">
        <v>-63</v>
      </c>
    </row>
    <row r="206" spans="1:12" ht="22.5">
      <c r="A206" s="76" t="s">
        <v>768</v>
      </c>
      <c r="B206" s="76" t="s">
        <v>769</v>
      </c>
      <c r="C206" s="76" t="s">
        <v>307</v>
      </c>
      <c r="D206" s="76" t="s">
        <v>770</v>
      </c>
      <c r="E206" s="77">
        <v>9.2899999999999991</v>
      </c>
      <c r="F206" s="76" t="s">
        <v>196</v>
      </c>
      <c r="G206" s="76"/>
      <c r="H206" s="76" t="s">
        <v>273</v>
      </c>
      <c r="I206" s="78">
        <v>45933</v>
      </c>
      <c r="J206" s="78">
        <v>45927</v>
      </c>
      <c r="K206" s="77">
        <v>-57</v>
      </c>
      <c r="L206" s="77">
        <v>-63</v>
      </c>
    </row>
    <row r="207" spans="1:12" ht="33.75">
      <c r="A207" s="76" t="s">
        <v>777</v>
      </c>
      <c r="B207" s="76" t="s">
        <v>778</v>
      </c>
      <c r="C207" s="76" t="s">
        <v>779</v>
      </c>
      <c r="D207" s="76" t="s">
        <v>780</v>
      </c>
      <c r="E207" s="77">
        <v>539.65800000000002</v>
      </c>
      <c r="F207" s="76" t="s">
        <v>894</v>
      </c>
      <c r="G207" s="76"/>
      <c r="H207" s="76" t="s">
        <v>273</v>
      </c>
      <c r="I207" s="78">
        <v>45933</v>
      </c>
      <c r="J207" s="78">
        <v>45929</v>
      </c>
      <c r="K207" s="77">
        <v>-57</v>
      </c>
      <c r="L207" s="77">
        <v>-61</v>
      </c>
    </row>
    <row r="208" spans="1:12" ht="33.75">
      <c r="A208" s="76" t="s">
        <v>777</v>
      </c>
      <c r="B208" s="76" t="s">
        <v>793</v>
      </c>
      <c r="C208" s="76" t="s">
        <v>794</v>
      </c>
      <c r="D208" s="76" t="s">
        <v>795</v>
      </c>
      <c r="E208" s="77">
        <v>882.96</v>
      </c>
      <c r="F208" s="76" t="s">
        <v>57</v>
      </c>
      <c r="G208" s="76"/>
      <c r="H208" s="76" t="s">
        <v>273</v>
      </c>
      <c r="I208" s="78">
        <v>45933</v>
      </c>
      <c r="J208" s="78">
        <v>45929</v>
      </c>
      <c r="K208" s="77">
        <v>-57</v>
      </c>
      <c r="L208" s="77">
        <v>-61</v>
      </c>
    </row>
    <row r="209" spans="1:12" ht="33.75">
      <c r="A209" s="76" t="s">
        <v>777</v>
      </c>
      <c r="B209" s="76" t="s">
        <v>781</v>
      </c>
      <c r="C209" s="76" t="s">
        <v>779</v>
      </c>
      <c r="D209" s="76" t="s">
        <v>782</v>
      </c>
      <c r="E209" s="77">
        <v>539.65800000000002</v>
      </c>
      <c r="F209" s="76" t="s">
        <v>894</v>
      </c>
      <c r="G209" s="76"/>
      <c r="H209" s="76" t="s">
        <v>273</v>
      </c>
      <c r="I209" s="78">
        <v>45933</v>
      </c>
      <c r="J209" s="78">
        <v>45929</v>
      </c>
      <c r="K209" s="77">
        <v>-57</v>
      </c>
      <c r="L209" s="77">
        <v>-61</v>
      </c>
    </row>
    <row r="210" spans="1:12" ht="33.75">
      <c r="A210" s="76" t="s">
        <v>777</v>
      </c>
      <c r="B210" s="76" t="s">
        <v>796</v>
      </c>
      <c r="C210" s="76" t="s">
        <v>794</v>
      </c>
      <c r="D210" s="76" t="s">
        <v>797</v>
      </c>
      <c r="E210" s="77">
        <v>882.96</v>
      </c>
      <c r="F210" s="76" t="s">
        <v>57</v>
      </c>
      <c r="G210" s="76"/>
      <c r="H210" s="76" t="s">
        <v>273</v>
      </c>
      <c r="I210" s="78">
        <v>45933</v>
      </c>
      <c r="J210" s="78">
        <v>45929</v>
      </c>
      <c r="K210" s="77">
        <v>-57</v>
      </c>
      <c r="L210" s="77">
        <v>-61</v>
      </c>
    </row>
    <row r="211" spans="1:12" ht="33.75">
      <c r="A211" s="76" t="s">
        <v>777</v>
      </c>
      <c r="B211" s="76" t="s">
        <v>798</v>
      </c>
      <c r="C211" s="76" t="s">
        <v>794</v>
      </c>
      <c r="D211" s="76" t="s">
        <v>799</v>
      </c>
      <c r="E211" s="77">
        <v>882.96</v>
      </c>
      <c r="F211" s="76" t="s">
        <v>57</v>
      </c>
      <c r="G211" s="76"/>
      <c r="H211" s="76" t="s">
        <v>273</v>
      </c>
      <c r="I211" s="78">
        <v>45933</v>
      </c>
      <c r="J211" s="78">
        <v>45929</v>
      </c>
      <c r="K211" s="77">
        <v>-57</v>
      </c>
      <c r="L211" s="77">
        <v>-61</v>
      </c>
    </row>
    <row r="212" spans="1:12" ht="33.75">
      <c r="A212" s="76" t="s">
        <v>777</v>
      </c>
      <c r="B212" s="76" t="s">
        <v>800</v>
      </c>
      <c r="C212" s="76" t="s">
        <v>794</v>
      </c>
      <c r="D212" s="76" t="s">
        <v>801</v>
      </c>
      <c r="E212" s="77">
        <v>882.96</v>
      </c>
      <c r="F212" s="76" t="s">
        <v>57</v>
      </c>
      <c r="G212" s="76"/>
      <c r="H212" s="76" t="s">
        <v>273</v>
      </c>
      <c r="I212" s="78">
        <v>45933</v>
      </c>
      <c r="J212" s="78">
        <v>45929</v>
      </c>
      <c r="K212" s="77">
        <v>-57</v>
      </c>
      <c r="L212" s="77">
        <v>-61</v>
      </c>
    </row>
    <row r="213" spans="1:12" ht="33.75">
      <c r="A213" s="76" t="s">
        <v>777</v>
      </c>
      <c r="B213" s="76" t="s">
        <v>783</v>
      </c>
      <c r="C213" s="76" t="s">
        <v>779</v>
      </c>
      <c r="D213" s="76" t="s">
        <v>784</v>
      </c>
      <c r="E213" s="77">
        <v>539.65800000000002</v>
      </c>
      <c r="F213" s="76" t="s">
        <v>894</v>
      </c>
      <c r="G213" s="76"/>
      <c r="H213" s="76" t="s">
        <v>273</v>
      </c>
      <c r="I213" s="78">
        <v>45933</v>
      </c>
      <c r="J213" s="78">
        <v>45929</v>
      </c>
      <c r="K213" s="77">
        <v>-57</v>
      </c>
      <c r="L213" s="77">
        <v>-61</v>
      </c>
    </row>
    <row r="214" spans="1:12" ht="33.75">
      <c r="A214" s="76" t="s">
        <v>777</v>
      </c>
      <c r="B214" s="76" t="s">
        <v>802</v>
      </c>
      <c r="C214" s="76" t="s">
        <v>794</v>
      </c>
      <c r="D214" s="76" t="s">
        <v>803</v>
      </c>
      <c r="E214" s="77">
        <v>882.96</v>
      </c>
      <c r="F214" s="76" t="s">
        <v>57</v>
      </c>
      <c r="G214" s="76"/>
      <c r="H214" s="76" t="s">
        <v>273</v>
      </c>
      <c r="I214" s="78">
        <v>45933</v>
      </c>
      <c r="J214" s="78">
        <v>45929</v>
      </c>
      <c r="K214" s="77">
        <v>-57</v>
      </c>
      <c r="L214" s="77">
        <v>-61</v>
      </c>
    </row>
    <row r="215" spans="1:12" ht="33.75">
      <c r="A215" s="76" t="s">
        <v>777</v>
      </c>
      <c r="B215" s="76" t="s">
        <v>804</v>
      </c>
      <c r="C215" s="76" t="s">
        <v>794</v>
      </c>
      <c r="D215" s="76" t="s">
        <v>805</v>
      </c>
      <c r="E215" s="77">
        <v>882.96</v>
      </c>
      <c r="F215" s="76" t="s">
        <v>57</v>
      </c>
      <c r="G215" s="76"/>
      <c r="H215" s="76" t="s">
        <v>273</v>
      </c>
      <c r="I215" s="78">
        <v>45933</v>
      </c>
      <c r="J215" s="78">
        <v>45929</v>
      </c>
      <c r="K215" s="77">
        <v>-57</v>
      </c>
      <c r="L215" s="77">
        <v>-61</v>
      </c>
    </row>
    <row r="216" spans="1:12" ht="33.75">
      <c r="A216" s="76" t="s">
        <v>777</v>
      </c>
      <c r="B216" s="76" t="s">
        <v>806</v>
      </c>
      <c r="C216" s="76" t="s">
        <v>794</v>
      </c>
      <c r="D216" s="76" t="s">
        <v>807</v>
      </c>
      <c r="E216" s="77">
        <v>882.96</v>
      </c>
      <c r="F216" s="76" t="s">
        <v>57</v>
      </c>
      <c r="G216" s="76"/>
      <c r="H216" s="76" t="s">
        <v>273</v>
      </c>
      <c r="I216" s="78">
        <v>45933</v>
      </c>
      <c r="J216" s="78">
        <v>45929</v>
      </c>
      <c r="K216" s="77">
        <v>-57</v>
      </c>
      <c r="L216" s="77">
        <v>-61</v>
      </c>
    </row>
    <row r="217" spans="1:12" ht="33.75">
      <c r="A217" s="76" t="s">
        <v>777</v>
      </c>
      <c r="B217" s="76" t="s">
        <v>818</v>
      </c>
      <c r="C217" s="76" t="s">
        <v>307</v>
      </c>
      <c r="D217" s="76" t="s">
        <v>819</v>
      </c>
      <c r="E217" s="77">
        <v>5.4450000000000003</v>
      </c>
      <c r="F217" s="76" t="s">
        <v>894</v>
      </c>
      <c r="G217" s="76"/>
      <c r="H217" s="76" t="s">
        <v>273</v>
      </c>
      <c r="I217" s="78">
        <v>45933</v>
      </c>
      <c r="J217" s="78">
        <v>45929</v>
      </c>
      <c r="K217" s="77">
        <v>-57</v>
      </c>
      <c r="L217" s="77">
        <v>-61</v>
      </c>
    </row>
    <row r="218" spans="1:12" ht="33.75">
      <c r="A218" s="76" t="s">
        <v>777</v>
      </c>
      <c r="B218" s="76" t="s">
        <v>808</v>
      </c>
      <c r="C218" s="76" t="s">
        <v>794</v>
      </c>
      <c r="D218" s="76" t="s">
        <v>809</v>
      </c>
      <c r="E218" s="77">
        <v>882.96</v>
      </c>
      <c r="F218" s="76" t="s">
        <v>57</v>
      </c>
      <c r="G218" s="76"/>
      <c r="H218" s="76" t="s">
        <v>273</v>
      </c>
      <c r="I218" s="78">
        <v>45933</v>
      </c>
      <c r="J218" s="78">
        <v>45929</v>
      </c>
      <c r="K218" s="77">
        <v>-57</v>
      </c>
      <c r="L218" s="77">
        <v>-61</v>
      </c>
    </row>
    <row r="219" spans="1:12" ht="33.75">
      <c r="A219" s="76" t="s">
        <v>777</v>
      </c>
      <c r="B219" s="76" t="s">
        <v>810</v>
      </c>
      <c r="C219" s="76" t="s">
        <v>794</v>
      </c>
      <c r="D219" s="76" t="s">
        <v>811</v>
      </c>
      <c r="E219" s="77">
        <v>882.96</v>
      </c>
      <c r="F219" s="76" t="s">
        <v>57</v>
      </c>
      <c r="G219" s="76"/>
      <c r="H219" s="76" t="s">
        <v>273</v>
      </c>
      <c r="I219" s="78">
        <v>45933</v>
      </c>
      <c r="J219" s="78">
        <v>45929</v>
      </c>
      <c r="K219" s="77">
        <v>-57</v>
      </c>
      <c r="L219" s="77">
        <v>-61</v>
      </c>
    </row>
    <row r="220" spans="1:12" ht="33.75">
      <c r="A220" s="76" t="s">
        <v>777</v>
      </c>
      <c r="B220" s="76" t="s">
        <v>820</v>
      </c>
      <c r="C220" s="76" t="s">
        <v>307</v>
      </c>
      <c r="D220" s="76" t="s">
        <v>821</v>
      </c>
      <c r="E220" s="77">
        <v>5.1420000000000003</v>
      </c>
      <c r="F220" s="76" t="s">
        <v>894</v>
      </c>
      <c r="G220" s="76"/>
      <c r="H220" s="76" t="s">
        <v>273</v>
      </c>
      <c r="I220" s="78">
        <v>45933</v>
      </c>
      <c r="J220" s="78">
        <v>45929</v>
      </c>
      <c r="K220" s="77">
        <v>-57</v>
      </c>
      <c r="L220" s="77">
        <v>-61</v>
      </c>
    </row>
    <row r="221" spans="1:12" ht="33.75">
      <c r="A221" s="76" t="s">
        <v>777</v>
      </c>
      <c r="B221" s="76" t="s">
        <v>785</v>
      </c>
      <c r="C221" s="76" t="s">
        <v>779</v>
      </c>
      <c r="D221" s="76" t="s">
        <v>786</v>
      </c>
      <c r="E221" s="77">
        <v>539.65800000000002</v>
      </c>
      <c r="F221" s="76" t="s">
        <v>894</v>
      </c>
      <c r="G221" s="76"/>
      <c r="H221" s="76" t="s">
        <v>273</v>
      </c>
      <c r="I221" s="78">
        <v>45933</v>
      </c>
      <c r="J221" s="78">
        <v>45929</v>
      </c>
      <c r="K221" s="77">
        <v>-57</v>
      </c>
      <c r="L221" s="77">
        <v>-61</v>
      </c>
    </row>
    <row r="222" spans="1:12" ht="33.75">
      <c r="A222" s="76" t="s">
        <v>777</v>
      </c>
      <c r="B222" s="76" t="s">
        <v>812</v>
      </c>
      <c r="C222" s="76" t="s">
        <v>794</v>
      </c>
      <c r="D222" s="76" t="s">
        <v>813</v>
      </c>
      <c r="E222" s="77">
        <v>882.96</v>
      </c>
      <c r="F222" s="76" t="s">
        <v>57</v>
      </c>
      <c r="G222" s="76"/>
      <c r="H222" s="76" t="s">
        <v>273</v>
      </c>
      <c r="I222" s="78">
        <v>45933</v>
      </c>
      <c r="J222" s="78">
        <v>45929</v>
      </c>
      <c r="K222" s="77">
        <v>-57</v>
      </c>
      <c r="L222" s="77">
        <v>-61</v>
      </c>
    </row>
    <row r="223" spans="1:12" ht="33.75">
      <c r="A223" s="76" t="s">
        <v>777</v>
      </c>
      <c r="B223" s="76" t="s">
        <v>822</v>
      </c>
      <c r="C223" s="76" t="s">
        <v>307</v>
      </c>
      <c r="D223" s="76" t="s">
        <v>823</v>
      </c>
      <c r="E223" s="77">
        <v>4.415</v>
      </c>
      <c r="F223" s="76" t="s">
        <v>894</v>
      </c>
      <c r="G223" s="76"/>
      <c r="H223" s="76" t="s">
        <v>273</v>
      </c>
      <c r="I223" s="78">
        <v>45933</v>
      </c>
      <c r="J223" s="78">
        <v>45929</v>
      </c>
      <c r="K223" s="77">
        <v>-57</v>
      </c>
      <c r="L223" s="77">
        <v>-61</v>
      </c>
    </row>
    <row r="224" spans="1:12" ht="33.75">
      <c r="A224" s="76" t="s">
        <v>777</v>
      </c>
      <c r="B224" s="76" t="s">
        <v>814</v>
      </c>
      <c r="C224" s="76" t="s">
        <v>794</v>
      </c>
      <c r="D224" s="76" t="s">
        <v>815</v>
      </c>
      <c r="E224" s="77">
        <v>882.96</v>
      </c>
      <c r="F224" s="76" t="s">
        <v>57</v>
      </c>
      <c r="G224" s="76"/>
      <c r="H224" s="76" t="s">
        <v>273</v>
      </c>
      <c r="I224" s="78">
        <v>45933</v>
      </c>
      <c r="J224" s="78">
        <v>45929</v>
      </c>
      <c r="K224" s="77">
        <v>-57</v>
      </c>
      <c r="L224" s="77">
        <v>-61</v>
      </c>
    </row>
    <row r="225" spans="1:12" ht="33.75">
      <c r="A225" s="76" t="s">
        <v>777</v>
      </c>
      <c r="B225" s="76" t="s">
        <v>787</v>
      </c>
      <c r="C225" s="76" t="s">
        <v>779</v>
      </c>
      <c r="D225" s="76" t="s">
        <v>788</v>
      </c>
      <c r="E225" s="77">
        <v>539.65800000000002</v>
      </c>
      <c r="F225" s="76" t="s">
        <v>894</v>
      </c>
      <c r="G225" s="76"/>
      <c r="H225" s="76" t="s">
        <v>273</v>
      </c>
      <c r="I225" s="78">
        <v>45933</v>
      </c>
      <c r="J225" s="78">
        <v>45929</v>
      </c>
      <c r="K225" s="77">
        <v>-57</v>
      </c>
      <c r="L225" s="77">
        <v>-61</v>
      </c>
    </row>
    <row r="226" spans="1:12" ht="33.75">
      <c r="A226" s="76" t="s">
        <v>777</v>
      </c>
      <c r="B226" s="76" t="s">
        <v>789</v>
      </c>
      <c r="C226" s="76" t="s">
        <v>779</v>
      </c>
      <c r="D226" s="76" t="s">
        <v>790</v>
      </c>
      <c r="E226" s="77">
        <v>539.65800000000002</v>
      </c>
      <c r="F226" s="76" t="s">
        <v>894</v>
      </c>
      <c r="G226" s="76"/>
      <c r="H226" s="76" t="s">
        <v>273</v>
      </c>
      <c r="I226" s="78">
        <v>45933</v>
      </c>
      <c r="J226" s="78">
        <v>45929</v>
      </c>
      <c r="K226" s="77">
        <v>-57</v>
      </c>
      <c r="L226" s="77">
        <v>-61</v>
      </c>
    </row>
    <row r="227" spans="1:12" ht="33.75">
      <c r="A227" s="76" t="s">
        <v>777</v>
      </c>
      <c r="B227" s="76" t="s">
        <v>791</v>
      </c>
      <c r="C227" s="76" t="s">
        <v>779</v>
      </c>
      <c r="D227" s="76" t="s">
        <v>792</v>
      </c>
      <c r="E227" s="77">
        <v>539.65800000000002</v>
      </c>
      <c r="F227" s="76" t="s">
        <v>894</v>
      </c>
      <c r="G227" s="76"/>
      <c r="H227" s="76" t="s">
        <v>273</v>
      </c>
      <c r="I227" s="78">
        <v>45933</v>
      </c>
      <c r="J227" s="78">
        <v>45929</v>
      </c>
      <c r="K227" s="77">
        <v>-57</v>
      </c>
      <c r="L227" s="77">
        <v>-61</v>
      </c>
    </row>
    <row r="228" spans="1:12" ht="33.75">
      <c r="A228" s="76" t="s">
        <v>777</v>
      </c>
      <c r="B228" s="76" t="s">
        <v>816</v>
      </c>
      <c r="C228" s="76" t="s">
        <v>794</v>
      </c>
      <c r="D228" s="76" t="s">
        <v>817</v>
      </c>
      <c r="E228" s="77">
        <v>882.96</v>
      </c>
      <c r="F228" s="76" t="s">
        <v>57</v>
      </c>
      <c r="G228" s="76"/>
      <c r="H228" s="76" t="s">
        <v>273</v>
      </c>
      <c r="I228" s="78">
        <v>45933</v>
      </c>
      <c r="J228" s="78">
        <v>45929</v>
      </c>
      <c r="K228" s="77">
        <v>-57</v>
      </c>
      <c r="L228" s="77">
        <v>-61</v>
      </c>
    </row>
    <row r="229" spans="1:12" ht="45">
      <c r="A229" s="76" t="s">
        <v>824</v>
      </c>
      <c r="B229" s="76" t="s">
        <v>775</v>
      </c>
      <c r="C229" s="76" t="s">
        <v>307</v>
      </c>
      <c r="D229" s="76" t="s">
        <v>825</v>
      </c>
      <c r="E229" s="79"/>
      <c r="F229" s="76" t="s">
        <v>194</v>
      </c>
      <c r="G229" s="76"/>
      <c r="H229" s="76" t="s">
        <v>282</v>
      </c>
      <c r="I229" s="78">
        <v>45938</v>
      </c>
      <c r="J229" s="78">
        <v>45929</v>
      </c>
      <c r="K229" s="77">
        <v>-52</v>
      </c>
      <c r="L229" s="77">
        <v>-61</v>
      </c>
    </row>
    <row r="230" spans="1:12" ht="33.75">
      <c r="A230" s="76" t="s">
        <v>824</v>
      </c>
      <c r="B230" s="76" t="s">
        <v>776</v>
      </c>
      <c r="C230" s="76" t="s">
        <v>307</v>
      </c>
      <c r="D230" s="76" t="s">
        <v>826</v>
      </c>
      <c r="E230" s="79"/>
      <c r="F230" s="76" t="s">
        <v>194</v>
      </c>
      <c r="G230" s="76"/>
      <c r="H230" s="76" t="s">
        <v>282</v>
      </c>
      <c r="I230" s="78">
        <v>45938</v>
      </c>
      <c r="J230" s="78">
        <v>45929</v>
      </c>
      <c r="K230" s="77">
        <v>-52</v>
      </c>
      <c r="L230" s="77">
        <v>-61</v>
      </c>
    </row>
    <row r="231" spans="1:12" ht="33.75">
      <c r="A231" s="76" t="s">
        <v>828</v>
      </c>
      <c r="B231" s="76" t="s">
        <v>903</v>
      </c>
      <c r="C231" s="76" t="s">
        <v>307</v>
      </c>
      <c r="D231" s="76" t="s">
        <v>829</v>
      </c>
      <c r="E231" s="79"/>
      <c r="F231" s="76" t="s">
        <v>194</v>
      </c>
      <c r="G231" s="76"/>
      <c r="H231" s="76" t="s">
        <v>272</v>
      </c>
      <c r="I231" s="78">
        <v>45934</v>
      </c>
      <c r="J231" s="78">
        <v>45930</v>
      </c>
      <c r="K231" s="77">
        <v>-56</v>
      </c>
      <c r="L231" s="77">
        <v>-60</v>
      </c>
    </row>
    <row r="232" spans="1:12" ht="22.5">
      <c r="A232" s="76" t="s">
        <v>850</v>
      </c>
      <c r="B232" s="76" t="s">
        <v>851</v>
      </c>
      <c r="C232" s="76" t="s">
        <v>307</v>
      </c>
      <c r="D232" s="76" t="s">
        <v>852</v>
      </c>
      <c r="E232" s="79"/>
      <c r="F232" s="76" t="s">
        <v>194</v>
      </c>
      <c r="G232" s="76"/>
      <c r="H232" s="76" t="s">
        <v>282</v>
      </c>
      <c r="I232" s="78">
        <v>45941</v>
      </c>
      <c r="J232" s="78">
        <v>45931</v>
      </c>
      <c r="K232" s="77">
        <v>-49</v>
      </c>
      <c r="L232" s="77">
        <v>-59</v>
      </c>
    </row>
    <row r="233" spans="1:12" ht="22.5">
      <c r="A233" s="76" t="s">
        <v>827</v>
      </c>
      <c r="B233" s="76" t="s">
        <v>830</v>
      </c>
      <c r="C233" s="76" t="s">
        <v>307</v>
      </c>
      <c r="D233" s="76" t="s">
        <v>839</v>
      </c>
      <c r="E233" s="79"/>
      <c r="F233" s="76" t="s">
        <v>194</v>
      </c>
      <c r="G233" s="76"/>
      <c r="H233" s="76" t="s">
        <v>273</v>
      </c>
      <c r="I233" s="78">
        <v>45937</v>
      </c>
      <c r="J233" s="78">
        <v>45931</v>
      </c>
      <c r="K233" s="77">
        <v>-53</v>
      </c>
      <c r="L233" s="77">
        <v>-59</v>
      </c>
    </row>
    <row r="234" spans="1:12" ht="33.75">
      <c r="A234" s="76" t="s">
        <v>841</v>
      </c>
      <c r="B234" s="76" t="s">
        <v>842</v>
      </c>
      <c r="C234" s="76" t="s">
        <v>307</v>
      </c>
      <c r="D234" s="76" t="s">
        <v>843</v>
      </c>
      <c r="E234" s="77">
        <v>5.0830000000000002</v>
      </c>
      <c r="F234" s="76" t="s">
        <v>894</v>
      </c>
      <c r="G234" s="76"/>
      <c r="H234" s="76" t="s">
        <v>273</v>
      </c>
      <c r="I234" s="78">
        <v>45935</v>
      </c>
      <c r="J234" s="78">
        <v>45931</v>
      </c>
      <c r="K234" s="77">
        <v>-55</v>
      </c>
      <c r="L234" s="77">
        <v>-59</v>
      </c>
    </row>
    <row r="235" spans="1:12" ht="33.75">
      <c r="A235" s="76" t="s">
        <v>841</v>
      </c>
      <c r="B235" s="76" t="s">
        <v>844</v>
      </c>
      <c r="C235" s="76" t="s">
        <v>307</v>
      </c>
      <c r="D235" s="76" t="s">
        <v>845</v>
      </c>
      <c r="E235" s="77">
        <v>5.26</v>
      </c>
      <c r="F235" s="76" t="s">
        <v>894</v>
      </c>
      <c r="G235" s="76"/>
      <c r="H235" s="76" t="s">
        <v>273</v>
      </c>
      <c r="I235" s="78">
        <v>45935</v>
      </c>
      <c r="J235" s="78">
        <v>45931</v>
      </c>
      <c r="K235" s="77">
        <v>-55</v>
      </c>
      <c r="L235" s="77">
        <v>-59</v>
      </c>
    </row>
    <row r="236" spans="1:12" ht="22.5">
      <c r="A236" s="76" t="s">
        <v>846</v>
      </c>
      <c r="B236" s="76" t="s">
        <v>847</v>
      </c>
      <c r="C236" s="76" t="s">
        <v>307</v>
      </c>
      <c r="D236" s="76" t="s">
        <v>848</v>
      </c>
      <c r="E236" s="79"/>
      <c r="F236" s="76" t="s">
        <v>194</v>
      </c>
      <c r="G236" s="76"/>
      <c r="H236" s="76" t="s">
        <v>273</v>
      </c>
      <c r="I236" s="78">
        <v>45931</v>
      </c>
      <c r="J236" s="78">
        <v>45931</v>
      </c>
      <c r="K236" s="77">
        <v>-59</v>
      </c>
      <c r="L236" s="77">
        <v>-59</v>
      </c>
    </row>
    <row r="237" spans="1:12" ht="33.75">
      <c r="A237" s="76" t="s">
        <v>831</v>
      </c>
      <c r="B237" s="76" t="s">
        <v>832</v>
      </c>
      <c r="C237" s="76" t="s">
        <v>892</v>
      </c>
      <c r="D237" s="76" t="s">
        <v>833</v>
      </c>
      <c r="E237" s="77">
        <v>4.7210000000000002E-2</v>
      </c>
      <c r="F237" s="76" t="s">
        <v>146</v>
      </c>
      <c r="G237" s="76"/>
      <c r="H237" s="76" t="s">
        <v>273</v>
      </c>
      <c r="I237" s="78">
        <v>45931</v>
      </c>
      <c r="J237" s="78">
        <v>45931</v>
      </c>
      <c r="K237" s="77">
        <v>-59</v>
      </c>
      <c r="L237" s="77">
        <v>-59</v>
      </c>
    </row>
    <row r="238" spans="1:12" ht="45">
      <c r="A238" s="76" t="s">
        <v>854</v>
      </c>
      <c r="B238" s="76" t="s">
        <v>855</v>
      </c>
      <c r="C238" s="76" t="s">
        <v>307</v>
      </c>
      <c r="D238" s="76" t="s">
        <v>856</v>
      </c>
      <c r="E238" s="79"/>
      <c r="F238" s="76"/>
      <c r="G238" s="76" t="s">
        <v>201</v>
      </c>
      <c r="H238" s="76" t="s">
        <v>272</v>
      </c>
      <c r="I238" s="78">
        <v>45940</v>
      </c>
      <c r="J238" s="78">
        <v>45933</v>
      </c>
      <c r="K238" s="77">
        <v>-50</v>
      </c>
      <c r="L238" s="77">
        <v>-57</v>
      </c>
    </row>
    <row r="239" spans="1:12" ht="45">
      <c r="A239" s="76" t="s">
        <v>854</v>
      </c>
      <c r="B239" s="76" t="s">
        <v>857</v>
      </c>
      <c r="C239" s="76" t="s">
        <v>307</v>
      </c>
      <c r="D239" s="76" t="s">
        <v>858</v>
      </c>
      <c r="E239" s="79"/>
      <c r="F239" s="76"/>
      <c r="G239" s="76" t="s">
        <v>201</v>
      </c>
      <c r="H239" s="76" t="s">
        <v>272</v>
      </c>
      <c r="I239" s="78">
        <v>45940</v>
      </c>
      <c r="J239" s="78">
        <v>45933</v>
      </c>
      <c r="K239" s="77">
        <v>-50</v>
      </c>
      <c r="L239" s="77">
        <v>-57</v>
      </c>
    </row>
    <row r="240" spans="1:12" ht="45">
      <c r="A240" s="76" t="s">
        <v>854</v>
      </c>
      <c r="B240" s="76" t="s">
        <v>859</v>
      </c>
      <c r="C240" s="76" t="s">
        <v>307</v>
      </c>
      <c r="D240" s="76" t="s">
        <v>860</v>
      </c>
      <c r="E240" s="79"/>
      <c r="F240" s="76"/>
      <c r="G240" s="76" t="s">
        <v>201</v>
      </c>
      <c r="H240" s="76" t="s">
        <v>272</v>
      </c>
      <c r="I240" s="78">
        <v>45940</v>
      </c>
      <c r="J240" s="78">
        <v>45933</v>
      </c>
      <c r="K240" s="77">
        <v>-50</v>
      </c>
      <c r="L240" s="77">
        <v>-57</v>
      </c>
    </row>
    <row r="241" spans="1:12" ht="45">
      <c r="A241" s="76" t="s">
        <v>854</v>
      </c>
      <c r="B241" s="76" t="s">
        <v>861</v>
      </c>
      <c r="C241" s="76" t="s">
        <v>307</v>
      </c>
      <c r="D241" s="76" t="s">
        <v>862</v>
      </c>
      <c r="E241" s="79"/>
      <c r="F241" s="76"/>
      <c r="G241" s="76" t="s">
        <v>201</v>
      </c>
      <c r="H241" s="76" t="s">
        <v>272</v>
      </c>
      <c r="I241" s="78">
        <v>45940</v>
      </c>
      <c r="J241" s="78">
        <v>45933</v>
      </c>
      <c r="K241" s="77">
        <v>-50</v>
      </c>
      <c r="L241" s="77">
        <v>-57</v>
      </c>
    </row>
    <row r="242" spans="1:12" ht="45">
      <c r="A242" s="76" t="s">
        <v>854</v>
      </c>
      <c r="B242" s="76" t="s">
        <v>863</v>
      </c>
      <c r="C242" s="76" t="s">
        <v>307</v>
      </c>
      <c r="D242" s="76" t="s">
        <v>864</v>
      </c>
      <c r="E242" s="79"/>
      <c r="F242" s="76"/>
      <c r="G242" s="76" t="s">
        <v>201</v>
      </c>
      <c r="H242" s="76" t="s">
        <v>272</v>
      </c>
      <c r="I242" s="78">
        <v>45940</v>
      </c>
      <c r="J242" s="78">
        <v>45933</v>
      </c>
      <c r="K242" s="77">
        <v>-50</v>
      </c>
      <c r="L242" s="77">
        <v>-57</v>
      </c>
    </row>
    <row r="243" spans="1:12" ht="45">
      <c r="A243" s="76" t="s">
        <v>854</v>
      </c>
      <c r="B243" s="76" t="s">
        <v>865</v>
      </c>
      <c r="C243" s="76" t="s">
        <v>307</v>
      </c>
      <c r="D243" s="76" t="s">
        <v>866</v>
      </c>
      <c r="E243" s="79"/>
      <c r="F243" s="76"/>
      <c r="G243" s="76" t="s">
        <v>201</v>
      </c>
      <c r="H243" s="76" t="s">
        <v>272</v>
      </c>
      <c r="I243" s="78">
        <v>45940</v>
      </c>
      <c r="J243" s="78">
        <v>45933</v>
      </c>
      <c r="K243" s="77">
        <v>-50</v>
      </c>
      <c r="L243" s="77">
        <v>-57</v>
      </c>
    </row>
    <row r="244" spans="1:12" ht="45">
      <c r="A244" s="76" t="s">
        <v>854</v>
      </c>
      <c r="B244" s="76" t="s">
        <v>867</v>
      </c>
      <c r="C244" s="76" t="s">
        <v>307</v>
      </c>
      <c r="D244" s="76" t="s">
        <v>868</v>
      </c>
      <c r="E244" s="79"/>
      <c r="F244" s="76"/>
      <c r="G244" s="76" t="s">
        <v>201</v>
      </c>
      <c r="H244" s="76" t="s">
        <v>272</v>
      </c>
      <c r="I244" s="78">
        <v>45940</v>
      </c>
      <c r="J244" s="78">
        <v>45933</v>
      </c>
      <c r="K244" s="77">
        <v>-50</v>
      </c>
      <c r="L244" s="77">
        <v>-57</v>
      </c>
    </row>
    <row r="245" spans="1:12" ht="56.25">
      <c r="A245" s="76" t="s">
        <v>883</v>
      </c>
      <c r="B245" s="76" t="s">
        <v>884</v>
      </c>
      <c r="C245" s="76" t="s">
        <v>307</v>
      </c>
      <c r="D245" s="76" t="s">
        <v>885</v>
      </c>
      <c r="E245" s="77">
        <v>230.24</v>
      </c>
      <c r="F245" s="76" t="s">
        <v>870</v>
      </c>
      <c r="G245" s="76"/>
      <c r="H245" s="76" t="s">
        <v>272</v>
      </c>
      <c r="I245" s="78">
        <v>45941</v>
      </c>
      <c r="J245" s="78">
        <v>45934</v>
      </c>
      <c r="K245" s="77">
        <v>-49</v>
      </c>
      <c r="L245" s="77">
        <v>-56</v>
      </c>
    </row>
    <row r="246" spans="1:12" ht="45">
      <c r="A246" s="76" t="s">
        <v>886</v>
      </c>
      <c r="B246" s="76" t="s">
        <v>882</v>
      </c>
      <c r="C246" s="76" t="s">
        <v>307</v>
      </c>
      <c r="D246" s="76" t="s">
        <v>887</v>
      </c>
      <c r="E246" s="79"/>
      <c r="F246" s="76" t="s">
        <v>870</v>
      </c>
      <c r="G246" s="76"/>
      <c r="H246" s="76" t="s">
        <v>272</v>
      </c>
      <c r="I246" s="78">
        <v>45941</v>
      </c>
      <c r="J246" s="78">
        <v>45934</v>
      </c>
      <c r="K246" s="77">
        <v>-49</v>
      </c>
      <c r="L246" s="77">
        <v>-56</v>
      </c>
    </row>
    <row r="247" spans="1:12" ht="45">
      <c r="A247" s="76" t="s">
        <v>873</v>
      </c>
      <c r="B247" s="76" t="s">
        <v>875</v>
      </c>
      <c r="C247" s="76" t="s">
        <v>307</v>
      </c>
      <c r="D247" s="76" t="s">
        <v>876</v>
      </c>
      <c r="E247" s="79"/>
      <c r="F247" s="76"/>
      <c r="G247" s="76" t="s">
        <v>202</v>
      </c>
      <c r="H247" s="76" t="s">
        <v>273</v>
      </c>
      <c r="I247" s="78">
        <v>45941</v>
      </c>
      <c r="J247" s="78">
        <v>45934</v>
      </c>
      <c r="K247" s="77">
        <v>-49</v>
      </c>
      <c r="L247" s="77">
        <v>-56</v>
      </c>
    </row>
    <row r="248" spans="1:12" ht="45">
      <c r="A248" s="76" t="s">
        <v>873</v>
      </c>
      <c r="B248" s="76" t="s">
        <v>878</v>
      </c>
      <c r="C248" s="76" t="s">
        <v>307</v>
      </c>
      <c r="D248" s="76" t="s">
        <v>879</v>
      </c>
      <c r="E248" s="79"/>
      <c r="F248" s="76"/>
      <c r="G248" s="76" t="s">
        <v>202</v>
      </c>
      <c r="H248" s="76" t="s">
        <v>273</v>
      </c>
      <c r="I248" s="78">
        <v>45941</v>
      </c>
      <c r="J248" s="78">
        <v>45934</v>
      </c>
      <c r="K248" s="77">
        <v>-49</v>
      </c>
      <c r="L248" s="77">
        <v>-56</v>
      </c>
    </row>
    <row r="249" spans="1:12" ht="45">
      <c r="A249" s="76" t="s">
        <v>873</v>
      </c>
      <c r="B249" s="76" t="s">
        <v>880</v>
      </c>
      <c r="C249" s="76" t="s">
        <v>307</v>
      </c>
      <c r="D249" s="76" t="s">
        <v>881</v>
      </c>
      <c r="E249" s="77">
        <v>35.32</v>
      </c>
      <c r="F249" s="76"/>
      <c r="G249" s="76" t="s">
        <v>202</v>
      </c>
      <c r="H249" s="76" t="s">
        <v>273</v>
      </c>
      <c r="I249" s="78">
        <v>45941</v>
      </c>
      <c r="J249" s="78">
        <v>45934</v>
      </c>
      <c r="K249" s="77">
        <v>-49</v>
      </c>
      <c r="L249" s="77">
        <v>-56</v>
      </c>
    </row>
    <row r="250" spans="1:12" ht="33.75">
      <c r="A250" s="76" t="s">
        <v>888</v>
      </c>
      <c r="B250" s="76" t="s">
        <v>869</v>
      </c>
      <c r="C250" s="76" t="s">
        <v>307</v>
      </c>
      <c r="D250" s="76" t="s">
        <v>889</v>
      </c>
      <c r="E250" s="79"/>
      <c r="F250" s="76" t="s">
        <v>870</v>
      </c>
      <c r="G250" s="76"/>
      <c r="H250" s="76" t="s">
        <v>272</v>
      </c>
      <c r="I250" s="78">
        <v>45941</v>
      </c>
      <c r="J250" s="78">
        <v>45934</v>
      </c>
      <c r="K250" s="77">
        <v>-49</v>
      </c>
      <c r="L250" s="77">
        <v>-56</v>
      </c>
    </row>
    <row r="251" spans="1:12" ht="45">
      <c r="A251" s="76" t="s">
        <v>918</v>
      </c>
      <c r="B251" s="76" t="s">
        <v>919</v>
      </c>
      <c r="C251" s="76" t="s">
        <v>307</v>
      </c>
      <c r="D251" s="76" t="s">
        <v>920</v>
      </c>
      <c r="E251" s="79"/>
      <c r="F251" s="76"/>
      <c r="G251" s="76" t="s">
        <v>201</v>
      </c>
      <c r="H251" s="76" t="s">
        <v>272</v>
      </c>
      <c r="I251" s="78">
        <v>45943</v>
      </c>
      <c r="J251" s="78">
        <v>45936</v>
      </c>
      <c r="K251" s="77">
        <v>-47</v>
      </c>
      <c r="L251" s="77">
        <v>-54</v>
      </c>
    </row>
    <row r="252" spans="1:12" ht="45">
      <c r="A252" s="76" t="s">
        <v>918</v>
      </c>
      <c r="B252" s="76" t="s">
        <v>921</v>
      </c>
      <c r="C252" s="76" t="s">
        <v>307</v>
      </c>
      <c r="D252" s="76" t="s">
        <v>922</v>
      </c>
      <c r="E252" s="79"/>
      <c r="F252" s="76"/>
      <c r="G252" s="76" t="s">
        <v>201</v>
      </c>
      <c r="H252" s="76" t="s">
        <v>272</v>
      </c>
      <c r="I252" s="78">
        <v>45943</v>
      </c>
      <c r="J252" s="78">
        <v>45936</v>
      </c>
      <c r="K252" s="77">
        <v>-47</v>
      </c>
      <c r="L252" s="77">
        <v>-54</v>
      </c>
    </row>
    <row r="253" spans="1:12" ht="45">
      <c r="A253" s="76" t="s">
        <v>918</v>
      </c>
      <c r="B253" s="76" t="s">
        <v>923</v>
      </c>
      <c r="C253" s="76" t="s">
        <v>307</v>
      </c>
      <c r="D253" s="76" t="s">
        <v>924</v>
      </c>
      <c r="E253" s="79"/>
      <c r="F253" s="76"/>
      <c r="G253" s="76" t="s">
        <v>201</v>
      </c>
      <c r="H253" s="76" t="s">
        <v>272</v>
      </c>
      <c r="I253" s="78">
        <v>45943</v>
      </c>
      <c r="J253" s="78">
        <v>45936</v>
      </c>
      <c r="K253" s="77">
        <v>-47</v>
      </c>
      <c r="L253" s="77">
        <v>-54</v>
      </c>
    </row>
    <row r="254" spans="1:12" ht="45">
      <c r="A254" s="76" t="s">
        <v>918</v>
      </c>
      <c r="B254" s="76" t="s">
        <v>925</v>
      </c>
      <c r="C254" s="76" t="s">
        <v>307</v>
      </c>
      <c r="D254" s="76" t="s">
        <v>926</v>
      </c>
      <c r="E254" s="79"/>
      <c r="F254" s="76"/>
      <c r="G254" s="76" t="s">
        <v>201</v>
      </c>
      <c r="H254" s="76" t="s">
        <v>272</v>
      </c>
      <c r="I254" s="78">
        <v>45943</v>
      </c>
      <c r="J254" s="78">
        <v>45936</v>
      </c>
      <c r="K254" s="77">
        <v>-47</v>
      </c>
      <c r="L254" s="77">
        <v>-54</v>
      </c>
    </row>
    <row r="255" spans="1:12" ht="33.75">
      <c r="A255" s="76" t="s">
        <v>931</v>
      </c>
      <c r="B255" s="76" t="s">
        <v>726</v>
      </c>
      <c r="C255" s="76" t="s">
        <v>307</v>
      </c>
      <c r="D255" s="76" t="s">
        <v>932</v>
      </c>
      <c r="E255" s="79"/>
      <c r="F255" s="76" t="s">
        <v>194</v>
      </c>
      <c r="G255" s="76"/>
      <c r="H255" s="76" t="s">
        <v>273</v>
      </c>
      <c r="I255" s="78">
        <v>45936</v>
      </c>
      <c r="J255" s="78">
        <v>45936</v>
      </c>
      <c r="K255" s="77">
        <v>-54</v>
      </c>
      <c r="L255" s="77">
        <v>-54</v>
      </c>
    </row>
    <row r="256" spans="1:12" ht="45">
      <c r="A256" s="76" t="s">
        <v>914</v>
      </c>
      <c r="B256" s="76" t="s">
        <v>872</v>
      </c>
      <c r="C256" s="76" t="s">
        <v>307</v>
      </c>
      <c r="D256" s="76" t="s">
        <v>915</v>
      </c>
      <c r="E256" s="79"/>
      <c r="F256" s="76" t="s">
        <v>194</v>
      </c>
      <c r="G256" s="76"/>
      <c r="H256" s="76" t="s">
        <v>272</v>
      </c>
      <c r="I256" s="78">
        <v>45936</v>
      </c>
      <c r="J256" s="78">
        <v>45936</v>
      </c>
      <c r="K256" s="77">
        <v>-54</v>
      </c>
      <c r="L256" s="77">
        <v>-54</v>
      </c>
    </row>
    <row r="257" spans="1:12" ht="45">
      <c r="A257" s="76" t="s">
        <v>914</v>
      </c>
      <c r="B257" s="76" t="s">
        <v>872</v>
      </c>
      <c r="C257" s="76" t="s">
        <v>307</v>
      </c>
      <c r="D257" s="76" t="s">
        <v>916</v>
      </c>
      <c r="E257" s="79"/>
      <c r="F257" s="76" t="s">
        <v>194</v>
      </c>
      <c r="G257" s="76"/>
      <c r="H257" s="76" t="s">
        <v>272</v>
      </c>
      <c r="I257" s="78">
        <v>45936</v>
      </c>
      <c r="J257" s="78">
        <v>45936</v>
      </c>
      <c r="K257" s="77">
        <v>-54</v>
      </c>
      <c r="L257" s="77">
        <v>-54</v>
      </c>
    </row>
    <row r="258" spans="1:12" ht="45">
      <c r="A258" s="76" t="s">
        <v>914</v>
      </c>
      <c r="B258" s="76" t="s">
        <v>872</v>
      </c>
      <c r="C258" s="76" t="s">
        <v>307</v>
      </c>
      <c r="D258" s="76" t="s">
        <v>917</v>
      </c>
      <c r="E258" s="79"/>
      <c r="F258" s="76" t="s">
        <v>194</v>
      </c>
      <c r="G258" s="76"/>
      <c r="H258" s="76" t="s">
        <v>272</v>
      </c>
      <c r="I258" s="78">
        <v>45936</v>
      </c>
      <c r="J258" s="78">
        <v>45936</v>
      </c>
      <c r="K258" s="77">
        <v>-54</v>
      </c>
      <c r="L258" s="77">
        <v>-54</v>
      </c>
    </row>
    <row r="259" spans="1:12" ht="56.25">
      <c r="A259" s="76" t="s">
        <v>927</v>
      </c>
      <c r="B259" s="76" t="s">
        <v>928</v>
      </c>
      <c r="C259" s="76" t="s">
        <v>307</v>
      </c>
      <c r="D259" s="76" t="s">
        <v>929</v>
      </c>
      <c r="E259" s="79"/>
      <c r="F259" s="76" t="s">
        <v>194</v>
      </c>
      <c r="G259" s="76"/>
      <c r="H259" s="76" t="s">
        <v>272</v>
      </c>
      <c r="I259" s="78">
        <v>45936</v>
      </c>
      <c r="J259" s="78">
        <v>45936</v>
      </c>
      <c r="K259" s="77">
        <v>-54</v>
      </c>
      <c r="L259" s="77">
        <v>-54</v>
      </c>
    </row>
    <row r="260" spans="1:12" ht="33.75">
      <c r="A260" s="76" t="s">
        <v>927</v>
      </c>
      <c r="B260" s="76" t="s">
        <v>774</v>
      </c>
      <c r="C260" s="76" t="s">
        <v>307</v>
      </c>
      <c r="D260" s="76" t="s">
        <v>930</v>
      </c>
      <c r="E260" s="79"/>
      <c r="F260" s="76" t="s">
        <v>194</v>
      </c>
      <c r="G260" s="76"/>
      <c r="H260" s="76" t="s">
        <v>272</v>
      </c>
      <c r="I260" s="78">
        <v>45936</v>
      </c>
      <c r="J260" s="78">
        <v>45936</v>
      </c>
      <c r="K260" s="77">
        <v>-54</v>
      </c>
      <c r="L260" s="77">
        <v>-54</v>
      </c>
    </row>
    <row r="261" spans="1:12" ht="45">
      <c r="A261" s="76" t="s">
        <v>949</v>
      </c>
      <c r="B261" s="76" t="s">
        <v>934</v>
      </c>
      <c r="C261" s="76" t="s">
        <v>307</v>
      </c>
      <c r="D261" s="76" t="s">
        <v>950</v>
      </c>
      <c r="E261" s="79"/>
      <c r="F261" s="76" t="s">
        <v>194</v>
      </c>
      <c r="G261" s="76"/>
      <c r="H261" s="76" t="s">
        <v>282</v>
      </c>
      <c r="I261" s="78">
        <v>45937</v>
      </c>
      <c r="J261" s="78">
        <v>45937</v>
      </c>
      <c r="K261" s="77">
        <v>-53</v>
      </c>
      <c r="L261" s="77">
        <v>-53</v>
      </c>
    </row>
    <row r="262" spans="1:12" ht="45">
      <c r="A262" s="76" t="s">
        <v>949</v>
      </c>
      <c r="B262" s="76" t="s">
        <v>872</v>
      </c>
      <c r="C262" s="76" t="s">
        <v>307</v>
      </c>
      <c r="D262" s="76" t="s">
        <v>951</v>
      </c>
      <c r="E262" s="79"/>
      <c r="F262" s="76" t="s">
        <v>194</v>
      </c>
      <c r="G262" s="76"/>
      <c r="H262" s="76" t="s">
        <v>272</v>
      </c>
      <c r="I262" s="78">
        <v>45937</v>
      </c>
      <c r="J262" s="78">
        <v>45937</v>
      </c>
      <c r="K262" s="77">
        <v>-53</v>
      </c>
      <c r="L262" s="77">
        <v>-53</v>
      </c>
    </row>
    <row r="263" spans="1:12" ht="45">
      <c r="A263" s="76" t="s">
        <v>936</v>
      </c>
      <c r="B263" s="76" t="s">
        <v>947</v>
      </c>
      <c r="C263" s="76" t="s">
        <v>307</v>
      </c>
      <c r="D263" s="76" t="s">
        <v>948</v>
      </c>
      <c r="E263" s="77">
        <v>133.91999999999999</v>
      </c>
      <c r="F263" s="76" t="s">
        <v>85</v>
      </c>
      <c r="G263" s="76"/>
      <c r="H263" s="76" t="s">
        <v>272</v>
      </c>
      <c r="I263" s="78">
        <v>45947</v>
      </c>
      <c r="J263" s="78">
        <v>45937</v>
      </c>
      <c r="K263" s="77">
        <v>-43</v>
      </c>
      <c r="L263" s="77">
        <v>-53</v>
      </c>
    </row>
    <row r="264" spans="1:12" ht="22.5">
      <c r="A264" s="76" t="s">
        <v>938</v>
      </c>
      <c r="B264" s="76" t="s">
        <v>679</v>
      </c>
      <c r="C264" s="76" t="s">
        <v>939</v>
      </c>
      <c r="D264" s="76" t="s">
        <v>940</v>
      </c>
      <c r="E264" s="77">
        <v>13.64</v>
      </c>
      <c r="F264" s="76" t="s">
        <v>120</v>
      </c>
      <c r="G264" s="76"/>
      <c r="H264" s="76" t="s">
        <v>273</v>
      </c>
      <c r="I264" s="78">
        <v>45941</v>
      </c>
      <c r="J264" s="78">
        <v>45937</v>
      </c>
      <c r="K264" s="77">
        <v>-49</v>
      </c>
      <c r="L264" s="77">
        <v>-53</v>
      </c>
    </row>
    <row r="265" spans="1:12" ht="33.75">
      <c r="A265" s="76" t="s">
        <v>952</v>
      </c>
      <c r="B265" s="76" t="s">
        <v>937</v>
      </c>
      <c r="C265" s="76" t="s">
        <v>307</v>
      </c>
      <c r="D265" s="76" t="s">
        <v>953</v>
      </c>
      <c r="E265" s="79"/>
      <c r="F265" s="76" t="s">
        <v>194</v>
      </c>
      <c r="G265" s="76"/>
      <c r="H265" s="76" t="s">
        <v>273</v>
      </c>
      <c r="I265" s="78">
        <v>45943</v>
      </c>
      <c r="J265" s="78">
        <v>45938</v>
      </c>
      <c r="K265" s="77">
        <v>-47</v>
      </c>
      <c r="L265" s="77">
        <v>-52</v>
      </c>
    </row>
    <row r="266" spans="1:12" ht="33.75">
      <c r="A266" s="76" t="s">
        <v>952</v>
      </c>
      <c r="B266" s="76" t="s">
        <v>336</v>
      </c>
      <c r="C266" s="76" t="s">
        <v>307</v>
      </c>
      <c r="D266" s="76" t="s">
        <v>954</v>
      </c>
      <c r="E266" s="79"/>
      <c r="F266" s="76" t="s">
        <v>194</v>
      </c>
      <c r="G266" s="76"/>
      <c r="H266" s="76" t="s">
        <v>273</v>
      </c>
      <c r="I266" s="78">
        <v>45943</v>
      </c>
      <c r="J266" s="78">
        <v>45938</v>
      </c>
      <c r="K266" s="77">
        <v>-47</v>
      </c>
      <c r="L266" s="77">
        <v>-52</v>
      </c>
    </row>
    <row r="267" spans="1:12" ht="45">
      <c r="A267" s="76" t="s">
        <v>898</v>
      </c>
      <c r="B267" s="76" t="s">
        <v>897</v>
      </c>
      <c r="C267" s="76" t="s">
        <v>307</v>
      </c>
      <c r="D267" s="76" t="s">
        <v>955</v>
      </c>
      <c r="E267" s="79"/>
      <c r="F267" s="76" t="s">
        <v>194</v>
      </c>
      <c r="G267" s="76"/>
      <c r="H267" s="76" t="s">
        <v>273</v>
      </c>
      <c r="I267" s="78">
        <v>45941</v>
      </c>
      <c r="J267" s="78">
        <v>45938</v>
      </c>
      <c r="K267" s="77">
        <v>-49</v>
      </c>
      <c r="L267" s="77">
        <v>-52</v>
      </c>
    </row>
    <row r="268" spans="1:12" ht="33.75">
      <c r="A268" s="76" t="s">
        <v>956</v>
      </c>
      <c r="B268" s="76" t="s">
        <v>957</v>
      </c>
      <c r="C268" s="76" t="s">
        <v>307</v>
      </c>
      <c r="D268" s="76" t="s">
        <v>958</v>
      </c>
      <c r="E268" s="79"/>
      <c r="F268" s="76" t="s">
        <v>870</v>
      </c>
      <c r="G268" s="76"/>
      <c r="H268" s="76" t="s">
        <v>273</v>
      </c>
      <c r="I268" s="78">
        <v>45945</v>
      </c>
      <c r="J268" s="78">
        <v>45938</v>
      </c>
      <c r="K268" s="77">
        <v>-45</v>
      </c>
      <c r="L268" s="77">
        <v>-52</v>
      </c>
    </row>
    <row r="269" spans="1:12" ht="33.75">
      <c r="A269" s="76" t="s">
        <v>959</v>
      </c>
      <c r="B269" s="76" t="s">
        <v>935</v>
      </c>
      <c r="C269" s="76" t="s">
        <v>307</v>
      </c>
      <c r="D269" s="76" t="s">
        <v>960</v>
      </c>
      <c r="E269" s="79"/>
      <c r="F269" s="76" t="s">
        <v>870</v>
      </c>
      <c r="G269" s="76"/>
      <c r="H269" s="76" t="s">
        <v>273</v>
      </c>
      <c r="I269" s="78">
        <v>45945</v>
      </c>
      <c r="J269" s="78">
        <v>45938</v>
      </c>
      <c r="K269" s="77">
        <v>-45</v>
      </c>
      <c r="L269" s="77">
        <v>-52</v>
      </c>
    </row>
    <row r="270" spans="1:12" ht="56.25">
      <c r="A270" s="76" t="s">
        <v>959</v>
      </c>
      <c r="B270" s="76" t="s">
        <v>933</v>
      </c>
      <c r="C270" s="76" t="s">
        <v>307</v>
      </c>
      <c r="D270" s="76" t="s">
        <v>961</v>
      </c>
      <c r="E270" s="79"/>
      <c r="F270" s="76" t="s">
        <v>870</v>
      </c>
      <c r="G270" s="76"/>
      <c r="H270" s="76" t="s">
        <v>273</v>
      </c>
      <c r="I270" s="78">
        <v>45945</v>
      </c>
      <c r="J270" s="78">
        <v>45938</v>
      </c>
      <c r="K270" s="77">
        <v>-45</v>
      </c>
      <c r="L270" s="77">
        <v>-52</v>
      </c>
    </row>
    <row r="271" spans="1:12" ht="45">
      <c r="A271" s="76" t="s">
        <v>941</v>
      </c>
      <c r="B271" s="76" t="s">
        <v>942</v>
      </c>
      <c r="C271" s="76" t="s">
        <v>943</v>
      </c>
      <c r="D271" s="76" t="s">
        <v>944</v>
      </c>
      <c r="E271" s="79"/>
      <c r="F271" s="76" t="s">
        <v>194</v>
      </c>
      <c r="G271" s="76"/>
      <c r="H271" s="76" t="s">
        <v>273</v>
      </c>
      <c r="I271" s="78">
        <v>45938</v>
      </c>
      <c r="J271" s="78">
        <v>45938</v>
      </c>
      <c r="K271" s="77">
        <v>-52</v>
      </c>
      <c r="L271" s="77">
        <v>-52</v>
      </c>
    </row>
    <row r="272" spans="1:12" ht="33.75">
      <c r="A272" s="76" t="s">
        <v>964</v>
      </c>
      <c r="B272" s="76" t="s">
        <v>965</v>
      </c>
      <c r="C272" s="76" t="s">
        <v>307</v>
      </c>
      <c r="D272" s="76" t="s">
        <v>966</v>
      </c>
      <c r="E272" s="79"/>
      <c r="F272" s="76" t="s">
        <v>870</v>
      </c>
      <c r="G272" s="76"/>
      <c r="H272" s="76" t="s">
        <v>282</v>
      </c>
      <c r="I272" s="78">
        <v>45948</v>
      </c>
      <c r="J272" s="78">
        <v>45939</v>
      </c>
      <c r="K272" s="77">
        <v>-42</v>
      </c>
      <c r="L272" s="77">
        <v>-51</v>
      </c>
    </row>
    <row r="273" spans="1:12" ht="33.75">
      <c r="A273" s="76" t="s">
        <v>964</v>
      </c>
      <c r="B273" s="76" t="s">
        <v>967</v>
      </c>
      <c r="C273" s="76" t="s">
        <v>307</v>
      </c>
      <c r="D273" s="76" t="s">
        <v>968</v>
      </c>
      <c r="E273" s="79"/>
      <c r="F273" s="76" t="s">
        <v>870</v>
      </c>
      <c r="G273" s="76"/>
      <c r="H273" s="76" t="s">
        <v>282</v>
      </c>
      <c r="I273" s="78">
        <v>45948</v>
      </c>
      <c r="J273" s="78">
        <v>45939</v>
      </c>
      <c r="K273" s="77">
        <v>-42</v>
      </c>
      <c r="L273" s="77">
        <v>-51</v>
      </c>
    </row>
    <row r="274" spans="1:12" ht="45">
      <c r="A274" s="76" t="s">
        <v>969</v>
      </c>
      <c r="B274" s="76" t="s">
        <v>970</v>
      </c>
      <c r="C274" s="76" t="s">
        <v>307</v>
      </c>
      <c r="D274" s="76" t="s">
        <v>971</v>
      </c>
      <c r="E274" s="77">
        <v>150.69999999999999</v>
      </c>
      <c r="F274" s="76"/>
      <c r="G274" s="76" t="s">
        <v>187</v>
      </c>
      <c r="H274" s="76" t="s">
        <v>273</v>
      </c>
      <c r="I274" s="78">
        <v>45946</v>
      </c>
      <c r="J274" s="78">
        <v>45939</v>
      </c>
      <c r="K274" s="77">
        <v>-44</v>
      </c>
      <c r="L274" s="77">
        <v>-51</v>
      </c>
    </row>
    <row r="275" spans="1:12" ht="22.5">
      <c r="A275" s="76" t="s">
        <v>962</v>
      </c>
      <c r="B275" s="76" t="s">
        <v>771</v>
      </c>
      <c r="C275" s="76" t="s">
        <v>307</v>
      </c>
      <c r="D275" s="76" t="s">
        <v>963</v>
      </c>
      <c r="E275" s="79"/>
      <c r="F275" s="76" t="s">
        <v>870</v>
      </c>
      <c r="G275" s="76"/>
      <c r="H275" s="76" t="s">
        <v>273</v>
      </c>
      <c r="I275" s="78">
        <v>45946</v>
      </c>
      <c r="J275" s="78">
        <v>45939</v>
      </c>
      <c r="K275" s="77">
        <v>-44</v>
      </c>
      <c r="L275" s="77">
        <v>-51</v>
      </c>
    </row>
    <row r="276" spans="1:12" ht="45">
      <c r="A276" s="76" t="s">
        <v>973</v>
      </c>
      <c r="B276" s="76" t="s">
        <v>896</v>
      </c>
      <c r="C276" s="76" t="s">
        <v>307</v>
      </c>
      <c r="D276" s="76" t="s">
        <v>974</v>
      </c>
      <c r="E276" s="79"/>
      <c r="F276" s="76" t="s">
        <v>194</v>
      </c>
      <c r="G276" s="76"/>
      <c r="H276" s="76" t="s">
        <v>273</v>
      </c>
      <c r="I276" s="78">
        <v>45947</v>
      </c>
      <c r="J276" s="78">
        <v>45940</v>
      </c>
      <c r="K276" s="77">
        <v>-43</v>
      </c>
      <c r="L276" s="77">
        <v>-50</v>
      </c>
    </row>
    <row r="277" spans="1:12" ht="22.5">
      <c r="A277" s="76" t="s">
        <v>975</v>
      </c>
      <c r="B277" s="76" t="s">
        <v>945</v>
      </c>
      <c r="C277" s="76" t="s">
        <v>307</v>
      </c>
      <c r="D277" s="76" t="s">
        <v>976</v>
      </c>
      <c r="E277" s="79"/>
      <c r="F277" s="76" t="s">
        <v>194</v>
      </c>
      <c r="G277" s="76"/>
      <c r="H277" s="76" t="s">
        <v>282</v>
      </c>
      <c r="I277" s="78">
        <v>45940</v>
      </c>
      <c r="J277" s="78">
        <v>45940</v>
      </c>
      <c r="K277" s="77">
        <v>-50</v>
      </c>
      <c r="L277" s="77">
        <v>-50</v>
      </c>
    </row>
    <row r="278" spans="1:12" ht="22.5">
      <c r="A278" s="76" t="s">
        <v>977</v>
      </c>
      <c r="B278" s="76" t="s">
        <v>978</v>
      </c>
      <c r="C278" s="76" t="s">
        <v>307</v>
      </c>
      <c r="D278" s="76" t="s">
        <v>979</v>
      </c>
      <c r="E278" s="79"/>
      <c r="F278" s="76" t="s">
        <v>194</v>
      </c>
      <c r="G278" s="76"/>
      <c r="H278" s="76" t="s">
        <v>288</v>
      </c>
      <c r="I278" s="78">
        <v>45945</v>
      </c>
      <c r="J278" s="78">
        <v>45941</v>
      </c>
      <c r="K278" s="77">
        <v>-45</v>
      </c>
      <c r="L278" s="77">
        <v>-49</v>
      </c>
    </row>
    <row r="279" spans="1:12" ht="33.75">
      <c r="A279" s="76" t="s">
        <v>980</v>
      </c>
      <c r="B279" s="76" t="s">
        <v>899</v>
      </c>
      <c r="C279" s="76" t="s">
        <v>307</v>
      </c>
      <c r="D279" s="76" t="s">
        <v>981</v>
      </c>
      <c r="E279" s="79"/>
      <c r="F279" s="76" t="s">
        <v>194</v>
      </c>
      <c r="G279" s="76"/>
      <c r="H279" s="76" t="s">
        <v>273</v>
      </c>
      <c r="I279" s="78">
        <v>45955</v>
      </c>
      <c r="J279" s="78">
        <v>45941</v>
      </c>
      <c r="K279" s="77">
        <v>-35</v>
      </c>
      <c r="L279" s="77">
        <v>-49</v>
      </c>
    </row>
    <row r="280" spans="1:12" ht="22.5">
      <c r="A280" s="76" t="s">
        <v>982</v>
      </c>
      <c r="B280" s="76" t="s">
        <v>983</v>
      </c>
      <c r="C280" s="76" t="s">
        <v>307</v>
      </c>
      <c r="D280" s="76" t="s">
        <v>984</v>
      </c>
      <c r="E280" s="79"/>
      <c r="F280" s="76" t="s">
        <v>194</v>
      </c>
      <c r="G280" s="76"/>
      <c r="H280" s="76" t="s">
        <v>273</v>
      </c>
      <c r="I280" s="78">
        <v>45946</v>
      </c>
      <c r="J280" s="78">
        <v>45943</v>
      </c>
      <c r="K280" s="77">
        <v>-44</v>
      </c>
      <c r="L280" s="77">
        <v>-47</v>
      </c>
    </row>
    <row r="281" spans="1:12" ht="22.5">
      <c r="A281" s="76" t="s">
        <v>982</v>
      </c>
      <c r="B281" s="76" t="s">
        <v>946</v>
      </c>
      <c r="C281" s="76" t="s">
        <v>307</v>
      </c>
      <c r="D281" s="76" t="s">
        <v>985</v>
      </c>
      <c r="E281" s="79"/>
      <c r="F281" s="76" t="s">
        <v>194</v>
      </c>
      <c r="G281" s="76"/>
      <c r="H281" s="76" t="s">
        <v>272</v>
      </c>
      <c r="I281" s="78">
        <v>45946</v>
      </c>
      <c r="J281" s="78">
        <v>45943</v>
      </c>
      <c r="K281" s="77">
        <v>-44</v>
      </c>
      <c r="L281" s="77">
        <v>-47</v>
      </c>
    </row>
    <row r="282" spans="1:12" ht="45">
      <c r="A282" s="76" t="s">
        <v>986</v>
      </c>
      <c r="B282" s="76" t="s">
        <v>987</v>
      </c>
      <c r="C282" s="76" t="s">
        <v>307</v>
      </c>
      <c r="D282" s="76" t="s">
        <v>988</v>
      </c>
      <c r="E282" s="79"/>
      <c r="F282" s="76"/>
      <c r="G282" s="76" t="s">
        <v>202</v>
      </c>
      <c r="H282" s="76" t="s">
        <v>273</v>
      </c>
      <c r="I282" s="78">
        <v>45951</v>
      </c>
      <c r="J282" s="78">
        <v>45944</v>
      </c>
      <c r="K282" s="77">
        <v>-39</v>
      </c>
      <c r="L282" s="77">
        <v>-46</v>
      </c>
    </row>
    <row r="283" spans="1:12" ht="22.5">
      <c r="A283" s="76" t="s">
        <v>990</v>
      </c>
      <c r="B283" s="76" t="s">
        <v>1066</v>
      </c>
      <c r="C283" s="76" t="s">
        <v>307</v>
      </c>
      <c r="D283" s="76" t="s">
        <v>991</v>
      </c>
      <c r="E283" s="77">
        <v>81.86</v>
      </c>
      <c r="F283" s="76" t="s">
        <v>66</v>
      </c>
      <c r="G283" s="76"/>
      <c r="H283" s="76" t="s">
        <v>272</v>
      </c>
      <c r="I283" s="78">
        <v>45949</v>
      </c>
      <c r="J283" s="78">
        <v>45945</v>
      </c>
      <c r="K283" s="77">
        <v>-41</v>
      </c>
      <c r="L283" s="77">
        <v>-45</v>
      </c>
    </row>
    <row r="284" spans="1:12" ht="56.25">
      <c r="A284" s="76" t="s">
        <v>994</v>
      </c>
      <c r="B284" s="76" t="s">
        <v>995</v>
      </c>
      <c r="C284" s="76" t="s">
        <v>307</v>
      </c>
      <c r="D284" s="76" t="s">
        <v>996</v>
      </c>
      <c r="E284" s="79"/>
      <c r="F284" s="76" t="s">
        <v>155</v>
      </c>
      <c r="G284" s="76"/>
      <c r="H284" s="76" t="s">
        <v>272</v>
      </c>
      <c r="I284" s="78">
        <v>45960</v>
      </c>
      <c r="J284" s="78">
        <v>45947</v>
      </c>
      <c r="K284" s="77">
        <v>-30</v>
      </c>
      <c r="L284" s="77">
        <v>-43</v>
      </c>
    </row>
    <row r="285" spans="1:12" ht="45">
      <c r="A285" s="76" t="s">
        <v>1044</v>
      </c>
      <c r="B285" s="76" t="s">
        <v>1045</v>
      </c>
      <c r="C285" s="76" t="s">
        <v>307</v>
      </c>
      <c r="D285" s="76" t="s">
        <v>1046</v>
      </c>
      <c r="E285" s="79"/>
      <c r="F285" s="76" t="s">
        <v>870</v>
      </c>
      <c r="G285" s="76"/>
      <c r="H285" s="76" t="s">
        <v>273</v>
      </c>
      <c r="I285" s="78">
        <v>45959</v>
      </c>
      <c r="J285" s="78">
        <v>45948</v>
      </c>
      <c r="K285" s="77">
        <v>-31</v>
      </c>
      <c r="L285" s="77">
        <v>-42</v>
      </c>
    </row>
    <row r="286" spans="1:12" ht="45">
      <c r="A286" s="76" t="s">
        <v>997</v>
      </c>
      <c r="B286" s="76" t="s">
        <v>998</v>
      </c>
      <c r="C286" s="76" t="s">
        <v>307</v>
      </c>
      <c r="D286" s="76" t="s">
        <v>999</v>
      </c>
      <c r="E286" s="79"/>
      <c r="F286" s="76"/>
      <c r="G286" s="76" t="s">
        <v>202</v>
      </c>
      <c r="H286" s="76" t="s">
        <v>273</v>
      </c>
      <c r="I286" s="78">
        <v>45966</v>
      </c>
      <c r="J286" s="78">
        <v>45948</v>
      </c>
      <c r="K286" s="77">
        <v>-24</v>
      </c>
      <c r="L286" s="77">
        <v>-42</v>
      </c>
    </row>
    <row r="287" spans="1:12" ht="45">
      <c r="A287" s="76" t="s">
        <v>997</v>
      </c>
      <c r="B287" s="76" t="s">
        <v>1000</v>
      </c>
      <c r="C287" s="76" t="s">
        <v>307</v>
      </c>
      <c r="D287" s="76" t="s">
        <v>1001</v>
      </c>
      <c r="E287" s="79"/>
      <c r="F287" s="76"/>
      <c r="G287" s="76" t="s">
        <v>202</v>
      </c>
      <c r="H287" s="76" t="s">
        <v>273</v>
      </c>
      <c r="I287" s="78">
        <v>45966</v>
      </c>
      <c r="J287" s="78">
        <v>45948</v>
      </c>
      <c r="K287" s="77">
        <v>-24</v>
      </c>
      <c r="L287" s="77">
        <v>-42</v>
      </c>
    </row>
    <row r="288" spans="1:12" ht="45">
      <c r="A288" s="76" t="s">
        <v>997</v>
      </c>
      <c r="B288" s="76" t="s">
        <v>1002</v>
      </c>
      <c r="C288" s="76" t="s">
        <v>307</v>
      </c>
      <c r="D288" s="76" t="s">
        <v>1003</v>
      </c>
      <c r="E288" s="79"/>
      <c r="F288" s="76"/>
      <c r="G288" s="76" t="s">
        <v>202</v>
      </c>
      <c r="H288" s="76" t="s">
        <v>273</v>
      </c>
      <c r="I288" s="78">
        <v>45966</v>
      </c>
      <c r="J288" s="78">
        <v>45948</v>
      </c>
      <c r="K288" s="77">
        <v>-24</v>
      </c>
      <c r="L288" s="77">
        <v>-42</v>
      </c>
    </row>
    <row r="289" spans="1:12" ht="45">
      <c r="A289" s="76" t="s">
        <v>997</v>
      </c>
      <c r="B289" s="76" t="s">
        <v>1004</v>
      </c>
      <c r="C289" s="76" t="s">
        <v>307</v>
      </c>
      <c r="D289" s="76" t="s">
        <v>1005</v>
      </c>
      <c r="E289" s="79"/>
      <c r="F289" s="76"/>
      <c r="G289" s="76" t="s">
        <v>202</v>
      </c>
      <c r="H289" s="76" t="s">
        <v>273</v>
      </c>
      <c r="I289" s="78">
        <v>45966</v>
      </c>
      <c r="J289" s="78">
        <v>45948</v>
      </c>
      <c r="K289" s="77">
        <v>-24</v>
      </c>
      <c r="L289" s="77">
        <v>-42</v>
      </c>
    </row>
    <row r="290" spans="1:12" ht="45">
      <c r="A290" s="76" t="s">
        <v>997</v>
      </c>
      <c r="B290" s="76" t="s">
        <v>1006</v>
      </c>
      <c r="C290" s="76" t="s">
        <v>307</v>
      </c>
      <c r="D290" s="76" t="s">
        <v>1007</v>
      </c>
      <c r="E290" s="79"/>
      <c r="F290" s="76"/>
      <c r="G290" s="76" t="s">
        <v>202</v>
      </c>
      <c r="H290" s="76" t="s">
        <v>273</v>
      </c>
      <c r="I290" s="78">
        <v>45966</v>
      </c>
      <c r="J290" s="78">
        <v>45948</v>
      </c>
      <c r="K290" s="77">
        <v>-24</v>
      </c>
      <c r="L290" s="77">
        <v>-42</v>
      </c>
    </row>
    <row r="291" spans="1:12" ht="45">
      <c r="A291" s="76" t="s">
        <v>997</v>
      </c>
      <c r="B291" s="76" t="s">
        <v>1008</v>
      </c>
      <c r="C291" s="76" t="s">
        <v>307</v>
      </c>
      <c r="D291" s="76" t="s">
        <v>1009</v>
      </c>
      <c r="E291" s="79"/>
      <c r="F291" s="76"/>
      <c r="G291" s="76" t="s">
        <v>202</v>
      </c>
      <c r="H291" s="76" t="s">
        <v>273</v>
      </c>
      <c r="I291" s="78">
        <v>45966</v>
      </c>
      <c r="J291" s="78">
        <v>45948</v>
      </c>
      <c r="K291" s="77">
        <v>-24</v>
      </c>
      <c r="L291" s="77">
        <v>-42</v>
      </c>
    </row>
    <row r="292" spans="1:12" ht="45">
      <c r="A292" s="76" t="s">
        <v>997</v>
      </c>
      <c r="B292" s="76" t="s">
        <v>1010</v>
      </c>
      <c r="C292" s="76" t="s">
        <v>307</v>
      </c>
      <c r="D292" s="76" t="s">
        <v>1011</v>
      </c>
      <c r="E292" s="79"/>
      <c r="F292" s="76"/>
      <c r="G292" s="76" t="s">
        <v>202</v>
      </c>
      <c r="H292" s="76" t="s">
        <v>273</v>
      </c>
      <c r="I292" s="78">
        <v>45966</v>
      </c>
      <c r="J292" s="78">
        <v>45948</v>
      </c>
      <c r="K292" s="77">
        <v>-24</v>
      </c>
      <c r="L292" s="77">
        <v>-42</v>
      </c>
    </row>
    <row r="293" spans="1:12" ht="22.5">
      <c r="A293" s="76" t="s">
        <v>1047</v>
      </c>
      <c r="B293" s="76" t="s">
        <v>1048</v>
      </c>
      <c r="C293" s="76" t="s">
        <v>307</v>
      </c>
      <c r="D293" s="76" t="s">
        <v>1049</v>
      </c>
      <c r="E293" s="79"/>
      <c r="F293" s="76" t="s">
        <v>194</v>
      </c>
      <c r="G293" s="76"/>
      <c r="H293" s="76" t="s">
        <v>282</v>
      </c>
      <c r="I293" s="78">
        <v>45948</v>
      </c>
      <c r="J293" s="78">
        <v>45948</v>
      </c>
      <c r="K293" s="77">
        <v>-42</v>
      </c>
      <c r="L293" s="77">
        <v>-42</v>
      </c>
    </row>
    <row r="294" spans="1:12" ht="22.5">
      <c r="A294" s="76" t="s">
        <v>1047</v>
      </c>
      <c r="B294" s="76" t="s">
        <v>1050</v>
      </c>
      <c r="C294" s="76" t="s">
        <v>307</v>
      </c>
      <c r="D294" s="76" t="s">
        <v>1051</v>
      </c>
      <c r="E294" s="79"/>
      <c r="F294" s="76" t="s">
        <v>194</v>
      </c>
      <c r="G294" s="76"/>
      <c r="H294" s="76" t="s">
        <v>282</v>
      </c>
      <c r="I294" s="78">
        <v>45948</v>
      </c>
      <c r="J294" s="78">
        <v>45948</v>
      </c>
      <c r="K294" s="77">
        <v>-42</v>
      </c>
      <c r="L294" s="77">
        <v>-42</v>
      </c>
    </row>
    <row r="295" spans="1:12" ht="22.5">
      <c r="A295" s="76" t="s">
        <v>1047</v>
      </c>
      <c r="B295" s="76" t="s">
        <v>1052</v>
      </c>
      <c r="C295" s="76" t="s">
        <v>307</v>
      </c>
      <c r="D295" s="76" t="s">
        <v>1053</v>
      </c>
      <c r="E295" s="79"/>
      <c r="F295" s="76" t="s">
        <v>194</v>
      </c>
      <c r="G295" s="76"/>
      <c r="H295" s="76" t="s">
        <v>282</v>
      </c>
      <c r="I295" s="78">
        <v>45948</v>
      </c>
      <c r="J295" s="78">
        <v>45948</v>
      </c>
      <c r="K295" s="77">
        <v>-42</v>
      </c>
      <c r="L295" s="77">
        <v>-42</v>
      </c>
    </row>
    <row r="296" spans="1:12" ht="22.5">
      <c r="A296" s="76" t="s">
        <v>1047</v>
      </c>
      <c r="B296" s="76" t="s">
        <v>1054</v>
      </c>
      <c r="C296" s="76" t="s">
        <v>307</v>
      </c>
      <c r="D296" s="76" t="s">
        <v>1055</v>
      </c>
      <c r="E296" s="79"/>
      <c r="F296" s="76" t="s">
        <v>194</v>
      </c>
      <c r="G296" s="76"/>
      <c r="H296" s="76" t="s">
        <v>282</v>
      </c>
      <c r="I296" s="78">
        <v>45948</v>
      </c>
      <c r="J296" s="78">
        <v>45948</v>
      </c>
      <c r="K296" s="77">
        <v>-42</v>
      </c>
      <c r="L296" s="77">
        <v>-42</v>
      </c>
    </row>
    <row r="297" spans="1:12" ht="45">
      <c r="A297" s="76" t="s">
        <v>997</v>
      </c>
      <c r="B297" s="76" t="s">
        <v>1012</v>
      </c>
      <c r="C297" s="76" t="s">
        <v>307</v>
      </c>
      <c r="D297" s="76" t="s">
        <v>1013</v>
      </c>
      <c r="E297" s="79"/>
      <c r="F297" s="76"/>
      <c r="G297" s="76" t="s">
        <v>202</v>
      </c>
      <c r="H297" s="76" t="s">
        <v>273</v>
      </c>
      <c r="I297" s="78">
        <v>45966</v>
      </c>
      <c r="J297" s="78">
        <v>45948</v>
      </c>
      <c r="K297" s="77">
        <v>-24</v>
      </c>
      <c r="L297" s="77">
        <v>-42</v>
      </c>
    </row>
    <row r="298" spans="1:12" ht="45">
      <c r="A298" s="76" t="s">
        <v>997</v>
      </c>
      <c r="B298" s="76" t="s">
        <v>1014</v>
      </c>
      <c r="C298" s="76" t="s">
        <v>307</v>
      </c>
      <c r="D298" s="76" t="s">
        <v>1015</v>
      </c>
      <c r="E298" s="79"/>
      <c r="F298" s="76"/>
      <c r="G298" s="76" t="s">
        <v>202</v>
      </c>
      <c r="H298" s="76" t="s">
        <v>273</v>
      </c>
      <c r="I298" s="78">
        <v>45966</v>
      </c>
      <c r="J298" s="78">
        <v>45948</v>
      </c>
      <c r="K298" s="77">
        <v>-24</v>
      </c>
      <c r="L298" s="77">
        <v>-42</v>
      </c>
    </row>
    <row r="299" spans="1:12" ht="45">
      <c r="A299" s="76" t="s">
        <v>997</v>
      </c>
      <c r="B299" s="76" t="s">
        <v>834</v>
      </c>
      <c r="C299" s="76" t="s">
        <v>307</v>
      </c>
      <c r="D299" s="76" t="s">
        <v>1016</v>
      </c>
      <c r="E299" s="79"/>
      <c r="F299" s="76"/>
      <c r="G299" s="76" t="s">
        <v>202</v>
      </c>
      <c r="H299" s="76" t="s">
        <v>273</v>
      </c>
      <c r="I299" s="78">
        <v>45966</v>
      </c>
      <c r="J299" s="78">
        <v>45948</v>
      </c>
      <c r="K299" s="77">
        <v>-24</v>
      </c>
      <c r="L299" s="77">
        <v>-42</v>
      </c>
    </row>
    <row r="300" spans="1:12" ht="45">
      <c r="A300" s="76" t="s">
        <v>997</v>
      </c>
      <c r="B300" s="76" t="s">
        <v>749</v>
      </c>
      <c r="C300" s="76" t="s">
        <v>307</v>
      </c>
      <c r="D300" s="76" t="s">
        <v>1017</v>
      </c>
      <c r="E300" s="79"/>
      <c r="F300" s="76"/>
      <c r="G300" s="76" t="s">
        <v>202</v>
      </c>
      <c r="H300" s="76" t="s">
        <v>273</v>
      </c>
      <c r="I300" s="78">
        <v>45966</v>
      </c>
      <c r="J300" s="78">
        <v>45948</v>
      </c>
      <c r="K300" s="77">
        <v>-24</v>
      </c>
      <c r="L300" s="77">
        <v>-42</v>
      </c>
    </row>
    <row r="301" spans="1:12" ht="45">
      <c r="A301" s="76" t="s">
        <v>997</v>
      </c>
      <c r="B301" s="76" t="s">
        <v>874</v>
      </c>
      <c r="C301" s="76" t="s">
        <v>307</v>
      </c>
      <c r="D301" s="76" t="s">
        <v>1018</v>
      </c>
      <c r="E301" s="79"/>
      <c r="F301" s="76"/>
      <c r="G301" s="76" t="s">
        <v>202</v>
      </c>
      <c r="H301" s="76" t="s">
        <v>273</v>
      </c>
      <c r="I301" s="78">
        <v>45966</v>
      </c>
      <c r="J301" s="78">
        <v>45948</v>
      </c>
      <c r="K301" s="77">
        <v>-24</v>
      </c>
      <c r="L301" s="77">
        <v>-42</v>
      </c>
    </row>
    <row r="302" spans="1:12" ht="45">
      <c r="A302" s="76" t="s">
        <v>997</v>
      </c>
      <c r="B302" s="76" t="s">
        <v>1019</v>
      </c>
      <c r="C302" s="76" t="s">
        <v>307</v>
      </c>
      <c r="D302" s="76" t="s">
        <v>1020</v>
      </c>
      <c r="E302" s="79"/>
      <c r="F302" s="76"/>
      <c r="G302" s="76" t="s">
        <v>202</v>
      </c>
      <c r="H302" s="76" t="s">
        <v>273</v>
      </c>
      <c r="I302" s="78">
        <v>45966</v>
      </c>
      <c r="J302" s="78">
        <v>45948</v>
      </c>
      <c r="K302" s="77">
        <v>-24</v>
      </c>
      <c r="L302" s="77">
        <v>-42</v>
      </c>
    </row>
    <row r="303" spans="1:12" ht="45">
      <c r="A303" s="76" t="s">
        <v>997</v>
      </c>
      <c r="B303" s="76" t="s">
        <v>762</v>
      </c>
      <c r="C303" s="76" t="s">
        <v>307</v>
      </c>
      <c r="D303" s="76" t="s">
        <v>1021</v>
      </c>
      <c r="E303" s="79"/>
      <c r="F303" s="76"/>
      <c r="G303" s="76" t="s">
        <v>202</v>
      </c>
      <c r="H303" s="76" t="s">
        <v>273</v>
      </c>
      <c r="I303" s="78">
        <v>45966</v>
      </c>
      <c r="J303" s="78">
        <v>45948</v>
      </c>
      <c r="K303" s="77">
        <v>-24</v>
      </c>
      <c r="L303" s="77">
        <v>-42</v>
      </c>
    </row>
    <row r="304" spans="1:12" ht="45">
      <c r="A304" s="76" t="s">
        <v>997</v>
      </c>
      <c r="B304" s="76" t="s">
        <v>448</v>
      </c>
      <c r="C304" s="76" t="s">
        <v>307</v>
      </c>
      <c r="D304" s="76" t="s">
        <v>1022</v>
      </c>
      <c r="E304" s="79"/>
      <c r="F304" s="76"/>
      <c r="G304" s="76" t="s">
        <v>202</v>
      </c>
      <c r="H304" s="76" t="s">
        <v>273</v>
      </c>
      <c r="I304" s="78">
        <v>45966</v>
      </c>
      <c r="J304" s="78">
        <v>45948</v>
      </c>
      <c r="K304" s="77">
        <v>-24</v>
      </c>
      <c r="L304" s="77">
        <v>-42</v>
      </c>
    </row>
    <row r="305" spans="1:12" ht="45">
      <c r="A305" s="76" t="s">
        <v>997</v>
      </c>
      <c r="B305" s="76" t="s">
        <v>425</v>
      </c>
      <c r="C305" s="76" t="s">
        <v>307</v>
      </c>
      <c r="D305" s="76" t="s">
        <v>1023</v>
      </c>
      <c r="E305" s="79"/>
      <c r="F305" s="76"/>
      <c r="G305" s="76" t="s">
        <v>202</v>
      </c>
      <c r="H305" s="76" t="s">
        <v>273</v>
      </c>
      <c r="I305" s="78">
        <v>45966</v>
      </c>
      <c r="J305" s="78">
        <v>45948</v>
      </c>
      <c r="K305" s="77">
        <v>-24</v>
      </c>
      <c r="L305" s="77">
        <v>-42</v>
      </c>
    </row>
    <row r="306" spans="1:12" ht="45">
      <c r="A306" s="76" t="s">
        <v>997</v>
      </c>
      <c r="B306" s="76" t="s">
        <v>1024</v>
      </c>
      <c r="C306" s="76" t="s">
        <v>307</v>
      </c>
      <c r="D306" s="76" t="s">
        <v>1025</v>
      </c>
      <c r="E306" s="79"/>
      <c r="F306" s="76"/>
      <c r="G306" s="76" t="s">
        <v>202</v>
      </c>
      <c r="H306" s="76" t="s">
        <v>273</v>
      </c>
      <c r="I306" s="78">
        <v>45966</v>
      </c>
      <c r="J306" s="78">
        <v>45948</v>
      </c>
      <c r="K306" s="77">
        <v>-24</v>
      </c>
      <c r="L306" s="77">
        <v>-42</v>
      </c>
    </row>
    <row r="307" spans="1:12" ht="45">
      <c r="A307" s="76" t="s">
        <v>997</v>
      </c>
      <c r="B307" s="76" t="s">
        <v>1026</v>
      </c>
      <c r="C307" s="76" t="s">
        <v>307</v>
      </c>
      <c r="D307" s="76" t="s">
        <v>1027</v>
      </c>
      <c r="E307" s="79"/>
      <c r="F307" s="76"/>
      <c r="G307" s="76" t="s">
        <v>202</v>
      </c>
      <c r="H307" s="76" t="s">
        <v>273</v>
      </c>
      <c r="I307" s="78">
        <v>45966</v>
      </c>
      <c r="J307" s="78">
        <v>45948</v>
      </c>
      <c r="K307" s="77">
        <v>-24</v>
      </c>
      <c r="L307" s="77">
        <v>-42</v>
      </c>
    </row>
    <row r="308" spans="1:12" ht="45">
      <c r="A308" s="76" t="s">
        <v>997</v>
      </c>
      <c r="B308" s="76" t="s">
        <v>1028</v>
      </c>
      <c r="C308" s="76" t="s">
        <v>307</v>
      </c>
      <c r="D308" s="76" t="s">
        <v>1029</v>
      </c>
      <c r="E308" s="79"/>
      <c r="F308" s="76"/>
      <c r="G308" s="76" t="s">
        <v>202</v>
      </c>
      <c r="H308" s="76" t="s">
        <v>273</v>
      </c>
      <c r="I308" s="78">
        <v>45966</v>
      </c>
      <c r="J308" s="78">
        <v>45948</v>
      </c>
      <c r="K308" s="77">
        <v>-24</v>
      </c>
      <c r="L308" s="77">
        <v>-42</v>
      </c>
    </row>
    <row r="309" spans="1:12" ht="45">
      <c r="A309" s="76" t="s">
        <v>997</v>
      </c>
      <c r="B309" s="76" t="s">
        <v>745</v>
      </c>
      <c r="C309" s="76" t="s">
        <v>307</v>
      </c>
      <c r="D309" s="76" t="s">
        <v>1030</v>
      </c>
      <c r="E309" s="79"/>
      <c r="F309" s="76"/>
      <c r="G309" s="76" t="s">
        <v>202</v>
      </c>
      <c r="H309" s="76" t="s">
        <v>273</v>
      </c>
      <c r="I309" s="78">
        <v>45966</v>
      </c>
      <c r="J309" s="78">
        <v>45948</v>
      </c>
      <c r="K309" s="77">
        <v>-24</v>
      </c>
      <c r="L309" s="77">
        <v>-42</v>
      </c>
    </row>
    <row r="310" spans="1:12" ht="45">
      <c r="A310" s="76" t="s">
        <v>997</v>
      </c>
      <c r="B310" s="76" t="s">
        <v>1031</v>
      </c>
      <c r="C310" s="76" t="s">
        <v>307</v>
      </c>
      <c r="D310" s="76" t="s">
        <v>1032</v>
      </c>
      <c r="E310" s="79"/>
      <c r="F310" s="76"/>
      <c r="G310" s="76" t="s">
        <v>202</v>
      </c>
      <c r="H310" s="76" t="s">
        <v>273</v>
      </c>
      <c r="I310" s="78">
        <v>45966</v>
      </c>
      <c r="J310" s="78">
        <v>45948</v>
      </c>
      <c r="K310" s="77">
        <v>-24</v>
      </c>
      <c r="L310" s="77">
        <v>-42</v>
      </c>
    </row>
    <row r="311" spans="1:12" ht="45">
      <c r="A311" s="76" t="s">
        <v>997</v>
      </c>
      <c r="B311" s="76" t="s">
        <v>448</v>
      </c>
      <c r="C311" s="76" t="s">
        <v>307</v>
      </c>
      <c r="D311" s="76" t="s">
        <v>1033</v>
      </c>
      <c r="E311" s="79"/>
      <c r="F311" s="76"/>
      <c r="G311" s="76" t="s">
        <v>202</v>
      </c>
      <c r="H311" s="76" t="s">
        <v>273</v>
      </c>
      <c r="I311" s="78">
        <v>45966</v>
      </c>
      <c r="J311" s="78">
        <v>45948</v>
      </c>
      <c r="K311" s="77">
        <v>-24</v>
      </c>
      <c r="L311" s="77">
        <v>-42</v>
      </c>
    </row>
    <row r="312" spans="1:12" ht="45">
      <c r="A312" s="76" t="s">
        <v>997</v>
      </c>
      <c r="B312" s="76" t="s">
        <v>877</v>
      </c>
      <c r="C312" s="76" t="s">
        <v>307</v>
      </c>
      <c r="D312" s="76" t="s">
        <v>1034</v>
      </c>
      <c r="E312" s="79"/>
      <c r="F312" s="76"/>
      <c r="G312" s="76" t="s">
        <v>202</v>
      </c>
      <c r="H312" s="76" t="s">
        <v>273</v>
      </c>
      <c r="I312" s="78">
        <v>45966</v>
      </c>
      <c r="J312" s="78">
        <v>45948</v>
      </c>
      <c r="K312" s="77">
        <v>-24</v>
      </c>
      <c r="L312" s="77">
        <v>-42</v>
      </c>
    </row>
    <row r="313" spans="1:12" ht="45">
      <c r="A313" s="76" t="s">
        <v>997</v>
      </c>
      <c r="B313" s="76" t="s">
        <v>1035</v>
      </c>
      <c r="C313" s="76" t="s">
        <v>307</v>
      </c>
      <c r="D313" s="76" t="s">
        <v>1036</v>
      </c>
      <c r="E313" s="79"/>
      <c r="F313" s="76"/>
      <c r="G313" s="76" t="s">
        <v>202</v>
      </c>
      <c r="H313" s="76" t="s">
        <v>273</v>
      </c>
      <c r="I313" s="78">
        <v>45966</v>
      </c>
      <c r="J313" s="78">
        <v>45948</v>
      </c>
      <c r="K313" s="77">
        <v>-24</v>
      </c>
      <c r="L313" s="77">
        <v>-42</v>
      </c>
    </row>
    <row r="314" spans="1:12" ht="45">
      <c r="A314" s="76" t="s">
        <v>997</v>
      </c>
      <c r="B314" s="76" t="s">
        <v>1037</v>
      </c>
      <c r="C314" s="76" t="s">
        <v>307</v>
      </c>
      <c r="D314" s="76" t="s">
        <v>1038</v>
      </c>
      <c r="E314" s="79"/>
      <c r="F314" s="76"/>
      <c r="G314" s="76" t="s">
        <v>202</v>
      </c>
      <c r="H314" s="76" t="s">
        <v>273</v>
      </c>
      <c r="I314" s="78">
        <v>45966</v>
      </c>
      <c r="J314" s="78">
        <v>45948</v>
      </c>
      <c r="K314" s="77">
        <v>-24</v>
      </c>
      <c r="L314" s="77">
        <v>-42</v>
      </c>
    </row>
    <row r="315" spans="1:12" ht="45">
      <c r="A315" s="76" t="s">
        <v>997</v>
      </c>
      <c r="B315" s="76" t="s">
        <v>741</v>
      </c>
      <c r="C315" s="76" t="s">
        <v>307</v>
      </c>
      <c r="D315" s="76" t="s">
        <v>1039</v>
      </c>
      <c r="E315" s="79"/>
      <c r="F315" s="76"/>
      <c r="G315" s="76" t="s">
        <v>202</v>
      </c>
      <c r="H315" s="76" t="s">
        <v>273</v>
      </c>
      <c r="I315" s="78">
        <v>45966</v>
      </c>
      <c r="J315" s="78">
        <v>45948</v>
      </c>
      <c r="K315" s="77">
        <v>-24</v>
      </c>
      <c r="L315" s="77">
        <v>-42</v>
      </c>
    </row>
    <row r="316" spans="1:12" ht="45">
      <c r="A316" s="76" t="s">
        <v>997</v>
      </c>
      <c r="B316" s="76" t="s">
        <v>1040</v>
      </c>
      <c r="C316" s="76" t="s">
        <v>307</v>
      </c>
      <c r="D316" s="76" t="s">
        <v>1041</v>
      </c>
      <c r="E316" s="79"/>
      <c r="F316" s="76"/>
      <c r="G316" s="76" t="s">
        <v>202</v>
      </c>
      <c r="H316" s="76" t="s">
        <v>273</v>
      </c>
      <c r="I316" s="78">
        <v>45966</v>
      </c>
      <c r="J316" s="78">
        <v>45948</v>
      </c>
      <c r="K316" s="77">
        <v>-24</v>
      </c>
      <c r="L316" s="77">
        <v>-42</v>
      </c>
    </row>
    <row r="317" spans="1:12" ht="45">
      <c r="A317" s="76" t="s">
        <v>997</v>
      </c>
      <c r="B317" s="76" t="s">
        <v>1042</v>
      </c>
      <c r="C317" s="76" t="s">
        <v>307</v>
      </c>
      <c r="D317" s="76" t="s">
        <v>1043</v>
      </c>
      <c r="E317" s="79"/>
      <c r="F317" s="76"/>
      <c r="G317" s="76" t="s">
        <v>202</v>
      </c>
      <c r="H317" s="76" t="s">
        <v>273</v>
      </c>
      <c r="I317" s="78">
        <v>45966</v>
      </c>
      <c r="J317" s="78">
        <v>45948</v>
      </c>
      <c r="K317" s="77">
        <v>-24</v>
      </c>
      <c r="L317" s="77">
        <v>-42</v>
      </c>
    </row>
    <row r="318" spans="1:12" ht="45">
      <c r="A318" s="76" t="s">
        <v>1056</v>
      </c>
      <c r="B318" s="76" t="s">
        <v>1058</v>
      </c>
      <c r="C318" s="76" t="s">
        <v>307</v>
      </c>
      <c r="D318" s="76" t="s">
        <v>1059</v>
      </c>
      <c r="E318" s="79"/>
      <c r="F318" s="76"/>
      <c r="G318" s="76" t="s">
        <v>202</v>
      </c>
      <c r="H318" s="76" t="s">
        <v>273</v>
      </c>
      <c r="I318" s="78">
        <v>45960</v>
      </c>
      <c r="J318" s="78">
        <v>45948</v>
      </c>
      <c r="K318" s="77">
        <v>-30</v>
      </c>
      <c r="L318" s="77">
        <v>-42</v>
      </c>
    </row>
    <row r="319" spans="1:12" ht="45">
      <c r="A319" s="76" t="s">
        <v>1056</v>
      </c>
      <c r="B319" s="76" t="s">
        <v>1060</v>
      </c>
      <c r="C319" s="76" t="s">
        <v>307</v>
      </c>
      <c r="D319" s="76" t="s">
        <v>1061</v>
      </c>
      <c r="E319" s="79"/>
      <c r="F319" s="76"/>
      <c r="G319" s="76" t="s">
        <v>202</v>
      </c>
      <c r="H319" s="76" t="s">
        <v>273</v>
      </c>
      <c r="I319" s="78">
        <v>45960</v>
      </c>
      <c r="J319" s="78">
        <v>45948</v>
      </c>
      <c r="K319" s="77">
        <v>-30</v>
      </c>
      <c r="L319" s="77">
        <v>-42</v>
      </c>
    </row>
    <row r="320" spans="1:12" ht="33.75">
      <c r="A320" s="76" t="s">
        <v>1062</v>
      </c>
      <c r="B320" s="76" t="s">
        <v>1063</v>
      </c>
      <c r="C320" s="76" t="s">
        <v>1064</v>
      </c>
      <c r="D320" s="76" t="s">
        <v>1065</v>
      </c>
      <c r="E320" s="77">
        <v>5.13E-3</v>
      </c>
      <c r="F320" s="76" t="s">
        <v>146</v>
      </c>
      <c r="G320" s="76"/>
      <c r="H320" s="76" t="s">
        <v>273</v>
      </c>
      <c r="I320" s="78">
        <v>45949</v>
      </c>
      <c r="J320" s="78">
        <v>45949</v>
      </c>
      <c r="K320" s="77">
        <v>-41</v>
      </c>
      <c r="L320" s="77">
        <v>-41</v>
      </c>
    </row>
    <row r="321" spans="1:12" ht="22.5">
      <c r="A321" s="76" t="s">
        <v>1067</v>
      </c>
      <c r="B321" s="76" t="s">
        <v>1068</v>
      </c>
      <c r="C321" s="76" t="s">
        <v>307</v>
      </c>
      <c r="D321" s="76" t="s">
        <v>1069</v>
      </c>
      <c r="E321" s="77">
        <v>5.63</v>
      </c>
      <c r="F321" s="76" t="s">
        <v>194</v>
      </c>
      <c r="G321" s="76"/>
      <c r="H321" s="76" t="s">
        <v>273</v>
      </c>
      <c r="I321" s="78">
        <v>45961</v>
      </c>
      <c r="J321" s="78">
        <v>45954</v>
      </c>
      <c r="K321" s="77">
        <v>-29</v>
      </c>
      <c r="L321" s="77">
        <v>-36</v>
      </c>
    </row>
    <row r="322" spans="1:12" ht="22.5">
      <c r="A322" s="76" t="s">
        <v>1067</v>
      </c>
      <c r="B322" s="76" t="s">
        <v>1070</v>
      </c>
      <c r="C322" s="76" t="s">
        <v>307</v>
      </c>
      <c r="D322" s="76" t="s">
        <v>1071</v>
      </c>
      <c r="E322" s="77">
        <v>7.38</v>
      </c>
      <c r="F322" s="76" t="s">
        <v>194</v>
      </c>
      <c r="G322" s="76"/>
      <c r="H322" s="76" t="s">
        <v>273</v>
      </c>
      <c r="I322" s="78">
        <v>45961</v>
      </c>
      <c r="J322" s="78">
        <v>45954</v>
      </c>
      <c r="K322" s="77">
        <v>-29</v>
      </c>
      <c r="L322" s="77">
        <v>-36</v>
      </c>
    </row>
    <row r="323" spans="1:12" ht="22.5">
      <c r="A323" s="76" t="s">
        <v>1067</v>
      </c>
      <c r="B323" s="76" t="s">
        <v>1084</v>
      </c>
      <c r="C323" s="76" t="s">
        <v>307</v>
      </c>
      <c r="D323" s="76" t="s">
        <v>1085</v>
      </c>
      <c r="E323" s="77">
        <v>9.56</v>
      </c>
      <c r="F323" s="76" t="s">
        <v>194</v>
      </c>
      <c r="G323" s="76"/>
      <c r="H323" s="76" t="s">
        <v>273</v>
      </c>
      <c r="I323" s="78">
        <v>45961</v>
      </c>
      <c r="J323" s="78">
        <v>45954</v>
      </c>
      <c r="K323" s="77">
        <v>-29</v>
      </c>
      <c r="L323" s="77">
        <v>-36</v>
      </c>
    </row>
    <row r="324" spans="1:12" ht="22.5">
      <c r="A324" s="76" t="s">
        <v>1067</v>
      </c>
      <c r="B324" s="76" t="s">
        <v>1086</v>
      </c>
      <c r="C324" s="76" t="s">
        <v>307</v>
      </c>
      <c r="D324" s="76" t="s">
        <v>1087</v>
      </c>
      <c r="E324" s="77">
        <v>21.95</v>
      </c>
      <c r="F324" s="76" t="s">
        <v>194</v>
      </c>
      <c r="G324" s="76"/>
      <c r="H324" s="76" t="s">
        <v>273</v>
      </c>
      <c r="I324" s="78">
        <v>45961</v>
      </c>
      <c r="J324" s="78">
        <v>45954</v>
      </c>
      <c r="K324" s="77">
        <v>-29</v>
      </c>
      <c r="L324" s="77">
        <v>-36</v>
      </c>
    </row>
    <row r="325" spans="1:12" ht="22.5">
      <c r="A325" s="76" t="s">
        <v>1067</v>
      </c>
      <c r="B325" s="76" t="s">
        <v>1088</v>
      </c>
      <c r="C325" s="76" t="s">
        <v>307</v>
      </c>
      <c r="D325" s="76" t="s">
        <v>1089</v>
      </c>
      <c r="E325" s="77">
        <v>24.52</v>
      </c>
      <c r="F325" s="76" t="s">
        <v>194</v>
      </c>
      <c r="G325" s="76"/>
      <c r="H325" s="76" t="s">
        <v>273</v>
      </c>
      <c r="I325" s="78">
        <v>45961</v>
      </c>
      <c r="J325" s="78">
        <v>45954</v>
      </c>
      <c r="K325" s="77">
        <v>-29</v>
      </c>
      <c r="L325" s="77">
        <v>-36</v>
      </c>
    </row>
    <row r="326" spans="1:12" ht="22.5">
      <c r="A326" s="76" t="s">
        <v>1067</v>
      </c>
      <c r="B326" s="76" t="s">
        <v>1090</v>
      </c>
      <c r="C326" s="76" t="s">
        <v>307</v>
      </c>
      <c r="D326" s="76" t="s">
        <v>1091</v>
      </c>
      <c r="E326" s="77">
        <v>10.87</v>
      </c>
      <c r="F326" s="76" t="s">
        <v>194</v>
      </c>
      <c r="G326" s="76"/>
      <c r="H326" s="76" t="s">
        <v>273</v>
      </c>
      <c r="I326" s="78">
        <v>45961</v>
      </c>
      <c r="J326" s="78">
        <v>45954</v>
      </c>
      <c r="K326" s="77">
        <v>-29</v>
      </c>
      <c r="L326" s="77">
        <v>-36</v>
      </c>
    </row>
    <row r="327" spans="1:12" ht="22.5">
      <c r="A327" s="76" t="s">
        <v>1067</v>
      </c>
      <c r="B327" s="76" t="s">
        <v>1072</v>
      </c>
      <c r="C327" s="76" t="s">
        <v>307</v>
      </c>
      <c r="D327" s="76" t="s">
        <v>1073</v>
      </c>
      <c r="E327" s="77">
        <v>6.89</v>
      </c>
      <c r="F327" s="76" t="s">
        <v>194</v>
      </c>
      <c r="G327" s="76"/>
      <c r="H327" s="76" t="s">
        <v>273</v>
      </c>
      <c r="I327" s="78">
        <v>45961</v>
      </c>
      <c r="J327" s="78">
        <v>45954</v>
      </c>
      <c r="K327" s="77">
        <v>-29</v>
      </c>
      <c r="L327" s="77">
        <v>-36</v>
      </c>
    </row>
    <row r="328" spans="1:12" ht="22.5">
      <c r="A328" s="76" t="s">
        <v>1067</v>
      </c>
      <c r="B328" s="76" t="s">
        <v>1074</v>
      </c>
      <c r="C328" s="76" t="s">
        <v>307</v>
      </c>
      <c r="D328" s="76" t="s">
        <v>1075</v>
      </c>
      <c r="E328" s="77">
        <v>7.59</v>
      </c>
      <c r="F328" s="76" t="s">
        <v>194</v>
      </c>
      <c r="G328" s="76"/>
      <c r="H328" s="76" t="s">
        <v>273</v>
      </c>
      <c r="I328" s="78">
        <v>45961</v>
      </c>
      <c r="J328" s="78">
        <v>45954</v>
      </c>
      <c r="K328" s="77">
        <v>-29</v>
      </c>
      <c r="L328" s="77">
        <v>-36</v>
      </c>
    </row>
    <row r="329" spans="1:12" ht="22.5">
      <c r="A329" s="76" t="s">
        <v>1067</v>
      </c>
      <c r="B329" s="76" t="s">
        <v>1076</v>
      </c>
      <c r="C329" s="76" t="s">
        <v>307</v>
      </c>
      <c r="D329" s="76" t="s">
        <v>1077</v>
      </c>
      <c r="E329" s="77">
        <v>5.42</v>
      </c>
      <c r="F329" s="76" t="s">
        <v>194</v>
      </c>
      <c r="G329" s="76"/>
      <c r="H329" s="76" t="s">
        <v>273</v>
      </c>
      <c r="I329" s="78">
        <v>45961</v>
      </c>
      <c r="J329" s="78">
        <v>45954</v>
      </c>
      <c r="K329" s="77">
        <v>-29</v>
      </c>
      <c r="L329" s="77">
        <v>-36</v>
      </c>
    </row>
    <row r="330" spans="1:12" ht="22.5">
      <c r="A330" s="76" t="s">
        <v>1067</v>
      </c>
      <c r="B330" s="76" t="s">
        <v>1078</v>
      </c>
      <c r="C330" s="76" t="s">
        <v>307</v>
      </c>
      <c r="D330" s="76" t="s">
        <v>1079</v>
      </c>
      <c r="E330" s="77">
        <v>5.63</v>
      </c>
      <c r="F330" s="76" t="s">
        <v>194</v>
      </c>
      <c r="G330" s="76"/>
      <c r="H330" s="76" t="s">
        <v>273</v>
      </c>
      <c r="I330" s="78">
        <v>45961</v>
      </c>
      <c r="J330" s="78">
        <v>45954</v>
      </c>
      <c r="K330" s="77">
        <v>-29</v>
      </c>
      <c r="L330" s="77">
        <v>-36</v>
      </c>
    </row>
    <row r="331" spans="1:12" ht="22.5">
      <c r="A331" s="76" t="s">
        <v>1067</v>
      </c>
      <c r="B331" s="76" t="s">
        <v>1096</v>
      </c>
      <c r="C331" s="76" t="s">
        <v>307</v>
      </c>
      <c r="D331" s="76" t="s">
        <v>1097</v>
      </c>
      <c r="E331" s="77">
        <v>32.700000000000003</v>
      </c>
      <c r="F331" s="76" t="s">
        <v>194</v>
      </c>
      <c r="G331" s="76"/>
      <c r="H331" s="76" t="s">
        <v>273</v>
      </c>
      <c r="I331" s="78">
        <v>45961</v>
      </c>
      <c r="J331" s="78">
        <v>45954</v>
      </c>
      <c r="K331" s="77">
        <v>-29</v>
      </c>
      <c r="L331" s="77">
        <v>-36</v>
      </c>
    </row>
    <row r="332" spans="1:12" ht="22.5">
      <c r="A332" s="76" t="s">
        <v>1067</v>
      </c>
      <c r="B332" s="76" t="s">
        <v>1080</v>
      </c>
      <c r="C332" s="76" t="s">
        <v>307</v>
      </c>
      <c r="D332" s="76" t="s">
        <v>1081</v>
      </c>
      <c r="E332" s="77">
        <v>5.61</v>
      </c>
      <c r="F332" s="76" t="s">
        <v>194</v>
      </c>
      <c r="G332" s="76"/>
      <c r="H332" s="76" t="s">
        <v>273</v>
      </c>
      <c r="I332" s="78">
        <v>45961</v>
      </c>
      <c r="J332" s="78">
        <v>45954</v>
      </c>
      <c r="K332" s="77">
        <v>-29</v>
      </c>
      <c r="L332" s="77">
        <v>-36</v>
      </c>
    </row>
    <row r="333" spans="1:12" ht="22.5">
      <c r="A333" s="76" t="s">
        <v>1067</v>
      </c>
      <c r="B333" s="76" t="s">
        <v>1092</v>
      </c>
      <c r="C333" s="76" t="s">
        <v>307</v>
      </c>
      <c r="D333" s="76" t="s">
        <v>1093</v>
      </c>
      <c r="E333" s="77">
        <v>16.329999999999998</v>
      </c>
      <c r="F333" s="76" t="s">
        <v>194</v>
      </c>
      <c r="G333" s="76"/>
      <c r="H333" s="76" t="s">
        <v>273</v>
      </c>
      <c r="I333" s="78">
        <v>45961</v>
      </c>
      <c r="J333" s="78">
        <v>45954</v>
      </c>
      <c r="K333" s="77">
        <v>-29</v>
      </c>
      <c r="L333" s="77">
        <v>-36</v>
      </c>
    </row>
    <row r="334" spans="1:12" ht="22.5">
      <c r="A334" s="76" t="s">
        <v>1067</v>
      </c>
      <c r="B334" s="76" t="s">
        <v>1082</v>
      </c>
      <c r="C334" s="76" t="s">
        <v>307</v>
      </c>
      <c r="D334" s="76" t="s">
        <v>1083</v>
      </c>
      <c r="E334" s="77">
        <v>6.15</v>
      </c>
      <c r="F334" s="76" t="s">
        <v>194</v>
      </c>
      <c r="G334" s="76"/>
      <c r="H334" s="76" t="s">
        <v>273</v>
      </c>
      <c r="I334" s="78">
        <v>45961</v>
      </c>
      <c r="J334" s="78">
        <v>45954</v>
      </c>
      <c r="K334" s="77">
        <v>-29</v>
      </c>
      <c r="L334" s="77">
        <v>-36</v>
      </c>
    </row>
    <row r="335" spans="1:12" ht="33.75">
      <c r="A335" s="76" t="s">
        <v>1067</v>
      </c>
      <c r="B335" s="76" t="s">
        <v>1094</v>
      </c>
      <c r="C335" s="76" t="s">
        <v>307</v>
      </c>
      <c r="D335" s="76" t="s">
        <v>1095</v>
      </c>
      <c r="E335" s="77">
        <v>8.2100000000000009</v>
      </c>
      <c r="F335" s="76" t="s">
        <v>194</v>
      </c>
      <c r="G335" s="76"/>
      <c r="H335" s="76" t="s">
        <v>273</v>
      </c>
      <c r="I335" s="78">
        <v>45961</v>
      </c>
      <c r="J335" s="78">
        <v>45954</v>
      </c>
      <c r="K335" s="77">
        <v>-29</v>
      </c>
      <c r="L335" s="77">
        <v>-36</v>
      </c>
    </row>
    <row r="336" spans="1:12" ht="22.5">
      <c r="A336" s="76" t="s">
        <v>1106</v>
      </c>
      <c r="B336" s="76" t="s">
        <v>1107</v>
      </c>
      <c r="C336" s="76" t="s">
        <v>307</v>
      </c>
      <c r="D336" s="76" t="s">
        <v>1108</v>
      </c>
      <c r="E336" s="79"/>
      <c r="F336" s="76" t="s">
        <v>194</v>
      </c>
      <c r="G336" s="76"/>
      <c r="H336" s="76" t="s">
        <v>273</v>
      </c>
      <c r="I336" s="78">
        <v>45961</v>
      </c>
      <c r="J336" s="78">
        <v>45958</v>
      </c>
      <c r="K336" s="77">
        <v>-29</v>
      </c>
      <c r="L336" s="77">
        <v>-32</v>
      </c>
    </row>
    <row r="337" spans="1:12" ht="22.5">
      <c r="A337" s="76" t="s">
        <v>1106</v>
      </c>
      <c r="B337" s="76" t="s">
        <v>1109</v>
      </c>
      <c r="C337" s="76" t="s">
        <v>307</v>
      </c>
      <c r="D337" s="76" t="s">
        <v>1110</v>
      </c>
      <c r="E337" s="79"/>
      <c r="F337" s="76" t="s">
        <v>194</v>
      </c>
      <c r="G337" s="76"/>
      <c r="H337" s="76" t="s">
        <v>273</v>
      </c>
      <c r="I337" s="78">
        <v>45961</v>
      </c>
      <c r="J337" s="78">
        <v>45958</v>
      </c>
      <c r="K337" s="77">
        <v>-29</v>
      </c>
      <c r="L337" s="77">
        <v>-32</v>
      </c>
    </row>
    <row r="338" spans="1:12" ht="33.75">
      <c r="A338" s="76" t="s">
        <v>1103</v>
      </c>
      <c r="B338" s="76" t="s">
        <v>1104</v>
      </c>
      <c r="C338" s="76" t="s">
        <v>307</v>
      </c>
      <c r="D338" s="76" t="s">
        <v>1105</v>
      </c>
      <c r="E338" s="77">
        <v>105.95</v>
      </c>
      <c r="F338" s="76" t="s">
        <v>126</v>
      </c>
      <c r="G338" s="76"/>
      <c r="H338" s="76" t="s">
        <v>273</v>
      </c>
      <c r="I338" s="78">
        <v>45967</v>
      </c>
      <c r="J338" s="78">
        <v>45958</v>
      </c>
      <c r="K338" s="77">
        <v>-23</v>
      </c>
      <c r="L338" s="77">
        <v>-32</v>
      </c>
    </row>
    <row r="339" spans="1:12" ht="33.75">
      <c r="A339" s="76" t="s">
        <v>1111</v>
      </c>
      <c r="B339" s="76" t="s">
        <v>1112</v>
      </c>
      <c r="C339" s="76" t="s">
        <v>307</v>
      </c>
      <c r="D339" s="76" t="s">
        <v>1113</v>
      </c>
      <c r="E339" s="79"/>
      <c r="F339" s="76" t="s">
        <v>194</v>
      </c>
      <c r="G339" s="76"/>
      <c r="H339" s="76" t="s">
        <v>282</v>
      </c>
      <c r="I339" s="78">
        <v>45958</v>
      </c>
      <c r="J339" s="78">
        <v>45958</v>
      </c>
      <c r="K339" s="77">
        <v>-32</v>
      </c>
      <c r="L339" s="77">
        <v>-32</v>
      </c>
    </row>
    <row r="340" spans="1:12" ht="56.25">
      <c r="A340" s="76" t="s">
        <v>1127</v>
      </c>
      <c r="B340" s="76" t="s">
        <v>1121</v>
      </c>
      <c r="C340" s="76" t="s">
        <v>307</v>
      </c>
      <c r="D340" s="76" t="s">
        <v>1128</v>
      </c>
      <c r="E340" s="77">
        <v>2.61</v>
      </c>
      <c r="F340" s="76" t="s">
        <v>184</v>
      </c>
      <c r="G340" s="76"/>
      <c r="H340" s="76" t="s">
        <v>282</v>
      </c>
      <c r="I340" s="78">
        <v>45960</v>
      </c>
      <c r="J340" s="78">
        <v>45960</v>
      </c>
      <c r="K340" s="77">
        <v>-30</v>
      </c>
      <c r="L340" s="77">
        <v>-30</v>
      </c>
    </row>
    <row r="341" spans="1:12" ht="56.25">
      <c r="A341" s="76" t="s">
        <v>1120</v>
      </c>
      <c r="B341" s="76" t="s">
        <v>1121</v>
      </c>
      <c r="C341" s="76" t="s">
        <v>307</v>
      </c>
      <c r="D341" s="76" t="s">
        <v>1122</v>
      </c>
      <c r="E341" s="77">
        <v>193.32</v>
      </c>
      <c r="F341" s="76" t="s">
        <v>184</v>
      </c>
      <c r="G341" s="76"/>
      <c r="H341" s="76" t="s">
        <v>282</v>
      </c>
      <c r="I341" s="78">
        <v>45969</v>
      </c>
      <c r="J341" s="78">
        <v>45960</v>
      </c>
      <c r="K341" s="77">
        <v>-21</v>
      </c>
      <c r="L341" s="77">
        <v>-30</v>
      </c>
    </row>
    <row r="342" spans="1:12" ht="22.5">
      <c r="A342" s="76" t="s">
        <v>1115</v>
      </c>
      <c r="B342" s="76" t="s">
        <v>993</v>
      </c>
      <c r="C342" s="76" t="s">
        <v>307</v>
      </c>
      <c r="D342" s="76" t="s">
        <v>1116</v>
      </c>
      <c r="E342" s="79"/>
      <c r="F342" s="76" t="s">
        <v>194</v>
      </c>
      <c r="G342" s="76"/>
      <c r="H342" s="76" t="s">
        <v>273</v>
      </c>
      <c r="I342" s="78">
        <v>45962</v>
      </c>
      <c r="J342" s="78">
        <v>45960</v>
      </c>
      <c r="K342" s="77">
        <v>-28</v>
      </c>
      <c r="L342" s="77">
        <v>-30</v>
      </c>
    </row>
    <row r="343" spans="1:12" ht="56.25">
      <c r="A343" s="76" t="s">
        <v>1114</v>
      </c>
      <c r="B343" s="76" t="s">
        <v>1123</v>
      </c>
      <c r="C343" s="76" t="s">
        <v>307</v>
      </c>
      <c r="D343" s="76" t="s">
        <v>1124</v>
      </c>
      <c r="E343" s="79"/>
      <c r="F343" s="76" t="s">
        <v>157</v>
      </c>
      <c r="G343" s="76"/>
      <c r="H343" s="76" t="s">
        <v>273</v>
      </c>
      <c r="I343" s="78">
        <v>45967</v>
      </c>
      <c r="J343" s="78">
        <v>45960</v>
      </c>
      <c r="K343" s="77">
        <v>-23</v>
      </c>
      <c r="L343" s="77">
        <v>-30</v>
      </c>
    </row>
    <row r="344" spans="1:12" ht="56.25">
      <c r="A344" s="76" t="s">
        <v>1114</v>
      </c>
      <c r="B344" s="76" t="s">
        <v>1125</v>
      </c>
      <c r="C344" s="76" t="s">
        <v>307</v>
      </c>
      <c r="D344" s="76" t="s">
        <v>1126</v>
      </c>
      <c r="E344" s="79"/>
      <c r="F344" s="76" t="s">
        <v>157</v>
      </c>
      <c r="G344" s="76"/>
      <c r="H344" s="76" t="s">
        <v>273</v>
      </c>
      <c r="I344" s="78">
        <v>45967</v>
      </c>
      <c r="J344" s="78">
        <v>45960</v>
      </c>
      <c r="K344" s="77">
        <v>-23</v>
      </c>
      <c r="L344" s="77">
        <v>-30</v>
      </c>
    </row>
    <row r="345" spans="1:12" ht="33.75">
      <c r="A345" s="76" t="s">
        <v>1117</v>
      </c>
      <c r="B345" s="76" t="s">
        <v>1118</v>
      </c>
      <c r="C345" s="76" t="s">
        <v>307</v>
      </c>
      <c r="D345" s="76" t="s">
        <v>1119</v>
      </c>
      <c r="E345" s="77">
        <v>84.39</v>
      </c>
      <c r="F345" s="76" t="s">
        <v>194</v>
      </c>
      <c r="G345" s="76"/>
      <c r="H345" s="76" t="s">
        <v>273</v>
      </c>
      <c r="I345" s="78">
        <v>45960</v>
      </c>
      <c r="J345" s="78">
        <v>45960</v>
      </c>
      <c r="K345" s="77">
        <v>-30</v>
      </c>
      <c r="L345" s="77">
        <v>-30</v>
      </c>
    </row>
    <row r="346" spans="1:12" ht="45">
      <c r="A346" s="76" t="s">
        <v>1142</v>
      </c>
      <c r="B346" s="76" t="s">
        <v>1143</v>
      </c>
      <c r="C346" s="76" t="s">
        <v>307</v>
      </c>
      <c r="D346" s="76" t="s">
        <v>1144</v>
      </c>
      <c r="E346" s="77">
        <v>131.78</v>
      </c>
      <c r="F346" s="76"/>
      <c r="G346" s="76" t="s">
        <v>187</v>
      </c>
      <c r="H346" s="76" t="s">
        <v>273</v>
      </c>
      <c r="I346" s="78">
        <v>45974</v>
      </c>
      <c r="J346" s="78">
        <v>45961</v>
      </c>
      <c r="K346" s="77">
        <v>-16</v>
      </c>
      <c r="L346" s="77">
        <v>-29</v>
      </c>
    </row>
    <row r="347" spans="1:12" ht="45">
      <c r="A347" s="76" t="s">
        <v>1139</v>
      </c>
      <c r="B347" s="76" t="s">
        <v>1140</v>
      </c>
      <c r="C347" s="76" t="s">
        <v>307</v>
      </c>
      <c r="D347" s="76" t="s">
        <v>1141</v>
      </c>
      <c r="E347" s="79"/>
      <c r="F347" s="76" t="s">
        <v>194</v>
      </c>
      <c r="G347" s="76"/>
      <c r="H347" s="76" t="s">
        <v>282</v>
      </c>
      <c r="I347" s="78">
        <v>45965</v>
      </c>
      <c r="J347" s="78">
        <v>45961</v>
      </c>
      <c r="K347" s="77">
        <v>-25</v>
      </c>
      <c r="L347" s="77">
        <v>-29</v>
      </c>
    </row>
    <row r="348" spans="1:12" ht="56.25">
      <c r="A348" s="76" t="s">
        <v>1129</v>
      </c>
      <c r="B348" s="76" t="s">
        <v>1130</v>
      </c>
      <c r="C348" s="76" t="s">
        <v>307</v>
      </c>
      <c r="D348" s="76" t="s">
        <v>1131</v>
      </c>
      <c r="E348" s="79"/>
      <c r="F348" s="76" t="s">
        <v>167</v>
      </c>
      <c r="G348" s="76"/>
      <c r="H348" s="76" t="s">
        <v>273</v>
      </c>
      <c r="I348" s="78">
        <v>45961</v>
      </c>
      <c r="J348" s="78">
        <v>45961</v>
      </c>
      <c r="K348" s="77">
        <v>-29</v>
      </c>
      <c r="L348" s="77">
        <v>-29</v>
      </c>
    </row>
    <row r="349" spans="1:12" ht="56.25">
      <c r="A349" s="76" t="s">
        <v>1129</v>
      </c>
      <c r="B349" s="76" t="s">
        <v>1132</v>
      </c>
      <c r="C349" s="76" t="s">
        <v>307</v>
      </c>
      <c r="D349" s="76" t="s">
        <v>1133</v>
      </c>
      <c r="E349" s="79"/>
      <c r="F349" s="76" t="s">
        <v>167</v>
      </c>
      <c r="G349" s="76"/>
      <c r="H349" s="76" t="s">
        <v>273</v>
      </c>
      <c r="I349" s="78">
        <v>45961</v>
      </c>
      <c r="J349" s="78">
        <v>45961</v>
      </c>
      <c r="K349" s="77">
        <v>-29</v>
      </c>
      <c r="L349" s="77">
        <v>-29</v>
      </c>
    </row>
    <row r="350" spans="1:12" ht="45">
      <c r="A350" s="76" t="s">
        <v>1134</v>
      </c>
      <c r="B350" s="76" t="s">
        <v>1135</v>
      </c>
      <c r="C350" s="76" t="s">
        <v>307</v>
      </c>
      <c r="D350" s="76" t="s">
        <v>1136</v>
      </c>
      <c r="E350" s="79"/>
      <c r="F350" s="76"/>
      <c r="G350" s="76" t="s">
        <v>202</v>
      </c>
      <c r="H350" s="76" t="s">
        <v>273</v>
      </c>
      <c r="I350" s="78">
        <v>45961</v>
      </c>
      <c r="J350" s="78">
        <v>45961</v>
      </c>
      <c r="K350" s="77">
        <v>-29</v>
      </c>
      <c r="L350" s="77">
        <v>-29</v>
      </c>
    </row>
    <row r="351" spans="1:12" ht="45">
      <c r="A351" s="76" t="s">
        <v>1134</v>
      </c>
      <c r="B351" s="76" t="s">
        <v>1137</v>
      </c>
      <c r="C351" s="76" t="s">
        <v>307</v>
      </c>
      <c r="D351" s="76" t="s">
        <v>1138</v>
      </c>
      <c r="E351" s="79"/>
      <c r="F351" s="76"/>
      <c r="G351" s="76" t="s">
        <v>202</v>
      </c>
      <c r="H351" s="76" t="s">
        <v>273</v>
      </c>
      <c r="I351" s="78">
        <v>45961</v>
      </c>
      <c r="J351" s="78">
        <v>45961</v>
      </c>
      <c r="K351" s="77">
        <v>-29</v>
      </c>
      <c r="L351" s="77">
        <v>-29</v>
      </c>
    </row>
    <row r="352" spans="1:12" ht="33.75">
      <c r="A352" s="76" t="s">
        <v>1152</v>
      </c>
      <c r="B352" s="76" t="s">
        <v>1153</v>
      </c>
      <c r="C352" s="76" t="s">
        <v>307</v>
      </c>
      <c r="D352" s="76" t="s">
        <v>1154</v>
      </c>
      <c r="E352" s="77">
        <v>191.29</v>
      </c>
      <c r="F352" s="76" t="s">
        <v>157</v>
      </c>
      <c r="G352" s="76"/>
      <c r="H352" s="76" t="s">
        <v>273</v>
      </c>
      <c r="I352" s="78">
        <v>45962</v>
      </c>
      <c r="J352" s="78">
        <v>45962</v>
      </c>
      <c r="K352" s="77">
        <v>-28</v>
      </c>
      <c r="L352" s="77">
        <v>-28</v>
      </c>
    </row>
    <row r="353" spans="1:12" ht="22.5">
      <c r="A353" s="76" t="s">
        <v>1150</v>
      </c>
      <c r="B353" s="76" t="s">
        <v>458</v>
      </c>
      <c r="C353" s="76" t="s">
        <v>307</v>
      </c>
      <c r="D353" s="76" t="s">
        <v>1151</v>
      </c>
      <c r="E353" s="79"/>
      <c r="F353" s="76" t="s">
        <v>194</v>
      </c>
      <c r="G353" s="76"/>
      <c r="H353" s="76" t="s">
        <v>273</v>
      </c>
      <c r="I353" s="78">
        <v>45966</v>
      </c>
      <c r="J353" s="78">
        <v>45962</v>
      </c>
      <c r="K353" s="77">
        <v>-24</v>
      </c>
      <c r="L353" s="77">
        <v>-28</v>
      </c>
    </row>
    <row r="354" spans="1:12" ht="33.75">
      <c r="A354" s="76" t="s">
        <v>1148</v>
      </c>
      <c r="B354" s="76" t="s">
        <v>1147</v>
      </c>
      <c r="C354" s="76" t="s">
        <v>1668</v>
      </c>
      <c r="D354" s="76" t="s">
        <v>1149</v>
      </c>
      <c r="E354" s="77">
        <v>21.22</v>
      </c>
      <c r="F354" s="76" t="s">
        <v>57</v>
      </c>
      <c r="G354" s="76"/>
      <c r="H354" s="76" t="s">
        <v>273</v>
      </c>
      <c r="I354" s="78">
        <v>45972</v>
      </c>
      <c r="J354" s="78">
        <v>45962</v>
      </c>
      <c r="K354" s="77">
        <v>-18</v>
      </c>
      <c r="L354" s="77">
        <v>-28</v>
      </c>
    </row>
    <row r="355" spans="1:12" ht="22.5">
      <c r="A355" s="76" t="s">
        <v>1145</v>
      </c>
      <c r="B355" s="76" t="s">
        <v>1066</v>
      </c>
      <c r="C355" s="76" t="s">
        <v>307</v>
      </c>
      <c r="D355" s="76" t="s">
        <v>1146</v>
      </c>
      <c r="E355" s="77">
        <v>148.21</v>
      </c>
      <c r="F355" s="76" t="s">
        <v>66</v>
      </c>
      <c r="G355" s="76"/>
      <c r="H355" s="76" t="s">
        <v>272</v>
      </c>
      <c r="I355" s="78">
        <v>45973</v>
      </c>
      <c r="J355" s="78">
        <v>45962</v>
      </c>
      <c r="K355" s="77">
        <v>-17</v>
      </c>
      <c r="L355" s="77">
        <v>-28</v>
      </c>
    </row>
    <row r="356" spans="1:12" ht="45">
      <c r="A356" s="76" t="s">
        <v>1161</v>
      </c>
      <c r="B356" s="76" t="s">
        <v>1160</v>
      </c>
      <c r="C356" s="76" t="s">
        <v>307</v>
      </c>
      <c r="D356" s="76" t="s">
        <v>1162</v>
      </c>
      <c r="E356" s="77">
        <v>19.940000000000001</v>
      </c>
      <c r="F356" s="76"/>
      <c r="G356" s="76" t="s">
        <v>187</v>
      </c>
      <c r="H356" s="76" t="s">
        <v>273</v>
      </c>
      <c r="I356" s="78">
        <v>45969</v>
      </c>
      <c r="J356" s="78">
        <v>45964</v>
      </c>
      <c r="K356" s="77">
        <v>-21</v>
      </c>
      <c r="L356" s="77">
        <v>-26</v>
      </c>
    </row>
    <row r="357" spans="1:12" ht="45">
      <c r="A357" s="76" t="s">
        <v>1163</v>
      </c>
      <c r="B357" s="76" t="s">
        <v>1164</v>
      </c>
      <c r="C357" s="76" t="s">
        <v>307</v>
      </c>
      <c r="D357" s="76" t="s">
        <v>1165</v>
      </c>
      <c r="E357" s="77">
        <v>219.34</v>
      </c>
      <c r="F357" s="76"/>
      <c r="G357" s="76" t="s">
        <v>187</v>
      </c>
      <c r="H357" s="76" t="s">
        <v>273</v>
      </c>
      <c r="I357" s="78">
        <v>45971</v>
      </c>
      <c r="J357" s="78">
        <v>45964</v>
      </c>
      <c r="K357" s="77">
        <v>-19</v>
      </c>
      <c r="L357" s="77">
        <v>-26</v>
      </c>
    </row>
    <row r="358" spans="1:12" ht="45">
      <c r="A358" s="76" t="s">
        <v>1157</v>
      </c>
      <c r="B358" s="76" t="s">
        <v>1158</v>
      </c>
      <c r="C358" s="76" t="s">
        <v>307</v>
      </c>
      <c r="D358" s="76" t="s">
        <v>1159</v>
      </c>
      <c r="E358" s="79"/>
      <c r="F358" s="76"/>
      <c r="G358" s="76" t="s">
        <v>202</v>
      </c>
      <c r="H358" s="76" t="s">
        <v>273</v>
      </c>
      <c r="I358" s="78">
        <v>45971</v>
      </c>
      <c r="J358" s="78">
        <v>45964</v>
      </c>
      <c r="K358" s="77">
        <v>-19</v>
      </c>
      <c r="L358" s="77">
        <v>-26</v>
      </c>
    </row>
    <row r="359" spans="1:12" ht="33.75">
      <c r="A359" s="76" t="s">
        <v>1155</v>
      </c>
      <c r="B359" s="76" t="s">
        <v>1166</v>
      </c>
      <c r="C359" s="76" t="s">
        <v>307</v>
      </c>
      <c r="D359" s="76" t="s">
        <v>1167</v>
      </c>
      <c r="E359" s="77">
        <v>39.58</v>
      </c>
      <c r="F359" s="76" t="s">
        <v>60</v>
      </c>
      <c r="G359" s="76"/>
      <c r="H359" s="76" t="s">
        <v>273</v>
      </c>
      <c r="I359" s="78">
        <v>45968</v>
      </c>
      <c r="J359" s="78">
        <v>45964</v>
      </c>
      <c r="K359" s="77">
        <v>-22</v>
      </c>
      <c r="L359" s="77">
        <v>-26</v>
      </c>
    </row>
    <row r="360" spans="1:12" ht="56.25">
      <c r="A360" s="76" t="s">
        <v>1169</v>
      </c>
      <c r="B360" s="76" t="s">
        <v>1170</v>
      </c>
      <c r="C360" s="76" t="s">
        <v>307</v>
      </c>
      <c r="D360" s="76" t="s">
        <v>1171</v>
      </c>
      <c r="E360" s="77">
        <v>169.93</v>
      </c>
      <c r="F360" s="76" t="s">
        <v>184</v>
      </c>
      <c r="G360" s="76"/>
      <c r="H360" s="76" t="s">
        <v>272</v>
      </c>
      <c r="I360" s="78">
        <v>45972</v>
      </c>
      <c r="J360" s="78">
        <v>45965</v>
      </c>
      <c r="K360" s="77">
        <v>-18</v>
      </c>
      <c r="L360" s="77">
        <v>-25</v>
      </c>
    </row>
    <row r="361" spans="1:12" ht="33.75">
      <c r="A361" s="76" t="s">
        <v>1172</v>
      </c>
      <c r="B361" s="76" t="s">
        <v>1173</v>
      </c>
      <c r="C361" s="76" t="s">
        <v>307</v>
      </c>
      <c r="D361" s="76" t="s">
        <v>1174</v>
      </c>
      <c r="E361" s="79"/>
      <c r="F361" s="76" t="s">
        <v>157</v>
      </c>
      <c r="G361" s="76"/>
      <c r="H361" s="76" t="s">
        <v>273</v>
      </c>
      <c r="I361" s="78">
        <v>45975</v>
      </c>
      <c r="J361" s="78">
        <v>45965</v>
      </c>
      <c r="K361" s="77">
        <v>-15</v>
      </c>
      <c r="L361" s="77">
        <v>-25</v>
      </c>
    </row>
    <row r="362" spans="1:12" ht="33.75">
      <c r="A362" s="76" t="s">
        <v>1175</v>
      </c>
      <c r="B362" s="76" t="s">
        <v>1176</v>
      </c>
      <c r="C362" s="76" t="s">
        <v>307</v>
      </c>
      <c r="D362" s="76" t="s">
        <v>1177</v>
      </c>
      <c r="E362" s="79"/>
      <c r="F362" s="76" t="s">
        <v>157</v>
      </c>
      <c r="G362" s="76"/>
      <c r="H362" s="76" t="s">
        <v>273</v>
      </c>
      <c r="I362" s="78">
        <v>45975</v>
      </c>
      <c r="J362" s="78">
        <v>45965</v>
      </c>
      <c r="K362" s="77">
        <v>-15</v>
      </c>
      <c r="L362" s="77">
        <v>-25</v>
      </c>
    </row>
    <row r="363" spans="1:12" ht="33.75">
      <c r="A363" s="76" t="s">
        <v>1175</v>
      </c>
      <c r="B363" s="76" t="s">
        <v>1178</v>
      </c>
      <c r="C363" s="76" t="s">
        <v>307</v>
      </c>
      <c r="D363" s="76" t="s">
        <v>1179</v>
      </c>
      <c r="E363" s="79"/>
      <c r="F363" s="76" t="s">
        <v>157</v>
      </c>
      <c r="G363" s="76"/>
      <c r="H363" s="76" t="s">
        <v>273</v>
      </c>
      <c r="I363" s="78">
        <v>45975</v>
      </c>
      <c r="J363" s="78">
        <v>45965</v>
      </c>
      <c r="K363" s="77">
        <v>-15</v>
      </c>
      <c r="L363" s="77">
        <v>-25</v>
      </c>
    </row>
    <row r="364" spans="1:12" ht="33.75">
      <c r="A364" s="76" t="s">
        <v>1180</v>
      </c>
      <c r="B364" s="76" t="s">
        <v>1181</v>
      </c>
      <c r="C364" s="76" t="s">
        <v>307</v>
      </c>
      <c r="D364" s="76" t="s">
        <v>1182</v>
      </c>
      <c r="E364" s="79"/>
      <c r="F364" s="76" t="s">
        <v>167</v>
      </c>
      <c r="G364" s="76"/>
      <c r="H364" s="76" t="s">
        <v>273</v>
      </c>
      <c r="I364" s="78">
        <v>45972</v>
      </c>
      <c r="J364" s="78">
        <v>45965</v>
      </c>
      <c r="K364" s="77">
        <v>-18</v>
      </c>
      <c r="L364" s="77">
        <v>-25</v>
      </c>
    </row>
    <row r="365" spans="1:12" ht="33.75">
      <c r="A365" s="76" t="s">
        <v>1180</v>
      </c>
      <c r="B365" s="76" t="s">
        <v>1181</v>
      </c>
      <c r="C365" s="76" t="s">
        <v>1183</v>
      </c>
      <c r="D365" s="76" t="s">
        <v>1184</v>
      </c>
      <c r="E365" s="77">
        <v>151.13999999999999</v>
      </c>
      <c r="F365" s="76" t="s">
        <v>165</v>
      </c>
      <c r="G365" s="76"/>
      <c r="H365" s="76" t="s">
        <v>273</v>
      </c>
      <c r="I365" s="78">
        <v>45972</v>
      </c>
      <c r="J365" s="78">
        <v>45965</v>
      </c>
      <c r="K365" s="77">
        <v>-18</v>
      </c>
      <c r="L365" s="77">
        <v>-25</v>
      </c>
    </row>
    <row r="366" spans="1:12" ht="33.75">
      <c r="A366" s="76" t="s">
        <v>1180</v>
      </c>
      <c r="B366" s="76" t="s">
        <v>1185</v>
      </c>
      <c r="C366" s="76" t="s">
        <v>1186</v>
      </c>
      <c r="D366" s="76" t="s">
        <v>1187</v>
      </c>
      <c r="E366" s="79"/>
      <c r="F366" s="76" t="s">
        <v>146</v>
      </c>
      <c r="G366" s="76"/>
      <c r="H366" s="76" t="s">
        <v>272</v>
      </c>
      <c r="I366" s="78">
        <v>45972</v>
      </c>
      <c r="J366" s="78">
        <v>45965</v>
      </c>
      <c r="K366" s="77">
        <v>-18</v>
      </c>
      <c r="L366" s="77">
        <v>-25</v>
      </c>
    </row>
    <row r="367" spans="1:12" ht="33.75">
      <c r="A367" s="76" t="s">
        <v>1180</v>
      </c>
      <c r="B367" s="76" t="s">
        <v>1185</v>
      </c>
      <c r="C367" s="76" t="s">
        <v>1188</v>
      </c>
      <c r="D367" s="76" t="s">
        <v>1189</v>
      </c>
      <c r="E367" s="77">
        <v>152.88999999999999</v>
      </c>
      <c r="F367" s="76" t="s">
        <v>165</v>
      </c>
      <c r="G367" s="76"/>
      <c r="H367" s="76" t="s">
        <v>272</v>
      </c>
      <c r="I367" s="78">
        <v>45972</v>
      </c>
      <c r="J367" s="78">
        <v>45965</v>
      </c>
      <c r="K367" s="77">
        <v>-18</v>
      </c>
      <c r="L367" s="77">
        <v>-25</v>
      </c>
    </row>
    <row r="368" spans="1:12" ht="33.75">
      <c r="A368" s="76" t="s">
        <v>1190</v>
      </c>
      <c r="B368" s="76" t="s">
        <v>1191</v>
      </c>
      <c r="C368" s="76" t="s">
        <v>307</v>
      </c>
      <c r="D368" s="76" t="s">
        <v>1192</v>
      </c>
      <c r="E368" s="79"/>
      <c r="F368" s="76" t="s">
        <v>157</v>
      </c>
      <c r="G368" s="76"/>
      <c r="H368" s="76" t="s">
        <v>273</v>
      </c>
      <c r="I368" s="78">
        <v>45975</v>
      </c>
      <c r="J368" s="78">
        <v>45965</v>
      </c>
      <c r="K368" s="77">
        <v>-15</v>
      </c>
      <c r="L368" s="77">
        <v>-25</v>
      </c>
    </row>
    <row r="369" spans="1:12" ht="33.75">
      <c r="A369" s="76" t="s">
        <v>1190</v>
      </c>
      <c r="B369" s="76" t="s">
        <v>1193</v>
      </c>
      <c r="C369" s="76" t="s">
        <v>307</v>
      </c>
      <c r="D369" s="76" t="s">
        <v>1194</v>
      </c>
      <c r="E369" s="79"/>
      <c r="F369" s="76" t="s">
        <v>157</v>
      </c>
      <c r="G369" s="76"/>
      <c r="H369" s="76" t="s">
        <v>273</v>
      </c>
      <c r="I369" s="78">
        <v>45975</v>
      </c>
      <c r="J369" s="78">
        <v>45965</v>
      </c>
      <c r="K369" s="77">
        <v>-15</v>
      </c>
      <c r="L369" s="77">
        <v>-25</v>
      </c>
    </row>
    <row r="370" spans="1:12" ht="33.75">
      <c r="A370" s="76" t="s">
        <v>1190</v>
      </c>
      <c r="B370" s="76" t="s">
        <v>1195</v>
      </c>
      <c r="C370" s="76" t="s">
        <v>307</v>
      </c>
      <c r="D370" s="76" t="s">
        <v>1196</v>
      </c>
      <c r="E370" s="79"/>
      <c r="F370" s="76" t="s">
        <v>157</v>
      </c>
      <c r="G370" s="76"/>
      <c r="H370" s="76" t="s">
        <v>273</v>
      </c>
      <c r="I370" s="78">
        <v>45975</v>
      </c>
      <c r="J370" s="78">
        <v>45965</v>
      </c>
      <c r="K370" s="77">
        <v>-15</v>
      </c>
      <c r="L370" s="77">
        <v>-25</v>
      </c>
    </row>
    <row r="371" spans="1:12" ht="45">
      <c r="A371" s="76" t="s">
        <v>1197</v>
      </c>
      <c r="B371" s="76" t="s">
        <v>1198</v>
      </c>
      <c r="C371" s="76" t="s">
        <v>1199</v>
      </c>
      <c r="D371" s="76" t="s">
        <v>1200</v>
      </c>
      <c r="E371" s="79"/>
      <c r="F371" s="76" t="s">
        <v>167</v>
      </c>
      <c r="G371" s="76"/>
      <c r="H371" s="76" t="s">
        <v>273</v>
      </c>
      <c r="I371" s="78">
        <v>45965</v>
      </c>
      <c r="J371" s="78">
        <v>45965</v>
      </c>
      <c r="K371" s="77">
        <v>-25</v>
      </c>
      <c r="L371" s="77">
        <v>-25</v>
      </c>
    </row>
    <row r="372" spans="1:12" ht="33.75">
      <c r="A372" s="76" t="s">
        <v>1203</v>
      </c>
      <c r="B372" s="76" t="s">
        <v>1204</v>
      </c>
      <c r="C372" s="76" t="s">
        <v>307</v>
      </c>
      <c r="D372" s="76" t="s">
        <v>1205</v>
      </c>
      <c r="E372" s="79"/>
      <c r="F372" s="76" t="s">
        <v>157</v>
      </c>
      <c r="G372" s="76"/>
      <c r="H372" s="76" t="s">
        <v>273</v>
      </c>
      <c r="I372" s="78">
        <v>45973</v>
      </c>
      <c r="J372" s="78">
        <v>45966</v>
      </c>
      <c r="K372" s="77">
        <v>-17</v>
      </c>
      <c r="L372" s="77">
        <v>-24</v>
      </c>
    </row>
    <row r="373" spans="1:12" ht="33.75">
      <c r="A373" s="76" t="s">
        <v>1203</v>
      </c>
      <c r="B373" s="76" t="s">
        <v>1206</v>
      </c>
      <c r="C373" s="76" t="s">
        <v>307</v>
      </c>
      <c r="D373" s="76" t="s">
        <v>1207</v>
      </c>
      <c r="E373" s="79"/>
      <c r="F373" s="76" t="s">
        <v>157</v>
      </c>
      <c r="G373" s="76"/>
      <c r="H373" s="76" t="s">
        <v>273</v>
      </c>
      <c r="I373" s="78">
        <v>45973</v>
      </c>
      <c r="J373" s="78">
        <v>45966</v>
      </c>
      <c r="K373" s="77">
        <v>-17</v>
      </c>
      <c r="L373" s="77">
        <v>-24</v>
      </c>
    </row>
    <row r="374" spans="1:12" ht="45">
      <c r="A374" s="76" t="s">
        <v>1208</v>
      </c>
      <c r="B374" s="76" t="s">
        <v>1209</v>
      </c>
      <c r="C374" s="76" t="s">
        <v>307</v>
      </c>
      <c r="D374" s="76" t="s">
        <v>1210</v>
      </c>
      <c r="E374" s="79"/>
      <c r="F374" s="76"/>
      <c r="G374" s="76" t="s">
        <v>201</v>
      </c>
      <c r="H374" s="76" t="s">
        <v>272</v>
      </c>
      <c r="I374" s="78">
        <v>45976</v>
      </c>
      <c r="J374" s="78">
        <v>45966</v>
      </c>
      <c r="K374" s="77">
        <v>-14</v>
      </c>
      <c r="L374" s="77">
        <v>-24</v>
      </c>
    </row>
    <row r="375" spans="1:12" ht="33.75">
      <c r="A375" s="76" t="s">
        <v>1211</v>
      </c>
      <c r="B375" s="76" t="s">
        <v>1212</v>
      </c>
      <c r="C375" s="76" t="s">
        <v>1213</v>
      </c>
      <c r="D375" s="76" t="s">
        <v>1214</v>
      </c>
      <c r="E375" s="77">
        <v>367.9</v>
      </c>
      <c r="F375" s="76" t="s">
        <v>894</v>
      </c>
      <c r="G375" s="76"/>
      <c r="H375" s="76" t="s">
        <v>1417</v>
      </c>
      <c r="I375" s="78">
        <v>45976</v>
      </c>
      <c r="J375" s="78">
        <v>45966</v>
      </c>
      <c r="K375" s="77">
        <v>-14</v>
      </c>
      <c r="L375" s="77">
        <v>-24</v>
      </c>
    </row>
    <row r="376" spans="1:12" ht="22.5">
      <c r="A376" s="76" t="s">
        <v>1211</v>
      </c>
      <c r="B376" s="76" t="s">
        <v>1215</v>
      </c>
      <c r="C376" s="76" t="s">
        <v>1216</v>
      </c>
      <c r="D376" s="76" t="s">
        <v>1217</v>
      </c>
      <c r="E376" s="77">
        <v>309.14999999999998</v>
      </c>
      <c r="F376" s="76" t="s">
        <v>894</v>
      </c>
      <c r="G376" s="76"/>
      <c r="H376" s="76" t="s">
        <v>1417</v>
      </c>
      <c r="I376" s="78">
        <v>45976</v>
      </c>
      <c r="J376" s="78">
        <v>45966</v>
      </c>
      <c r="K376" s="77">
        <v>-14</v>
      </c>
      <c r="L376" s="77">
        <v>-24</v>
      </c>
    </row>
    <row r="377" spans="1:12" ht="22.5">
      <c r="A377" s="76" t="s">
        <v>1211</v>
      </c>
      <c r="B377" s="76" t="s">
        <v>1218</v>
      </c>
      <c r="C377" s="76" t="s">
        <v>1216</v>
      </c>
      <c r="D377" s="76" t="s">
        <v>1219</v>
      </c>
      <c r="E377" s="77">
        <v>309.14999999999998</v>
      </c>
      <c r="F377" s="76" t="s">
        <v>894</v>
      </c>
      <c r="G377" s="76"/>
      <c r="H377" s="76" t="s">
        <v>1417</v>
      </c>
      <c r="I377" s="78">
        <v>45976</v>
      </c>
      <c r="J377" s="78">
        <v>45966</v>
      </c>
      <c r="K377" s="77">
        <v>-14</v>
      </c>
      <c r="L377" s="77">
        <v>-24</v>
      </c>
    </row>
    <row r="378" spans="1:12" ht="33.75">
      <c r="A378" s="76" t="s">
        <v>1211</v>
      </c>
      <c r="B378" s="76" t="s">
        <v>1220</v>
      </c>
      <c r="C378" s="76" t="s">
        <v>1213</v>
      </c>
      <c r="D378" s="76" t="s">
        <v>1221</v>
      </c>
      <c r="E378" s="77">
        <v>367.9</v>
      </c>
      <c r="F378" s="76" t="s">
        <v>894</v>
      </c>
      <c r="G378" s="76"/>
      <c r="H378" s="76" t="s">
        <v>1417</v>
      </c>
      <c r="I378" s="78">
        <v>45976</v>
      </c>
      <c r="J378" s="78">
        <v>45966</v>
      </c>
      <c r="K378" s="77">
        <v>-14</v>
      </c>
      <c r="L378" s="77">
        <v>-24</v>
      </c>
    </row>
    <row r="379" spans="1:12" ht="33.75">
      <c r="A379" s="76" t="s">
        <v>1211</v>
      </c>
      <c r="B379" s="76" t="s">
        <v>1222</v>
      </c>
      <c r="C379" s="76" t="s">
        <v>1213</v>
      </c>
      <c r="D379" s="76" t="s">
        <v>1223</v>
      </c>
      <c r="E379" s="77">
        <v>367.9</v>
      </c>
      <c r="F379" s="76" t="s">
        <v>894</v>
      </c>
      <c r="G379" s="76"/>
      <c r="H379" s="76" t="s">
        <v>1417</v>
      </c>
      <c r="I379" s="78">
        <v>45976</v>
      </c>
      <c r="J379" s="78">
        <v>45966</v>
      </c>
      <c r="K379" s="77">
        <v>-14</v>
      </c>
      <c r="L379" s="77">
        <v>-24</v>
      </c>
    </row>
    <row r="380" spans="1:12" ht="33.75">
      <c r="A380" s="76" t="s">
        <v>1211</v>
      </c>
      <c r="B380" s="76" t="s">
        <v>1224</v>
      </c>
      <c r="C380" s="76" t="s">
        <v>1213</v>
      </c>
      <c r="D380" s="76" t="s">
        <v>1225</v>
      </c>
      <c r="E380" s="77">
        <v>367.9</v>
      </c>
      <c r="F380" s="76" t="s">
        <v>894</v>
      </c>
      <c r="G380" s="76"/>
      <c r="H380" s="76" t="s">
        <v>1417</v>
      </c>
      <c r="I380" s="78">
        <v>45976</v>
      </c>
      <c r="J380" s="78">
        <v>45966</v>
      </c>
      <c r="K380" s="77">
        <v>-14</v>
      </c>
      <c r="L380" s="77">
        <v>-24</v>
      </c>
    </row>
    <row r="381" spans="1:12" ht="22.5">
      <c r="A381" s="76" t="s">
        <v>1211</v>
      </c>
      <c r="B381" s="76" t="s">
        <v>1226</v>
      </c>
      <c r="C381" s="76" t="s">
        <v>1216</v>
      </c>
      <c r="D381" s="76" t="s">
        <v>1227</v>
      </c>
      <c r="E381" s="77">
        <v>309.14999999999998</v>
      </c>
      <c r="F381" s="76" t="s">
        <v>894</v>
      </c>
      <c r="G381" s="76"/>
      <c r="H381" s="76" t="s">
        <v>1417</v>
      </c>
      <c r="I381" s="78">
        <v>45976</v>
      </c>
      <c r="J381" s="78">
        <v>45966</v>
      </c>
      <c r="K381" s="77">
        <v>-14</v>
      </c>
      <c r="L381" s="77">
        <v>-24</v>
      </c>
    </row>
    <row r="382" spans="1:12" ht="22.5">
      <c r="A382" s="76" t="s">
        <v>1211</v>
      </c>
      <c r="B382" s="76" t="s">
        <v>1228</v>
      </c>
      <c r="C382" s="76" t="s">
        <v>1216</v>
      </c>
      <c r="D382" s="76" t="s">
        <v>1229</v>
      </c>
      <c r="E382" s="77">
        <v>309.14999999999998</v>
      </c>
      <c r="F382" s="76" t="s">
        <v>894</v>
      </c>
      <c r="G382" s="76"/>
      <c r="H382" s="76" t="s">
        <v>1417</v>
      </c>
      <c r="I382" s="78">
        <v>45976</v>
      </c>
      <c r="J382" s="78">
        <v>45966</v>
      </c>
      <c r="K382" s="77">
        <v>-14</v>
      </c>
      <c r="L382" s="77">
        <v>-24</v>
      </c>
    </row>
    <row r="383" spans="1:12" ht="33.75">
      <c r="A383" s="76" t="s">
        <v>1211</v>
      </c>
      <c r="B383" s="76" t="s">
        <v>1230</v>
      </c>
      <c r="C383" s="76" t="s">
        <v>1213</v>
      </c>
      <c r="D383" s="76" t="s">
        <v>1231</v>
      </c>
      <c r="E383" s="77">
        <v>367.9</v>
      </c>
      <c r="F383" s="76" t="s">
        <v>894</v>
      </c>
      <c r="G383" s="76"/>
      <c r="H383" s="76" t="s">
        <v>1417</v>
      </c>
      <c r="I383" s="78">
        <v>45976</v>
      </c>
      <c r="J383" s="78">
        <v>45966</v>
      </c>
      <c r="K383" s="77">
        <v>-14</v>
      </c>
      <c r="L383" s="77">
        <v>-24</v>
      </c>
    </row>
    <row r="384" spans="1:12" ht="22.5">
      <c r="A384" s="76" t="s">
        <v>1211</v>
      </c>
      <c r="B384" s="76" t="s">
        <v>1232</v>
      </c>
      <c r="C384" s="76" t="s">
        <v>1216</v>
      </c>
      <c r="D384" s="76" t="s">
        <v>1233</v>
      </c>
      <c r="E384" s="77">
        <v>309.14999999999998</v>
      </c>
      <c r="F384" s="76" t="s">
        <v>894</v>
      </c>
      <c r="G384" s="76"/>
      <c r="H384" s="76" t="s">
        <v>1417</v>
      </c>
      <c r="I384" s="78">
        <v>45976</v>
      </c>
      <c r="J384" s="78">
        <v>45966</v>
      </c>
      <c r="K384" s="77">
        <v>-14</v>
      </c>
      <c r="L384" s="77">
        <v>-24</v>
      </c>
    </row>
    <row r="385" spans="1:12" ht="33.75">
      <c r="A385" s="76" t="s">
        <v>1211</v>
      </c>
      <c r="B385" s="76" t="s">
        <v>1234</v>
      </c>
      <c r="C385" s="76" t="s">
        <v>1213</v>
      </c>
      <c r="D385" s="76" t="s">
        <v>1235</v>
      </c>
      <c r="E385" s="77">
        <v>367.9</v>
      </c>
      <c r="F385" s="76" t="s">
        <v>894</v>
      </c>
      <c r="G385" s="76"/>
      <c r="H385" s="76" t="s">
        <v>1417</v>
      </c>
      <c r="I385" s="78">
        <v>45976</v>
      </c>
      <c r="J385" s="78">
        <v>45966</v>
      </c>
      <c r="K385" s="77">
        <v>-14</v>
      </c>
      <c r="L385" s="77">
        <v>-24</v>
      </c>
    </row>
    <row r="386" spans="1:12" ht="33.75">
      <c r="A386" s="76" t="s">
        <v>1211</v>
      </c>
      <c r="B386" s="76" t="s">
        <v>1236</v>
      </c>
      <c r="C386" s="76" t="s">
        <v>1213</v>
      </c>
      <c r="D386" s="76" t="s">
        <v>1237</v>
      </c>
      <c r="E386" s="77">
        <v>367.9</v>
      </c>
      <c r="F386" s="76" t="s">
        <v>894</v>
      </c>
      <c r="G386" s="76"/>
      <c r="H386" s="76" t="s">
        <v>1417</v>
      </c>
      <c r="I386" s="78">
        <v>45976</v>
      </c>
      <c r="J386" s="78">
        <v>45966</v>
      </c>
      <c r="K386" s="77">
        <v>-14</v>
      </c>
      <c r="L386" s="77">
        <v>-24</v>
      </c>
    </row>
    <row r="387" spans="1:12" ht="22.5">
      <c r="A387" s="76" t="s">
        <v>1211</v>
      </c>
      <c r="B387" s="76" t="s">
        <v>1238</v>
      </c>
      <c r="C387" s="76" t="s">
        <v>1239</v>
      </c>
      <c r="D387" s="76" t="s">
        <v>1240</v>
      </c>
      <c r="E387" s="77">
        <v>9.85</v>
      </c>
      <c r="F387" s="76" t="s">
        <v>894</v>
      </c>
      <c r="G387" s="76"/>
      <c r="H387" s="76" t="s">
        <v>1417</v>
      </c>
      <c r="I387" s="78">
        <v>45976</v>
      </c>
      <c r="J387" s="78">
        <v>45966</v>
      </c>
      <c r="K387" s="77">
        <v>-14</v>
      </c>
      <c r="L387" s="77">
        <v>-24</v>
      </c>
    </row>
    <row r="388" spans="1:12" ht="33.75">
      <c r="A388" s="76" t="s">
        <v>1211</v>
      </c>
      <c r="B388" s="76" t="s">
        <v>1241</v>
      </c>
      <c r="C388" s="76" t="s">
        <v>1213</v>
      </c>
      <c r="D388" s="76" t="s">
        <v>1242</v>
      </c>
      <c r="E388" s="77">
        <v>367.9</v>
      </c>
      <c r="F388" s="76" t="s">
        <v>894</v>
      </c>
      <c r="G388" s="76"/>
      <c r="H388" s="76" t="s">
        <v>1417</v>
      </c>
      <c r="I388" s="78">
        <v>45976</v>
      </c>
      <c r="J388" s="78">
        <v>45966</v>
      </c>
      <c r="K388" s="77">
        <v>-14</v>
      </c>
      <c r="L388" s="77">
        <v>-24</v>
      </c>
    </row>
    <row r="389" spans="1:12" ht="33.75">
      <c r="A389" s="76" t="s">
        <v>1211</v>
      </c>
      <c r="B389" s="76" t="s">
        <v>1243</v>
      </c>
      <c r="C389" s="76" t="s">
        <v>1213</v>
      </c>
      <c r="D389" s="76" t="s">
        <v>1244</v>
      </c>
      <c r="E389" s="77">
        <v>367.9</v>
      </c>
      <c r="F389" s="76" t="s">
        <v>894</v>
      </c>
      <c r="G389" s="76"/>
      <c r="H389" s="76" t="s">
        <v>1417</v>
      </c>
      <c r="I389" s="78">
        <v>45976</v>
      </c>
      <c r="J389" s="78">
        <v>45966</v>
      </c>
      <c r="K389" s="77">
        <v>-14</v>
      </c>
      <c r="L389" s="77">
        <v>-24</v>
      </c>
    </row>
    <row r="390" spans="1:12" ht="33.75">
      <c r="A390" s="76" t="s">
        <v>1211</v>
      </c>
      <c r="B390" s="76" t="s">
        <v>1245</v>
      </c>
      <c r="C390" s="76" t="s">
        <v>1213</v>
      </c>
      <c r="D390" s="76" t="s">
        <v>1246</v>
      </c>
      <c r="E390" s="77">
        <v>367.9</v>
      </c>
      <c r="F390" s="76" t="s">
        <v>894</v>
      </c>
      <c r="G390" s="76"/>
      <c r="H390" s="76" t="s">
        <v>1417</v>
      </c>
      <c r="I390" s="78">
        <v>45976</v>
      </c>
      <c r="J390" s="78">
        <v>45966</v>
      </c>
      <c r="K390" s="77">
        <v>-14</v>
      </c>
      <c r="L390" s="77">
        <v>-24</v>
      </c>
    </row>
    <row r="391" spans="1:12" ht="22.5">
      <c r="A391" s="76" t="s">
        <v>1211</v>
      </c>
      <c r="B391" s="76" t="s">
        <v>1247</v>
      </c>
      <c r="C391" s="76" t="s">
        <v>1248</v>
      </c>
      <c r="D391" s="76" t="s">
        <v>1249</v>
      </c>
      <c r="E391" s="77">
        <v>10.832000000000001</v>
      </c>
      <c r="F391" s="76" t="s">
        <v>894</v>
      </c>
      <c r="G391" s="76"/>
      <c r="H391" s="76" t="s">
        <v>1417</v>
      </c>
      <c r="I391" s="78">
        <v>45976</v>
      </c>
      <c r="J391" s="78">
        <v>45966</v>
      </c>
      <c r="K391" s="77">
        <v>-14</v>
      </c>
      <c r="L391" s="77">
        <v>-24</v>
      </c>
    </row>
    <row r="392" spans="1:12" ht="45">
      <c r="A392" s="76" t="s">
        <v>1250</v>
      </c>
      <c r="B392" s="76" t="s">
        <v>1251</v>
      </c>
      <c r="C392" s="76" t="s">
        <v>307</v>
      </c>
      <c r="D392" s="76" t="s">
        <v>1252</v>
      </c>
      <c r="E392" s="77">
        <v>157.38999999999999</v>
      </c>
      <c r="F392" s="76"/>
      <c r="G392" s="76" t="s">
        <v>221</v>
      </c>
      <c r="H392" s="76" t="s">
        <v>272</v>
      </c>
      <c r="I392" s="78">
        <v>45976</v>
      </c>
      <c r="J392" s="78">
        <v>45966</v>
      </c>
      <c r="K392" s="77">
        <v>-14</v>
      </c>
      <c r="L392" s="77">
        <v>-24</v>
      </c>
    </row>
    <row r="393" spans="1:12" ht="33.75">
      <c r="A393" s="76" t="s">
        <v>1253</v>
      </c>
      <c r="B393" s="76" t="s">
        <v>1254</v>
      </c>
      <c r="C393" s="76" t="s">
        <v>307</v>
      </c>
      <c r="D393" s="76" t="s">
        <v>1255</v>
      </c>
      <c r="E393" s="77">
        <v>1.36</v>
      </c>
      <c r="F393" s="76" t="s">
        <v>155</v>
      </c>
      <c r="G393" s="76"/>
      <c r="H393" s="76" t="s">
        <v>272</v>
      </c>
      <c r="I393" s="78">
        <v>45975</v>
      </c>
      <c r="J393" s="78">
        <v>45966</v>
      </c>
      <c r="K393" s="77">
        <v>-15</v>
      </c>
      <c r="L393" s="77">
        <v>-24</v>
      </c>
    </row>
    <row r="394" spans="1:12" ht="45">
      <c r="A394" s="76" t="s">
        <v>1253</v>
      </c>
      <c r="B394" s="76" t="s">
        <v>1256</v>
      </c>
      <c r="C394" s="76" t="s">
        <v>307</v>
      </c>
      <c r="D394" s="76" t="s">
        <v>1257</v>
      </c>
      <c r="E394" s="77">
        <v>68.72</v>
      </c>
      <c r="F394" s="76"/>
      <c r="G394" s="76" t="s">
        <v>221</v>
      </c>
      <c r="H394" s="76" t="s">
        <v>272</v>
      </c>
      <c r="I394" s="78">
        <v>45975</v>
      </c>
      <c r="J394" s="78">
        <v>45966</v>
      </c>
      <c r="K394" s="77">
        <v>-15</v>
      </c>
      <c r="L394" s="77">
        <v>-24</v>
      </c>
    </row>
    <row r="395" spans="1:12" ht="45">
      <c r="A395" s="76" t="s">
        <v>1258</v>
      </c>
      <c r="B395" s="76" t="s">
        <v>1251</v>
      </c>
      <c r="C395" s="76" t="s">
        <v>307</v>
      </c>
      <c r="D395" s="76" t="s">
        <v>1259</v>
      </c>
      <c r="E395" s="77">
        <v>203</v>
      </c>
      <c r="F395" s="76"/>
      <c r="G395" s="76" t="s">
        <v>221</v>
      </c>
      <c r="H395" s="76" t="s">
        <v>272</v>
      </c>
      <c r="I395" s="78">
        <v>45976</v>
      </c>
      <c r="J395" s="78">
        <v>45966</v>
      </c>
      <c r="K395" s="77">
        <v>-14</v>
      </c>
      <c r="L395" s="77">
        <v>-24</v>
      </c>
    </row>
    <row r="396" spans="1:12" ht="33.75">
      <c r="A396" s="76" t="s">
        <v>1260</v>
      </c>
      <c r="B396" s="76" t="s">
        <v>1261</v>
      </c>
      <c r="C396" s="76" t="s">
        <v>307</v>
      </c>
      <c r="D396" s="76" t="s">
        <v>1262</v>
      </c>
      <c r="E396" s="79"/>
      <c r="F396" s="76" t="s">
        <v>167</v>
      </c>
      <c r="G396" s="76"/>
      <c r="H396" s="76" t="s">
        <v>282</v>
      </c>
      <c r="I396" s="78">
        <v>45976</v>
      </c>
      <c r="J396" s="78">
        <v>45967</v>
      </c>
      <c r="K396" s="77">
        <v>-14</v>
      </c>
      <c r="L396" s="77">
        <v>-23</v>
      </c>
    </row>
    <row r="397" spans="1:12" ht="33.75">
      <c r="A397" s="76" t="s">
        <v>1260</v>
      </c>
      <c r="B397" s="76" t="s">
        <v>1263</v>
      </c>
      <c r="C397" s="76" t="s">
        <v>307</v>
      </c>
      <c r="D397" s="76" t="s">
        <v>1264</v>
      </c>
      <c r="E397" s="79"/>
      <c r="F397" s="76" t="s">
        <v>167</v>
      </c>
      <c r="G397" s="76"/>
      <c r="H397" s="76" t="s">
        <v>282</v>
      </c>
      <c r="I397" s="78">
        <v>45976</v>
      </c>
      <c r="J397" s="78">
        <v>45967</v>
      </c>
      <c r="K397" s="77">
        <v>-14</v>
      </c>
      <c r="L397" s="77">
        <v>-23</v>
      </c>
    </row>
    <row r="398" spans="1:12" ht="45">
      <c r="A398" s="76" t="s">
        <v>1265</v>
      </c>
      <c r="B398" s="76" t="s">
        <v>1266</v>
      </c>
      <c r="C398" s="76" t="s">
        <v>307</v>
      </c>
      <c r="D398" s="76" t="s">
        <v>1267</v>
      </c>
      <c r="E398" s="77">
        <v>51.81</v>
      </c>
      <c r="F398" s="76"/>
      <c r="G398" s="76" t="s">
        <v>187</v>
      </c>
      <c r="H398" s="76" t="s">
        <v>273</v>
      </c>
      <c r="I398" s="78">
        <v>45975</v>
      </c>
      <c r="J398" s="78">
        <v>45967</v>
      </c>
      <c r="K398" s="77">
        <v>-15</v>
      </c>
      <c r="L398" s="77">
        <v>-23</v>
      </c>
    </row>
    <row r="399" spans="1:12" ht="45">
      <c r="A399" s="76" t="s">
        <v>1265</v>
      </c>
      <c r="B399" s="76" t="s">
        <v>1268</v>
      </c>
      <c r="C399" s="76" t="s">
        <v>307</v>
      </c>
      <c r="D399" s="76" t="s">
        <v>1269</v>
      </c>
      <c r="E399" s="77">
        <v>26.24</v>
      </c>
      <c r="F399" s="76"/>
      <c r="G399" s="76" t="s">
        <v>187</v>
      </c>
      <c r="H399" s="76" t="s">
        <v>273</v>
      </c>
      <c r="I399" s="78">
        <v>45975</v>
      </c>
      <c r="J399" s="78">
        <v>45967</v>
      </c>
      <c r="K399" s="77">
        <v>-15</v>
      </c>
      <c r="L399" s="77">
        <v>-23</v>
      </c>
    </row>
    <row r="400" spans="1:12" ht="45">
      <c r="A400" s="76" t="s">
        <v>1265</v>
      </c>
      <c r="B400" s="76" t="s">
        <v>1270</v>
      </c>
      <c r="C400" s="76" t="s">
        <v>307</v>
      </c>
      <c r="D400" s="76" t="s">
        <v>1271</v>
      </c>
      <c r="E400" s="77">
        <v>11.4</v>
      </c>
      <c r="F400" s="76"/>
      <c r="G400" s="76" t="s">
        <v>187</v>
      </c>
      <c r="H400" s="76" t="s">
        <v>273</v>
      </c>
      <c r="I400" s="78">
        <v>45975</v>
      </c>
      <c r="J400" s="78">
        <v>45967</v>
      </c>
      <c r="K400" s="77">
        <v>-15</v>
      </c>
      <c r="L400" s="77">
        <v>-23</v>
      </c>
    </row>
    <row r="401" spans="1:12" ht="45">
      <c r="A401" s="76" t="s">
        <v>1265</v>
      </c>
      <c r="B401" s="76" t="s">
        <v>1272</v>
      </c>
      <c r="C401" s="76" t="s">
        <v>307</v>
      </c>
      <c r="D401" s="76" t="s">
        <v>1273</v>
      </c>
      <c r="E401" s="77">
        <v>21</v>
      </c>
      <c r="F401" s="76"/>
      <c r="G401" s="76" t="s">
        <v>187</v>
      </c>
      <c r="H401" s="76" t="s">
        <v>273</v>
      </c>
      <c r="I401" s="78">
        <v>45975</v>
      </c>
      <c r="J401" s="78">
        <v>45967</v>
      </c>
      <c r="K401" s="77">
        <v>-15</v>
      </c>
      <c r="L401" s="77">
        <v>-23</v>
      </c>
    </row>
    <row r="402" spans="1:12" ht="45">
      <c r="A402" s="76" t="s">
        <v>1265</v>
      </c>
      <c r="B402" s="76" t="s">
        <v>1274</v>
      </c>
      <c r="C402" s="76" t="s">
        <v>307</v>
      </c>
      <c r="D402" s="76" t="s">
        <v>1275</v>
      </c>
      <c r="E402" s="77">
        <v>29.06</v>
      </c>
      <c r="F402" s="76"/>
      <c r="G402" s="76" t="s">
        <v>187</v>
      </c>
      <c r="H402" s="76" t="s">
        <v>273</v>
      </c>
      <c r="I402" s="78">
        <v>45975</v>
      </c>
      <c r="J402" s="78">
        <v>45967</v>
      </c>
      <c r="K402" s="77">
        <v>-15</v>
      </c>
      <c r="L402" s="77">
        <v>-23</v>
      </c>
    </row>
    <row r="403" spans="1:12" ht="45">
      <c r="A403" s="76" t="s">
        <v>1265</v>
      </c>
      <c r="B403" s="76" t="s">
        <v>1276</v>
      </c>
      <c r="C403" s="76" t="s">
        <v>307</v>
      </c>
      <c r="D403" s="76" t="s">
        <v>1277</v>
      </c>
      <c r="E403" s="77">
        <v>10.71</v>
      </c>
      <c r="F403" s="76"/>
      <c r="G403" s="76" t="s">
        <v>187</v>
      </c>
      <c r="H403" s="76" t="s">
        <v>273</v>
      </c>
      <c r="I403" s="78">
        <v>45975</v>
      </c>
      <c r="J403" s="78">
        <v>45967</v>
      </c>
      <c r="K403" s="77">
        <v>-15</v>
      </c>
      <c r="L403" s="77">
        <v>-23</v>
      </c>
    </row>
    <row r="404" spans="1:12" ht="45">
      <c r="A404" s="76" t="s">
        <v>1265</v>
      </c>
      <c r="B404" s="76" t="s">
        <v>1278</v>
      </c>
      <c r="C404" s="76" t="s">
        <v>307</v>
      </c>
      <c r="D404" s="76" t="s">
        <v>1279</v>
      </c>
      <c r="E404" s="77">
        <v>28.21</v>
      </c>
      <c r="F404" s="76"/>
      <c r="G404" s="76" t="s">
        <v>187</v>
      </c>
      <c r="H404" s="76" t="s">
        <v>273</v>
      </c>
      <c r="I404" s="78">
        <v>45975</v>
      </c>
      <c r="J404" s="78">
        <v>45967</v>
      </c>
      <c r="K404" s="77">
        <v>-15</v>
      </c>
      <c r="L404" s="77">
        <v>-23</v>
      </c>
    </row>
    <row r="405" spans="1:12" ht="45">
      <c r="A405" s="76" t="s">
        <v>1265</v>
      </c>
      <c r="B405" s="76" t="s">
        <v>1280</v>
      </c>
      <c r="C405" s="76" t="s">
        <v>307</v>
      </c>
      <c r="D405" s="76" t="s">
        <v>1281</v>
      </c>
      <c r="E405" s="77">
        <v>40.29</v>
      </c>
      <c r="F405" s="76"/>
      <c r="G405" s="76" t="s">
        <v>187</v>
      </c>
      <c r="H405" s="76" t="s">
        <v>273</v>
      </c>
      <c r="I405" s="78">
        <v>45975</v>
      </c>
      <c r="J405" s="78">
        <v>45967</v>
      </c>
      <c r="K405" s="77">
        <v>-15</v>
      </c>
      <c r="L405" s="77">
        <v>-23</v>
      </c>
    </row>
    <row r="406" spans="1:12" ht="33.75">
      <c r="A406" s="76" t="s">
        <v>1282</v>
      </c>
      <c r="B406" s="76" t="s">
        <v>1283</v>
      </c>
      <c r="C406" s="76" t="s">
        <v>307</v>
      </c>
      <c r="D406" s="76" t="s">
        <v>1284</v>
      </c>
      <c r="E406" s="77">
        <v>22.94</v>
      </c>
      <c r="F406" s="76" t="s">
        <v>194</v>
      </c>
      <c r="G406" s="76"/>
      <c r="H406" s="76" t="s">
        <v>272</v>
      </c>
      <c r="I406" s="78">
        <v>45976</v>
      </c>
      <c r="J406" s="78">
        <v>45967</v>
      </c>
      <c r="K406" s="77">
        <v>-14</v>
      </c>
      <c r="L406" s="77">
        <v>-23</v>
      </c>
    </row>
    <row r="407" spans="1:12" ht="33.75">
      <c r="A407" s="76" t="s">
        <v>1282</v>
      </c>
      <c r="B407" s="76" t="s">
        <v>1285</v>
      </c>
      <c r="C407" s="76" t="s">
        <v>307</v>
      </c>
      <c r="D407" s="76" t="s">
        <v>1286</v>
      </c>
      <c r="E407" s="77">
        <v>20.7</v>
      </c>
      <c r="F407" s="76" t="s">
        <v>194</v>
      </c>
      <c r="G407" s="76"/>
      <c r="H407" s="76" t="s">
        <v>272</v>
      </c>
      <c r="I407" s="78">
        <v>45976</v>
      </c>
      <c r="J407" s="78">
        <v>45967</v>
      </c>
      <c r="K407" s="77">
        <v>-14</v>
      </c>
      <c r="L407" s="77">
        <v>-23</v>
      </c>
    </row>
    <row r="408" spans="1:12" ht="33.75">
      <c r="A408" s="76" t="s">
        <v>1282</v>
      </c>
      <c r="B408" s="76" t="s">
        <v>1287</v>
      </c>
      <c r="C408" s="76" t="s">
        <v>307</v>
      </c>
      <c r="D408" s="76" t="s">
        <v>1288</v>
      </c>
      <c r="E408" s="77">
        <v>25.77</v>
      </c>
      <c r="F408" s="76" t="s">
        <v>194</v>
      </c>
      <c r="G408" s="76"/>
      <c r="H408" s="76" t="s">
        <v>272</v>
      </c>
      <c r="I408" s="78">
        <v>45976</v>
      </c>
      <c r="J408" s="78">
        <v>45967</v>
      </c>
      <c r="K408" s="77">
        <v>-14</v>
      </c>
      <c r="L408" s="77">
        <v>-23</v>
      </c>
    </row>
    <row r="409" spans="1:12" ht="45">
      <c r="A409" s="76" t="s">
        <v>1289</v>
      </c>
      <c r="B409" s="76" t="s">
        <v>1290</v>
      </c>
      <c r="C409" s="76" t="s">
        <v>307</v>
      </c>
      <c r="D409" s="76" t="s">
        <v>1291</v>
      </c>
      <c r="E409" s="77">
        <v>86.65</v>
      </c>
      <c r="F409" s="76"/>
      <c r="G409" s="76" t="s">
        <v>192</v>
      </c>
      <c r="H409" s="76" t="s">
        <v>273</v>
      </c>
      <c r="I409" s="78">
        <v>45975</v>
      </c>
      <c r="J409" s="78">
        <v>45968</v>
      </c>
      <c r="K409" s="77">
        <v>-15</v>
      </c>
      <c r="L409" s="77">
        <v>-22</v>
      </c>
    </row>
    <row r="410" spans="1:12" ht="45">
      <c r="A410" s="76" t="s">
        <v>1289</v>
      </c>
      <c r="B410" s="76" t="s">
        <v>1292</v>
      </c>
      <c r="C410" s="76" t="s">
        <v>307</v>
      </c>
      <c r="D410" s="76" t="s">
        <v>1293</v>
      </c>
      <c r="E410" s="77">
        <v>96.53</v>
      </c>
      <c r="F410" s="76"/>
      <c r="G410" s="76" t="s">
        <v>192</v>
      </c>
      <c r="H410" s="76" t="s">
        <v>273</v>
      </c>
      <c r="I410" s="78">
        <v>45975</v>
      </c>
      <c r="J410" s="78">
        <v>45968</v>
      </c>
      <c r="K410" s="77">
        <v>-15</v>
      </c>
      <c r="L410" s="77">
        <v>-22</v>
      </c>
    </row>
    <row r="411" spans="1:12" ht="45">
      <c r="A411" s="76" t="s">
        <v>1289</v>
      </c>
      <c r="B411" s="76" t="s">
        <v>1294</v>
      </c>
      <c r="C411" s="76" t="s">
        <v>307</v>
      </c>
      <c r="D411" s="76" t="s">
        <v>1295</v>
      </c>
      <c r="E411" s="77">
        <v>23.8</v>
      </c>
      <c r="F411" s="76"/>
      <c r="G411" s="76" t="s">
        <v>192</v>
      </c>
      <c r="H411" s="76" t="s">
        <v>273</v>
      </c>
      <c r="I411" s="78">
        <v>45975</v>
      </c>
      <c r="J411" s="78">
        <v>45968</v>
      </c>
      <c r="K411" s="77">
        <v>-15</v>
      </c>
      <c r="L411" s="77">
        <v>-22</v>
      </c>
    </row>
    <row r="412" spans="1:12" ht="22.5">
      <c r="A412" s="76" t="s">
        <v>1289</v>
      </c>
      <c r="B412" s="76" t="s">
        <v>1296</v>
      </c>
      <c r="C412" s="76" t="s">
        <v>307</v>
      </c>
      <c r="D412" s="76" t="s">
        <v>1297</v>
      </c>
      <c r="E412" s="77">
        <v>77.66</v>
      </c>
      <c r="F412" s="76" t="s">
        <v>85</v>
      </c>
      <c r="G412" s="76"/>
      <c r="H412" s="76" t="s">
        <v>273</v>
      </c>
      <c r="I412" s="78">
        <v>45975</v>
      </c>
      <c r="J412" s="78">
        <v>45968</v>
      </c>
      <c r="K412" s="77">
        <v>-15</v>
      </c>
      <c r="L412" s="77">
        <v>-22</v>
      </c>
    </row>
    <row r="413" spans="1:12" ht="22.5">
      <c r="A413" s="76" t="s">
        <v>1289</v>
      </c>
      <c r="B413" s="76" t="s">
        <v>972</v>
      </c>
      <c r="C413" s="76" t="s">
        <v>307</v>
      </c>
      <c r="D413" s="76" t="s">
        <v>1298</v>
      </c>
      <c r="E413" s="77">
        <v>68.319999999999993</v>
      </c>
      <c r="F413" s="76" t="s">
        <v>184</v>
      </c>
      <c r="G413" s="76"/>
      <c r="H413" s="76" t="s">
        <v>273</v>
      </c>
      <c r="I413" s="78">
        <v>45975</v>
      </c>
      <c r="J413" s="78">
        <v>45968</v>
      </c>
      <c r="K413" s="77">
        <v>-15</v>
      </c>
      <c r="L413" s="77">
        <v>-22</v>
      </c>
    </row>
    <row r="414" spans="1:12" ht="22.5">
      <c r="A414" s="76" t="s">
        <v>1289</v>
      </c>
      <c r="B414" s="76" t="s">
        <v>1299</v>
      </c>
      <c r="C414" s="76" t="s">
        <v>307</v>
      </c>
      <c r="D414" s="76" t="s">
        <v>1300</v>
      </c>
      <c r="E414" s="77">
        <v>63.19</v>
      </c>
      <c r="F414" s="76" t="s">
        <v>85</v>
      </c>
      <c r="G414" s="76"/>
      <c r="H414" s="76" t="s">
        <v>273</v>
      </c>
      <c r="I414" s="78">
        <v>45975</v>
      </c>
      <c r="J414" s="78">
        <v>45968</v>
      </c>
      <c r="K414" s="77">
        <v>-15</v>
      </c>
      <c r="L414" s="77">
        <v>-22</v>
      </c>
    </row>
    <row r="415" spans="1:12" ht="45">
      <c r="A415" s="76" t="s">
        <v>1289</v>
      </c>
      <c r="B415" s="76" t="s">
        <v>1301</v>
      </c>
      <c r="C415" s="76" t="s">
        <v>307</v>
      </c>
      <c r="D415" s="76" t="s">
        <v>1302</v>
      </c>
      <c r="E415" s="77">
        <v>32.549999999999997</v>
      </c>
      <c r="F415" s="76"/>
      <c r="G415" s="76" t="s">
        <v>192</v>
      </c>
      <c r="H415" s="76" t="s">
        <v>273</v>
      </c>
      <c r="I415" s="78">
        <v>45975</v>
      </c>
      <c r="J415" s="78">
        <v>45968</v>
      </c>
      <c r="K415" s="77">
        <v>-15</v>
      </c>
      <c r="L415" s="77">
        <v>-22</v>
      </c>
    </row>
    <row r="416" spans="1:12" ht="45">
      <c r="A416" s="76" t="s">
        <v>1303</v>
      </c>
      <c r="B416" s="76" t="s">
        <v>1057</v>
      </c>
      <c r="C416" s="76" t="s">
        <v>307</v>
      </c>
      <c r="D416" s="76" t="s">
        <v>1304</v>
      </c>
      <c r="E416" s="79"/>
      <c r="F416" s="76"/>
      <c r="G416" s="76" t="s">
        <v>202</v>
      </c>
      <c r="H416" s="76" t="s">
        <v>273</v>
      </c>
      <c r="I416" s="78">
        <v>45975</v>
      </c>
      <c r="J416" s="78">
        <v>45968</v>
      </c>
      <c r="K416" s="77">
        <v>-15</v>
      </c>
      <c r="L416" s="77">
        <v>-22</v>
      </c>
    </row>
    <row r="417" spans="1:12" ht="45">
      <c r="A417" s="76" t="s">
        <v>1303</v>
      </c>
      <c r="B417" s="76" t="s">
        <v>1057</v>
      </c>
      <c r="C417" s="76" t="s">
        <v>307</v>
      </c>
      <c r="D417" s="76" t="s">
        <v>1305</v>
      </c>
      <c r="E417" s="79"/>
      <c r="F417" s="76"/>
      <c r="G417" s="76" t="s">
        <v>202</v>
      </c>
      <c r="H417" s="76" t="s">
        <v>273</v>
      </c>
      <c r="I417" s="78">
        <v>45975</v>
      </c>
      <c r="J417" s="78">
        <v>45968</v>
      </c>
      <c r="K417" s="77">
        <v>-15</v>
      </c>
      <c r="L417" s="77">
        <v>-22</v>
      </c>
    </row>
    <row r="418" spans="1:12" ht="45">
      <c r="A418" s="76" t="s">
        <v>1311</v>
      </c>
      <c r="B418" s="76" t="s">
        <v>1312</v>
      </c>
      <c r="C418" s="76" t="s">
        <v>307</v>
      </c>
      <c r="D418" s="76" t="s">
        <v>1313</v>
      </c>
      <c r="E418" s="79"/>
      <c r="F418" s="76"/>
      <c r="G418" s="76" t="s">
        <v>202</v>
      </c>
      <c r="H418" s="76" t="s">
        <v>273</v>
      </c>
      <c r="I418" s="78">
        <v>45976</v>
      </c>
      <c r="J418" s="78">
        <v>45969</v>
      </c>
      <c r="K418" s="77">
        <v>-14</v>
      </c>
      <c r="L418" s="77">
        <v>-21</v>
      </c>
    </row>
    <row r="419" spans="1:12" ht="33.75">
      <c r="A419" s="76" t="s">
        <v>1308</v>
      </c>
      <c r="B419" s="76" t="s">
        <v>1316</v>
      </c>
      <c r="C419" s="76" t="s">
        <v>307</v>
      </c>
      <c r="D419" s="76" t="s">
        <v>1317</v>
      </c>
      <c r="E419" s="77">
        <v>137.21</v>
      </c>
      <c r="F419" s="76" t="s">
        <v>126</v>
      </c>
      <c r="G419" s="76"/>
      <c r="H419" s="76" t="s">
        <v>273</v>
      </c>
      <c r="I419" s="78">
        <v>45978</v>
      </c>
      <c r="J419" s="78">
        <v>45969</v>
      </c>
      <c r="K419" s="77">
        <v>-12</v>
      </c>
      <c r="L419" s="77">
        <v>-21</v>
      </c>
    </row>
    <row r="420" spans="1:12" ht="22.5">
      <c r="A420" s="76" t="s">
        <v>1308</v>
      </c>
      <c r="B420" s="76" t="s">
        <v>1332</v>
      </c>
      <c r="C420" s="76" t="s">
        <v>307</v>
      </c>
      <c r="D420" s="76" t="s">
        <v>1333</v>
      </c>
      <c r="E420" s="77">
        <v>102.57</v>
      </c>
      <c r="F420" s="76" t="s">
        <v>184</v>
      </c>
      <c r="G420" s="76"/>
      <c r="H420" s="76" t="s">
        <v>273</v>
      </c>
      <c r="I420" s="78">
        <v>45978</v>
      </c>
      <c r="J420" s="78">
        <v>45969</v>
      </c>
      <c r="K420" s="77">
        <v>-12</v>
      </c>
      <c r="L420" s="77">
        <v>-21</v>
      </c>
    </row>
    <row r="421" spans="1:12" ht="33.75">
      <c r="A421" s="76" t="s">
        <v>1308</v>
      </c>
      <c r="B421" s="76" t="s">
        <v>1314</v>
      </c>
      <c r="C421" s="76" t="s">
        <v>307</v>
      </c>
      <c r="D421" s="76" t="s">
        <v>1315</v>
      </c>
      <c r="E421" s="77">
        <v>81.78</v>
      </c>
      <c r="F421" s="76" t="s">
        <v>85</v>
      </c>
      <c r="G421" s="76"/>
      <c r="H421" s="76" t="s">
        <v>273</v>
      </c>
      <c r="I421" s="78">
        <v>45978</v>
      </c>
      <c r="J421" s="78">
        <v>45969</v>
      </c>
      <c r="K421" s="77">
        <v>-12</v>
      </c>
      <c r="L421" s="77">
        <v>-21</v>
      </c>
    </row>
    <row r="422" spans="1:12" ht="22.5">
      <c r="A422" s="76" t="s">
        <v>1318</v>
      </c>
      <c r="B422" s="76" t="s">
        <v>1201</v>
      </c>
      <c r="C422" s="76" t="s">
        <v>307</v>
      </c>
      <c r="D422" s="76" t="s">
        <v>1319</v>
      </c>
      <c r="E422" s="77">
        <v>131.79</v>
      </c>
      <c r="F422" s="76" t="s">
        <v>184</v>
      </c>
      <c r="G422" s="76"/>
      <c r="H422" s="76" t="s">
        <v>273</v>
      </c>
      <c r="I422" s="78">
        <v>45976</v>
      </c>
      <c r="J422" s="78">
        <v>45969</v>
      </c>
      <c r="K422" s="77">
        <v>-14</v>
      </c>
      <c r="L422" s="77">
        <v>-21</v>
      </c>
    </row>
    <row r="423" spans="1:12" ht="22.5">
      <c r="A423" s="76" t="s">
        <v>1318</v>
      </c>
      <c r="B423" s="76" t="s">
        <v>1343</v>
      </c>
      <c r="C423" s="76" t="s">
        <v>307</v>
      </c>
      <c r="D423" s="76" t="s">
        <v>1344</v>
      </c>
      <c r="E423" s="77">
        <v>156.65</v>
      </c>
      <c r="F423" s="76" t="s">
        <v>184</v>
      </c>
      <c r="G423" s="76"/>
      <c r="H423" s="76" t="s">
        <v>273</v>
      </c>
      <c r="I423" s="78">
        <v>45976</v>
      </c>
      <c r="J423" s="78">
        <v>45969</v>
      </c>
      <c r="K423" s="77">
        <v>-14</v>
      </c>
      <c r="L423" s="77">
        <v>-21</v>
      </c>
    </row>
    <row r="424" spans="1:12" ht="22.5">
      <c r="A424" s="76" t="s">
        <v>1318</v>
      </c>
      <c r="B424" s="76" t="s">
        <v>1320</v>
      </c>
      <c r="C424" s="76" t="s">
        <v>307</v>
      </c>
      <c r="D424" s="76" t="s">
        <v>1321</v>
      </c>
      <c r="E424" s="77">
        <v>41.02</v>
      </c>
      <c r="F424" s="76" t="s">
        <v>184</v>
      </c>
      <c r="G424" s="76"/>
      <c r="H424" s="76" t="s">
        <v>273</v>
      </c>
      <c r="I424" s="78">
        <v>45976</v>
      </c>
      <c r="J424" s="78">
        <v>45969</v>
      </c>
      <c r="K424" s="77">
        <v>-14</v>
      </c>
      <c r="L424" s="77">
        <v>-21</v>
      </c>
    </row>
    <row r="425" spans="1:12" ht="45">
      <c r="A425" s="76" t="s">
        <v>1375</v>
      </c>
      <c r="B425" s="76" t="s">
        <v>1380</v>
      </c>
      <c r="C425" s="76" t="s">
        <v>307</v>
      </c>
      <c r="D425" s="76" t="s">
        <v>1381</v>
      </c>
      <c r="E425" s="77">
        <v>42.25</v>
      </c>
      <c r="F425" s="76"/>
      <c r="G425" s="76" t="s">
        <v>192</v>
      </c>
      <c r="H425" s="76" t="s">
        <v>273</v>
      </c>
      <c r="I425" s="78">
        <v>45976</v>
      </c>
      <c r="J425" s="78">
        <v>45969</v>
      </c>
      <c r="K425" s="77">
        <v>-14</v>
      </c>
      <c r="L425" s="77">
        <v>-21</v>
      </c>
    </row>
    <row r="426" spans="1:12" ht="45">
      <c r="A426" s="76" t="s">
        <v>1375</v>
      </c>
      <c r="B426" s="76" t="s">
        <v>1392</v>
      </c>
      <c r="C426" s="76" t="s">
        <v>307</v>
      </c>
      <c r="D426" s="76" t="s">
        <v>1393</v>
      </c>
      <c r="E426" s="77">
        <v>51.67</v>
      </c>
      <c r="F426" s="76"/>
      <c r="G426" s="76" t="s">
        <v>192</v>
      </c>
      <c r="H426" s="76" t="s">
        <v>273</v>
      </c>
      <c r="I426" s="78">
        <v>45976</v>
      </c>
      <c r="J426" s="78">
        <v>45969</v>
      </c>
      <c r="K426" s="77">
        <v>-14</v>
      </c>
      <c r="L426" s="77">
        <v>-21</v>
      </c>
    </row>
    <row r="427" spans="1:12" ht="45">
      <c r="A427" s="76" t="s">
        <v>1375</v>
      </c>
      <c r="B427" s="76" t="s">
        <v>1378</v>
      </c>
      <c r="C427" s="76" t="s">
        <v>307</v>
      </c>
      <c r="D427" s="76" t="s">
        <v>1379</v>
      </c>
      <c r="E427" s="77">
        <v>26.93</v>
      </c>
      <c r="F427" s="76"/>
      <c r="G427" s="76" t="s">
        <v>192</v>
      </c>
      <c r="H427" s="76" t="s">
        <v>273</v>
      </c>
      <c r="I427" s="78">
        <v>45976</v>
      </c>
      <c r="J427" s="78">
        <v>45969</v>
      </c>
      <c r="K427" s="77">
        <v>-14</v>
      </c>
      <c r="L427" s="77">
        <v>-21</v>
      </c>
    </row>
    <row r="428" spans="1:12" ht="45">
      <c r="A428" s="76" t="s">
        <v>1375</v>
      </c>
      <c r="B428" s="76" t="s">
        <v>1394</v>
      </c>
      <c r="C428" s="76" t="s">
        <v>307</v>
      </c>
      <c r="D428" s="76" t="s">
        <v>1395</v>
      </c>
      <c r="E428" s="77">
        <v>30.01</v>
      </c>
      <c r="F428" s="76"/>
      <c r="G428" s="76" t="s">
        <v>192</v>
      </c>
      <c r="H428" s="76" t="s">
        <v>273</v>
      </c>
      <c r="I428" s="78">
        <v>45976</v>
      </c>
      <c r="J428" s="78">
        <v>45969</v>
      </c>
      <c r="K428" s="77">
        <v>-14</v>
      </c>
      <c r="L428" s="77">
        <v>-21</v>
      </c>
    </row>
    <row r="429" spans="1:12" ht="45">
      <c r="A429" s="76" t="s">
        <v>1375</v>
      </c>
      <c r="B429" s="76" t="s">
        <v>1390</v>
      </c>
      <c r="C429" s="76" t="s">
        <v>307</v>
      </c>
      <c r="D429" s="76" t="s">
        <v>1391</v>
      </c>
      <c r="E429" s="77">
        <v>33</v>
      </c>
      <c r="F429" s="76"/>
      <c r="G429" s="76" t="s">
        <v>192</v>
      </c>
      <c r="H429" s="76" t="s">
        <v>273</v>
      </c>
      <c r="I429" s="78">
        <v>45976</v>
      </c>
      <c r="J429" s="78">
        <v>45969</v>
      </c>
      <c r="K429" s="77">
        <v>-14</v>
      </c>
      <c r="L429" s="77">
        <v>-21</v>
      </c>
    </row>
    <row r="430" spans="1:12" ht="45">
      <c r="A430" s="76" t="s">
        <v>1375</v>
      </c>
      <c r="B430" s="76" t="s">
        <v>1384</v>
      </c>
      <c r="C430" s="76" t="s">
        <v>307</v>
      </c>
      <c r="D430" s="76" t="s">
        <v>1385</v>
      </c>
      <c r="E430" s="77">
        <v>19.559999999999999</v>
      </c>
      <c r="F430" s="76"/>
      <c r="G430" s="76" t="s">
        <v>192</v>
      </c>
      <c r="H430" s="76" t="s">
        <v>273</v>
      </c>
      <c r="I430" s="78">
        <v>45976</v>
      </c>
      <c r="J430" s="78">
        <v>45969</v>
      </c>
      <c r="K430" s="77">
        <v>-14</v>
      </c>
      <c r="L430" s="77">
        <v>-21</v>
      </c>
    </row>
    <row r="431" spans="1:12" ht="33.75">
      <c r="A431" s="76" t="s">
        <v>1375</v>
      </c>
      <c r="B431" s="76" t="s">
        <v>1396</v>
      </c>
      <c r="C431" s="76" t="s">
        <v>307</v>
      </c>
      <c r="D431" s="76" t="s">
        <v>1397</v>
      </c>
      <c r="E431" s="79"/>
      <c r="F431" s="76" t="s">
        <v>157</v>
      </c>
      <c r="G431" s="76"/>
      <c r="H431" s="76" t="s">
        <v>273</v>
      </c>
      <c r="I431" s="78">
        <v>45976</v>
      </c>
      <c r="J431" s="78">
        <v>45969</v>
      </c>
      <c r="K431" s="77">
        <v>-14</v>
      </c>
      <c r="L431" s="77">
        <v>-21</v>
      </c>
    </row>
    <row r="432" spans="1:12" ht="45">
      <c r="A432" s="76" t="s">
        <v>1375</v>
      </c>
      <c r="B432" s="76" t="s">
        <v>1386</v>
      </c>
      <c r="C432" s="76" t="s">
        <v>307</v>
      </c>
      <c r="D432" s="76" t="s">
        <v>1387</v>
      </c>
      <c r="E432" s="77">
        <v>25</v>
      </c>
      <c r="F432" s="76"/>
      <c r="G432" s="76" t="s">
        <v>192</v>
      </c>
      <c r="H432" s="76" t="s">
        <v>273</v>
      </c>
      <c r="I432" s="78">
        <v>45976</v>
      </c>
      <c r="J432" s="78">
        <v>45969</v>
      </c>
      <c r="K432" s="77">
        <v>-14</v>
      </c>
      <c r="L432" s="77">
        <v>-21</v>
      </c>
    </row>
    <row r="433" spans="1:12" ht="45">
      <c r="A433" s="76" t="s">
        <v>1375</v>
      </c>
      <c r="B433" s="76" t="s">
        <v>1388</v>
      </c>
      <c r="C433" s="76" t="s">
        <v>307</v>
      </c>
      <c r="D433" s="76" t="s">
        <v>1389</v>
      </c>
      <c r="E433" s="77">
        <v>48.2</v>
      </c>
      <c r="F433" s="76"/>
      <c r="G433" s="76" t="s">
        <v>192</v>
      </c>
      <c r="H433" s="76" t="s">
        <v>273</v>
      </c>
      <c r="I433" s="78">
        <v>45976</v>
      </c>
      <c r="J433" s="78">
        <v>45969</v>
      </c>
      <c r="K433" s="77">
        <v>-14</v>
      </c>
      <c r="L433" s="77">
        <v>-21</v>
      </c>
    </row>
    <row r="434" spans="1:12" ht="45">
      <c r="A434" s="76" t="s">
        <v>1375</v>
      </c>
      <c r="B434" s="76" t="s">
        <v>1382</v>
      </c>
      <c r="C434" s="76" t="s">
        <v>307</v>
      </c>
      <c r="D434" s="76" t="s">
        <v>1383</v>
      </c>
      <c r="E434" s="77">
        <v>31.53</v>
      </c>
      <c r="F434" s="76"/>
      <c r="G434" s="76" t="s">
        <v>192</v>
      </c>
      <c r="H434" s="76" t="s">
        <v>273</v>
      </c>
      <c r="I434" s="78">
        <v>45976</v>
      </c>
      <c r="J434" s="78">
        <v>45969</v>
      </c>
      <c r="K434" s="77">
        <v>-14</v>
      </c>
      <c r="L434" s="77">
        <v>-21</v>
      </c>
    </row>
    <row r="435" spans="1:12" ht="45">
      <c r="A435" s="76" t="s">
        <v>1375</v>
      </c>
      <c r="B435" s="76" t="s">
        <v>1376</v>
      </c>
      <c r="C435" s="76" t="s">
        <v>307</v>
      </c>
      <c r="D435" s="76" t="s">
        <v>1377</v>
      </c>
      <c r="E435" s="77">
        <v>25.28</v>
      </c>
      <c r="F435" s="76"/>
      <c r="G435" s="76" t="s">
        <v>192</v>
      </c>
      <c r="H435" s="76" t="s">
        <v>273</v>
      </c>
      <c r="I435" s="78">
        <v>45976</v>
      </c>
      <c r="J435" s="78">
        <v>45969</v>
      </c>
      <c r="K435" s="77">
        <v>-14</v>
      </c>
      <c r="L435" s="77">
        <v>-21</v>
      </c>
    </row>
    <row r="436" spans="1:12" ht="22.5">
      <c r="A436" s="76" t="s">
        <v>1326</v>
      </c>
      <c r="B436" s="76" t="s">
        <v>1349</v>
      </c>
      <c r="C436" s="76" t="s">
        <v>307</v>
      </c>
      <c r="D436" s="76" t="s">
        <v>1350</v>
      </c>
      <c r="E436" s="77">
        <v>54.26</v>
      </c>
      <c r="F436" s="76" t="s">
        <v>66</v>
      </c>
      <c r="G436" s="76"/>
      <c r="H436" s="76" t="s">
        <v>273</v>
      </c>
      <c r="I436" s="78">
        <v>45976</v>
      </c>
      <c r="J436" s="78">
        <v>45969</v>
      </c>
      <c r="K436" s="77">
        <v>-14</v>
      </c>
      <c r="L436" s="77">
        <v>-21</v>
      </c>
    </row>
    <row r="437" spans="1:12" ht="22.5">
      <c r="A437" s="76" t="s">
        <v>1326</v>
      </c>
      <c r="B437" s="76" t="s">
        <v>1357</v>
      </c>
      <c r="C437" s="76" t="s">
        <v>307</v>
      </c>
      <c r="D437" s="76" t="s">
        <v>1358</v>
      </c>
      <c r="E437" s="77">
        <v>24.9</v>
      </c>
      <c r="F437" s="76" t="s">
        <v>184</v>
      </c>
      <c r="G437" s="76"/>
      <c r="H437" s="76" t="s">
        <v>273</v>
      </c>
      <c r="I437" s="78">
        <v>45976</v>
      </c>
      <c r="J437" s="78">
        <v>45969</v>
      </c>
      <c r="K437" s="77">
        <v>-14</v>
      </c>
      <c r="L437" s="77">
        <v>-21</v>
      </c>
    </row>
    <row r="438" spans="1:12" ht="22.5">
      <c r="A438" s="76" t="s">
        <v>1326</v>
      </c>
      <c r="B438" s="76" t="s">
        <v>1347</v>
      </c>
      <c r="C438" s="76" t="s">
        <v>307</v>
      </c>
      <c r="D438" s="76" t="s">
        <v>1348</v>
      </c>
      <c r="E438" s="77">
        <v>20.43</v>
      </c>
      <c r="F438" s="76" t="s">
        <v>184</v>
      </c>
      <c r="G438" s="76"/>
      <c r="H438" s="76" t="s">
        <v>273</v>
      </c>
      <c r="I438" s="78">
        <v>45976</v>
      </c>
      <c r="J438" s="78">
        <v>45969</v>
      </c>
      <c r="K438" s="77">
        <v>-14</v>
      </c>
      <c r="L438" s="77">
        <v>-21</v>
      </c>
    </row>
    <row r="439" spans="1:12" ht="22.5">
      <c r="A439" s="76" t="s">
        <v>1326</v>
      </c>
      <c r="B439" s="76" t="s">
        <v>1345</v>
      </c>
      <c r="C439" s="76" t="s">
        <v>307</v>
      </c>
      <c r="D439" s="76" t="s">
        <v>1346</v>
      </c>
      <c r="E439" s="77">
        <v>76.03</v>
      </c>
      <c r="F439" s="76" t="s">
        <v>66</v>
      </c>
      <c r="G439" s="76"/>
      <c r="H439" s="76" t="s">
        <v>273</v>
      </c>
      <c r="I439" s="78">
        <v>45976</v>
      </c>
      <c r="J439" s="78">
        <v>45969</v>
      </c>
      <c r="K439" s="77">
        <v>-14</v>
      </c>
      <c r="L439" s="77">
        <v>-21</v>
      </c>
    </row>
    <row r="440" spans="1:12" ht="22.5">
      <c r="A440" s="76" t="s">
        <v>1326</v>
      </c>
      <c r="B440" s="76" t="s">
        <v>1361</v>
      </c>
      <c r="C440" s="76" t="s">
        <v>307</v>
      </c>
      <c r="D440" s="76" t="s">
        <v>1362</v>
      </c>
      <c r="E440" s="77">
        <v>57.46</v>
      </c>
      <c r="F440" s="76" t="s">
        <v>66</v>
      </c>
      <c r="G440" s="76"/>
      <c r="H440" s="76" t="s">
        <v>273</v>
      </c>
      <c r="I440" s="78">
        <v>45976</v>
      </c>
      <c r="J440" s="78">
        <v>45969</v>
      </c>
      <c r="K440" s="77">
        <v>-14</v>
      </c>
      <c r="L440" s="77">
        <v>-21</v>
      </c>
    </row>
    <row r="441" spans="1:12" ht="22.5">
      <c r="A441" s="76" t="s">
        <v>1326</v>
      </c>
      <c r="B441" s="76" t="s">
        <v>1325</v>
      </c>
      <c r="C441" s="76" t="s">
        <v>307</v>
      </c>
      <c r="D441" s="76" t="s">
        <v>1327</v>
      </c>
      <c r="E441" s="77">
        <v>55.33</v>
      </c>
      <c r="F441" s="76" t="s">
        <v>66</v>
      </c>
      <c r="G441" s="76"/>
      <c r="H441" s="76" t="s">
        <v>273</v>
      </c>
      <c r="I441" s="78">
        <v>45976</v>
      </c>
      <c r="J441" s="78">
        <v>45969</v>
      </c>
      <c r="K441" s="77">
        <v>-14</v>
      </c>
      <c r="L441" s="77">
        <v>-21</v>
      </c>
    </row>
    <row r="442" spans="1:12" ht="22.5">
      <c r="A442" s="76" t="s">
        <v>1326</v>
      </c>
      <c r="B442" s="76" t="s">
        <v>1330</v>
      </c>
      <c r="C442" s="76" t="s">
        <v>307</v>
      </c>
      <c r="D442" s="76" t="s">
        <v>1331</v>
      </c>
      <c r="E442" s="77">
        <v>37.43</v>
      </c>
      <c r="F442" s="76" t="s">
        <v>66</v>
      </c>
      <c r="G442" s="76"/>
      <c r="H442" s="76" t="s">
        <v>273</v>
      </c>
      <c r="I442" s="78">
        <v>45976</v>
      </c>
      <c r="J442" s="78">
        <v>45969</v>
      </c>
      <c r="K442" s="77">
        <v>-14</v>
      </c>
      <c r="L442" s="77">
        <v>-21</v>
      </c>
    </row>
    <row r="443" spans="1:12" ht="22.5">
      <c r="A443" s="76" t="s">
        <v>1326</v>
      </c>
      <c r="B443" s="76" t="s">
        <v>1353</v>
      </c>
      <c r="C443" s="76" t="s">
        <v>307</v>
      </c>
      <c r="D443" s="76" t="s">
        <v>1354</v>
      </c>
      <c r="E443" s="77">
        <v>72.81</v>
      </c>
      <c r="F443" s="76" t="s">
        <v>66</v>
      </c>
      <c r="G443" s="76"/>
      <c r="H443" s="76" t="s">
        <v>273</v>
      </c>
      <c r="I443" s="78">
        <v>45976</v>
      </c>
      <c r="J443" s="78">
        <v>45969</v>
      </c>
      <c r="K443" s="77">
        <v>-14</v>
      </c>
      <c r="L443" s="77">
        <v>-21</v>
      </c>
    </row>
    <row r="444" spans="1:12" ht="22.5">
      <c r="A444" s="76" t="s">
        <v>1326</v>
      </c>
      <c r="B444" s="76" t="s">
        <v>1328</v>
      </c>
      <c r="C444" s="76" t="s">
        <v>307</v>
      </c>
      <c r="D444" s="76" t="s">
        <v>1329</v>
      </c>
      <c r="E444" s="77">
        <v>31.62</v>
      </c>
      <c r="F444" s="76" t="s">
        <v>184</v>
      </c>
      <c r="G444" s="76"/>
      <c r="H444" s="76" t="s">
        <v>273</v>
      </c>
      <c r="I444" s="78">
        <v>45976</v>
      </c>
      <c r="J444" s="78">
        <v>45969</v>
      </c>
      <c r="K444" s="77">
        <v>-14</v>
      </c>
      <c r="L444" s="77">
        <v>-21</v>
      </c>
    </row>
    <row r="445" spans="1:12" ht="22.5">
      <c r="A445" s="76" t="s">
        <v>1326</v>
      </c>
      <c r="B445" s="76" t="s">
        <v>1355</v>
      </c>
      <c r="C445" s="76" t="s">
        <v>307</v>
      </c>
      <c r="D445" s="76" t="s">
        <v>1356</v>
      </c>
      <c r="E445" s="77">
        <v>25.48</v>
      </c>
      <c r="F445" s="76" t="s">
        <v>184</v>
      </c>
      <c r="G445" s="76"/>
      <c r="H445" s="76" t="s">
        <v>273</v>
      </c>
      <c r="I445" s="78">
        <v>45976</v>
      </c>
      <c r="J445" s="78">
        <v>45969</v>
      </c>
      <c r="K445" s="77">
        <v>-14</v>
      </c>
      <c r="L445" s="77">
        <v>-21</v>
      </c>
    </row>
    <row r="446" spans="1:12" ht="33.75">
      <c r="A446" s="76" t="s">
        <v>1334</v>
      </c>
      <c r="B446" s="76" t="s">
        <v>1337</v>
      </c>
      <c r="C446" s="76" t="s">
        <v>307</v>
      </c>
      <c r="D446" s="76" t="s">
        <v>1338</v>
      </c>
      <c r="E446" s="79"/>
      <c r="F446" s="76" t="s">
        <v>155</v>
      </c>
      <c r="G446" s="76"/>
      <c r="H446" s="76" t="s">
        <v>272</v>
      </c>
      <c r="I446" s="78">
        <v>45976</v>
      </c>
      <c r="J446" s="78">
        <v>45969</v>
      </c>
      <c r="K446" s="77">
        <v>-14</v>
      </c>
      <c r="L446" s="77">
        <v>-21</v>
      </c>
    </row>
    <row r="447" spans="1:12" ht="33.75">
      <c r="A447" s="76" t="s">
        <v>1334</v>
      </c>
      <c r="B447" s="76" t="s">
        <v>1351</v>
      </c>
      <c r="C447" s="76" t="s">
        <v>307</v>
      </c>
      <c r="D447" s="76" t="s">
        <v>1352</v>
      </c>
      <c r="E447" s="77">
        <v>50.86</v>
      </c>
      <c r="F447" s="76" t="s">
        <v>155</v>
      </c>
      <c r="G447" s="76"/>
      <c r="H447" s="76" t="s">
        <v>272</v>
      </c>
      <c r="I447" s="78">
        <v>45976</v>
      </c>
      <c r="J447" s="78">
        <v>45969</v>
      </c>
      <c r="K447" s="77">
        <v>-14</v>
      </c>
      <c r="L447" s="77">
        <v>-21</v>
      </c>
    </row>
    <row r="448" spans="1:12" ht="45">
      <c r="A448" s="76" t="s">
        <v>1334</v>
      </c>
      <c r="B448" s="76" t="s">
        <v>1339</v>
      </c>
      <c r="C448" s="76" t="s">
        <v>307</v>
      </c>
      <c r="D448" s="76" t="s">
        <v>1340</v>
      </c>
      <c r="E448" s="77">
        <v>58.12</v>
      </c>
      <c r="F448" s="76"/>
      <c r="G448" s="76" t="s">
        <v>191</v>
      </c>
      <c r="H448" s="76" t="s">
        <v>272</v>
      </c>
      <c r="I448" s="78">
        <v>45976</v>
      </c>
      <c r="J448" s="78">
        <v>45969</v>
      </c>
      <c r="K448" s="77">
        <v>-14</v>
      </c>
      <c r="L448" s="77">
        <v>-21</v>
      </c>
    </row>
    <row r="449" spans="1:12" ht="22.5">
      <c r="A449" s="76" t="s">
        <v>1334</v>
      </c>
      <c r="B449" s="76" t="s">
        <v>1369</v>
      </c>
      <c r="C449" s="76" t="s">
        <v>307</v>
      </c>
      <c r="D449" s="76" t="s">
        <v>1370</v>
      </c>
      <c r="E449" s="77">
        <v>116.81</v>
      </c>
      <c r="F449" s="76" t="s">
        <v>126</v>
      </c>
      <c r="G449" s="76"/>
      <c r="H449" s="76" t="s">
        <v>272</v>
      </c>
      <c r="I449" s="78">
        <v>45976</v>
      </c>
      <c r="J449" s="78">
        <v>45969</v>
      </c>
      <c r="K449" s="77">
        <v>-14</v>
      </c>
      <c r="L449" s="77">
        <v>-21</v>
      </c>
    </row>
    <row r="450" spans="1:12" ht="33.75">
      <c r="A450" s="76" t="s">
        <v>1334</v>
      </c>
      <c r="B450" s="76" t="s">
        <v>1367</v>
      </c>
      <c r="C450" s="76" t="s">
        <v>307</v>
      </c>
      <c r="D450" s="76" t="s">
        <v>1368</v>
      </c>
      <c r="E450" s="79"/>
      <c r="F450" s="76" t="s">
        <v>155</v>
      </c>
      <c r="G450" s="76"/>
      <c r="H450" s="76" t="s">
        <v>272</v>
      </c>
      <c r="I450" s="78">
        <v>45976</v>
      </c>
      <c r="J450" s="78">
        <v>45969</v>
      </c>
      <c r="K450" s="77">
        <v>-14</v>
      </c>
      <c r="L450" s="77">
        <v>-21</v>
      </c>
    </row>
    <row r="451" spans="1:12" ht="45">
      <c r="A451" s="76" t="s">
        <v>1334</v>
      </c>
      <c r="B451" s="76" t="s">
        <v>1365</v>
      </c>
      <c r="C451" s="76" t="s">
        <v>307</v>
      </c>
      <c r="D451" s="76" t="s">
        <v>1366</v>
      </c>
      <c r="E451" s="77">
        <v>46.04</v>
      </c>
      <c r="F451" s="76"/>
      <c r="G451" s="76" t="s">
        <v>191</v>
      </c>
      <c r="H451" s="76" t="s">
        <v>272</v>
      </c>
      <c r="I451" s="78">
        <v>45976</v>
      </c>
      <c r="J451" s="78">
        <v>45969</v>
      </c>
      <c r="K451" s="77">
        <v>-14</v>
      </c>
      <c r="L451" s="77">
        <v>-21</v>
      </c>
    </row>
    <row r="452" spans="1:12" ht="33.75">
      <c r="A452" s="76" t="s">
        <v>1334</v>
      </c>
      <c r="B452" s="76" t="s">
        <v>1359</v>
      </c>
      <c r="C452" s="76" t="s">
        <v>307</v>
      </c>
      <c r="D452" s="76" t="s">
        <v>1360</v>
      </c>
      <c r="E452" s="79"/>
      <c r="F452" s="76" t="s">
        <v>155</v>
      </c>
      <c r="G452" s="76"/>
      <c r="H452" s="76" t="s">
        <v>272</v>
      </c>
      <c r="I452" s="78">
        <v>45976</v>
      </c>
      <c r="J452" s="78">
        <v>45969</v>
      </c>
      <c r="K452" s="77">
        <v>-14</v>
      </c>
      <c r="L452" s="77">
        <v>-21</v>
      </c>
    </row>
    <row r="453" spans="1:12" ht="22.5">
      <c r="A453" s="76" t="s">
        <v>1334</v>
      </c>
      <c r="B453" s="76" t="s">
        <v>1363</v>
      </c>
      <c r="C453" s="76" t="s">
        <v>307</v>
      </c>
      <c r="D453" s="76" t="s">
        <v>1364</v>
      </c>
      <c r="E453" s="77">
        <v>110.16</v>
      </c>
      <c r="F453" s="76" t="s">
        <v>126</v>
      </c>
      <c r="G453" s="76"/>
      <c r="H453" s="76" t="s">
        <v>272</v>
      </c>
      <c r="I453" s="78">
        <v>45976</v>
      </c>
      <c r="J453" s="78">
        <v>45969</v>
      </c>
      <c r="K453" s="77">
        <v>-14</v>
      </c>
      <c r="L453" s="77">
        <v>-21</v>
      </c>
    </row>
    <row r="454" spans="1:12" ht="33.75">
      <c r="A454" s="76" t="s">
        <v>1334</v>
      </c>
      <c r="B454" s="76" t="s">
        <v>1341</v>
      </c>
      <c r="C454" s="76" t="s">
        <v>307</v>
      </c>
      <c r="D454" s="76" t="s">
        <v>1342</v>
      </c>
      <c r="E454" s="77">
        <v>73.08</v>
      </c>
      <c r="F454" s="76" t="s">
        <v>155</v>
      </c>
      <c r="G454" s="76"/>
      <c r="H454" s="76" t="s">
        <v>272</v>
      </c>
      <c r="I454" s="78">
        <v>45976</v>
      </c>
      <c r="J454" s="78">
        <v>45969</v>
      </c>
      <c r="K454" s="77">
        <v>-14</v>
      </c>
      <c r="L454" s="77">
        <v>-21</v>
      </c>
    </row>
    <row r="455" spans="1:12" ht="33.75">
      <c r="A455" s="76" t="s">
        <v>1334</v>
      </c>
      <c r="B455" s="76" t="s">
        <v>1335</v>
      </c>
      <c r="C455" s="76" t="s">
        <v>307</v>
      </c>
      <c r="D455" s="76" t="s">
        <v>1336</v>
      </c>
      <c r="E455" s="79"/>
      <c r="F455" s="76" t="s">
        <v>155</v>
      </c>
      <c r="G455" s="76"/>
      <c r="H455" s="76" t="s">
        <v>272</v>
      </c>
      <c r="I455" s="78">
        <v>45976</v>
      </c>
      <c r="J455" s="78">
        <v>45969</v>
      </c>
      <c r="K455" s="77">
        <v>-14</v>
      </c>
      <c r="L455" s="77">
        <v>-21</v>
      </c>
    </row>
    <row r="456" spans="1:12" ht="22.5">
      <c r="A456" s="76" t="s">
        <v>1334</v>
      </c>
      <c r="B456" s="76" t="s">
        <v>1371</v>
      </c>
      <c r="C456" s="76" t="s">
        <v>307</v>
      </c>
      <c r="D456" s="76" t="s">
        <v>1372</v>
      </c>
      <c r="E456" s="77">
        <v>98.82</v>
      </c>
      <c r="F456" s="76" t="s">
        <v>126</v>
      </c>
      <c r="G456" s="76"/>
      <c r="H456" s="76" t="s">
        <v>272</v>
      </c>
      <c r="I456" s="78">
        <v>45976</v>
      </c>
      <c r="J456" s="78">
        <v>45969</v>
      </c>
      <c r="K456" s="77">
        <v>-14</v>
      </c>
      <c r="L456" s="77">
        <v>-21</v>
      </c>
    </row>
    <row r="457" spans="1:12" ht="22.5">
      <c r="A457" s="76" t="s">
        <v>1308</v>
      </c>
      <c r="B457" s="76" t="s">
        <v>1373</v>
      </c>
      <c r="C457" s="76" t="s">
        <v>307</v>
      </c>
      <c r="D457" s="76" t="s">
        <v>1374</v>
      </c>
      <c r="E457" s="77">
        <v>80.709999999999994</v>
      </c>
      <c r="F457" s="76" t="s">
        <v>184</v>
      </c>
      <c r="G457" s="76"/>
      <c r="H457" s="76" t="s">
        <v>273</v>
      </c>
      <c r="I457" s="78">
        <v>45978</v>
      </c>
      <c r="J457" s="78">
        <v>45969</v>
      </c>
      <c r="K457" s="77">
        <v>-12</v>
      </c>
      <c r="L457" s="77">
        <v>-21</v>
      </c>
    </row>
    <row r="458" spans="1:12" ht="45">
      <c r="A458" s="76" t="s">
        <v>1309</v>
      </c>
      <c r="B458" s="76" t="s">
        <v>1306</v>
      </c>
      <c r="C458" s="76" t="s">
        <v>307</v>
      </c>
      <c r="D458" s="76" t="s">
        <v>1310</v>
      </c>
      <c r="E458" s="79"/>
      <c r="F458" s="76"/>
      <c r="G458" s="76" t="s">
        <v>191</v>
      </c>
      <c r="H458" s="76" t="s">
        <v>272</v>
      </c>
      <c r="I458" s="78">
        <v>45975</v>
      </c>
      <c r="J458" s="78">
        <v>45969</v>
      </c>
      <c r="K458" s="77">
        <v>-15</v>
      </c>
      <c r="L458" s="77">
        <v>-21</v>
      </c>
    </row>
    <row r="459" spans="1:12" ht="33.75">
      <c r="A459" s="76" t="s">
        <v>1323</v>
      </c>
      <c r="B459" s="76" t="s">
        <v>1322</v>
      </c>
      <c r="C459" s="76" t="s">
        <v>307</v>
      </c>
      <c r="D459" s="76" t="s">
        <v>1324</v>
      </c>
      <c r="E459" s="77">
        <v>918.84</v>
      </c>
      <c r="F459" s="76" t="s">
        <v>85</v>
      </c>
      <c r="G459" s="76"/>
      <c r="H459" s="76" t="s">
        <v>273</v>
      </c>
      <c r="I459" s="78">
        <v>45976</v>
      </c>
      <c r="J459" s="78">
        <v>45969</v>
      </c>
      <c r="K459" s="77">
        <v>-14</v>
      </c>
      <c r="L459" s="77">
        <v>-21</v>
      </c>
    </row>
    <row r="460" spans="1:12" ht="33.75">
      <c r="A460" s="76" t="s">
        <v>1494</v>
      </c>
      <c r="B460" s="76" t="s">
        <v>1495</v>
      </c>
      <c r="C460" s="76" t="s">
        <v>307</v>
      </c>
      <c r="D460" s="76" t="s">
        <v>1496</v>
      </c>
      <c r="E460" s="79"/>
      <c r="F460" s="76" t="s">
        <v>157</v>
      </c>
      <c r="G460" s="76"/>
      <c r="H460" s="76" t="s">
        <v>273</v>
      </c>
      <c r="I460" s="78">
        <v>45978</v>
      </c>
      <c r="J460" s="78">
        <v>45971</v>
      </c>
      <c r="K460" s="77">
        <v>-12</v>
      </c>
      <c r="L460" s="77">
        <v>-19</v>
      </c>
    </row>
    <row r="461" spans="1:12" ht="22.5">
      <c r="A461" s="76" t="s">
        <v>1542</v>
      </c>
      <c r="B461" s="76" t="s">
        <v>1543</v>
      </c>
      <c r="C461" s="76" t="s">
        <v>307</v>
      </c>
      <c r="D461" s="76" t="s">
        <v>1544</v>
      </c>
      <c r="E461" s="77">
        <v>82</v>
      </c>
      <c r="F461" s="76" t="s">
        <v>85</v>
      </c>
      <c r="G461" s="76"/>
      <c r="H461" s="76" t="s">
        <v>273</v>
      </c>
      <c r="I461" s="78">
        <v>45978</v>
      </c>
      <c r="J461" s="78">
        <v>45971</v>
      </c>
      <c r="K461" s="77">
        <v>-12</v>
      </c>
      <c r="L461" s="77">
        <v>-19</v>
      </c>
    </row>
    <row r="462" spans="1:12" ht="22.5">
      <c r="A462" s="76" t="s">
        <v>1542</v>
      </c>
      <c r="B462" s="76" t="s">
        <v>1545</v>
      </c>
      <c r="C462" s="76" t="s">
        <v>307</v>
      </c>
      <c r="D462" s="76" t="s">
        <v>1546</v>
      </c>
      <c r="E462" s="77">
        <v>11.24</v>
      </c>
      <c r="F462" s="76" t="s">
        <v>85</v>
      </c>
      <c r="G462" s="76"/>
      <c r="H462" s="76" t="s">
        <v>273</v>
      </c>
      <c r="I462" s="78">
        <v>45978</v>
      </c>
      <c r="J462" s="78">
        <v>45971</v>
      </c>
      <c r="K462" s="77">
        <v>-12</v>
      </c>
      <c r="L462" s="77">
        <v>-19</v>
      </c>
    </row>
    <row r="463" spans="1:12" ht="22.5">
      <c r="A463" s="76" t="s">
        <v>1542</v>
      </c>
      <c r="B463" s="76" t="s">
        <v>1547</v>
      </c>
      <c r="C463" s="76" t="s">
        <v>307</v>
      </c>
      <c r="D463" s="76" t="s">
        <v>1548</v>
      </c>
      <c r="E463" s="77">
        <v>13.2</v>
      </c>
      <c r="F463" s="76" t="s">
        <v>184</v>
      </c>
      <c r="G463" s="76"/>
      <c r="H463" s="76" t="s">
        <v>273</v>
      </c>
      <c r="I463" s="78">
        <v>45978</v>
      </c>
      <c r="J463" s="78">
        <v>45971</v>
      </c>
      <c r="K463" s="77">
        <v>-12</v>
      </c>
      <c r="L463" s="77">
        <v>-19</v>
      </c>
    </row>
    <row r="464" spans="1:12" ht="22.5">
      <c r="A464" s="76" t="s">
        <v>1542</v>
      </c>
      <c r="B464" s="76" t="s">
        <v>1202</v>
      </c>
      <c r="C464" s="76" t="s">
        <v>307</v>
      </c>
      <c r="D464" s="76" t="s">
        <v>1549</v>
      </c>
      <c r="E464" s="77">
        <v>90.65</v>
      </c>
      <c r="F464" s="76" t="s">
        <v>85</v>
      </c>
      <c r="G464" s="76"/>
      <c r="H464" s="76" t="s">
        <v>273</v>
      </c>
      <c r="I464" s="78">
        <v>45978</v>
      </c>
      <c r="J464" s="78">
        <v>45971</v>
      </c>
      <c r="K464" s="77">
        <v>-12</v>
      </c>
      <c r="L464" s="77">
        <v>-19</v>
      </c>
    </row>
    <row r="465" spans="1:12" ht="22.5">
      <c r="A465" s="76" t="s">
        <v>1542</v>
      </c>
      <c r="B465" s="76" t="s">
        <v>1550</v>
      </c>
      <c r="C465" s="76" t="s">
        <v>307</v>
      </c>
      <c r="D465" s="76" t="s">
        <v>1551</v>
      </c>
      <c r="E465" s="77">
        <v>9.64</v>
      </c>
      <c r="F465" s="76" t="s">
        <v>85</v>
      </c>
      <c r="G465" s="76"/>
      <c r="H465" s="76" t="s">
        <v>273</v>
      </c>
      <c r="I465" s="78">
        <v>45978</v>
      </c>
      <c r="J465" s="78">
        <v>45971</v>
      </c>
      <c r="K465" s="77">
        <v>-12</v>
      </c>
      <c r="L465" s="77">
        <v>-19</v>
      </c>
    </row>
    <row r="466" spans="1:12" ht="22.5">
      <c r="A466" s="76" t="s">
        <v>1542</v>
      </c>
      <c r="B466" s="76" t="s">
        <v>1552</v>
      </c>
      <c r="C466" s="76" t="s">
        <v>307</v>
      </c>
      <c r="D466" s="76" t="s">
        <v>1553</v>
      </c>
      <c r="E466" s="77">
        <v>10.38</v>
      </c>
      <c r="F466" s="76" t="s">
        <v>85</v>
      </c>
      <c r="G466" s="76"/>
      <c r="H466" s="76" t="s">
        <v>273</v>
      </c>
      <c r="I466" s="78">
        <v>45978</v>
      </c>
      <c r="J466" s="78">
        <v>45971</v>
      </c>
      <c r="K466" s="77">
        <v>-12</v>
      </c>
      <c r="L466" s="77">
        <v>-19</v>
      </c>
    </row>
    <row r="467" spans="1:12" ht="22.5">
      <c r="A467" s="76" t="s">
        <v>1542</v>
      </c>
      <c r="B467" s="76" t="s">
        <v>1554</v>
      </c>
      <c r="C467" s="76" t="s">
        <v>307</v>
      </c>
      <c r="D467" s="76" t="s">
        <v>1555</v>
      </c>
      <c r="E467" s="77">
        <v>53.32</v>
      </c>
      <c r="F467" s="76" t="s">
        <v>184</v>
      </c>
      <c r="G467" s="76"/>
      <c r="H467" s="76" t="s">
        <v>273</v>
      </c>
      <c r="I467" s="78">
        <v>45978</v>
      </c>
      <c r="J467" s="78">
        <v>45971</v>
      </c>
      <c r="K467" s="77">
        <v>-12</v>
      </c>
      <c r="L467" s="77">
        <v>-19</v>
      </c>
    </row>
    <row r="468" spans="1:12" ht="22.5">
      <c r="A468" s="76" t="s">
        <v>1542</v>
      </c>
      <c r="B468" s="76" t="s">
        <v>1556</v>
      </c>
      <c r="C468" s="76" t="s">
        <v>307</v>
      </c>
      <c r="D468" s="76" t="s">
        <v>1557</v>
      </c>
      <c r="E468" s="77">
        <v>13.76</v>
      </c>
      <c r="F468" s="76" t="s">
        <v>184</v>
      </c>
      <c r="G468" s="76"/>
      <c r="H468" s="76" t="s">
        <v>273</v>
      </c>
      <c r="I468" s="78">
        <v>45978</v>
      </c>
      <c r="J468" s="78">
        <v>45971</v>
      </c>
      <c r="K468" s="77">
        <v>-12</v>
      </c>
      <c r="L468" s="77">
        <v>-19</v>
      </c>
    </row>
    <row r="469" spans="1:12" ht="22.5">
      <c r="A469" s="76" t="s">
        <v>1542</v>
      </c>
      <c r="B469" s="76" t="s">
        <v>1558</v>
      </c>
      <c r="C469" s="76" t="s">
        <v>307</v>
      </c>
      <c r="D469" s="76" t="s">
        <v>1559</v>
      </c>
      <c r="E469" s="77">
        <v>12.35</v>
      </c>
      <c r="F469" s="76" t="s">
        <v>85</v>
      </c>
      <c r="G469" s="76"/>
      <c r="H469" s="76" t="s">
        <v>273</v>
      </c>
      <c r="I469" s="78">
        <v>45978</v>
      </c>
      <c r="J469" s="78">
        <v>45971</v>
      </c>
      <c r="K469" s="77">
        <v>-12</v>
      </c>
      <c r="L469" s="77">
        <v>-19</v>
      </c>
    </row>
    <row r="470" spans="1:12" ht="33.75">
      <c r="A470" s="76" t="s">
        <v>1560</v>
      </c>
      <c r="B470" s="76" t="s">
        <v>1561</v>
      </c>
      <c r="C470" s="76" t="s">
        <v>307</v>
      </c>
      <c r="D470" s="76" t="s">
        <v>1562</v>
      </c>
      <c r="E470" s="77">
        <v>29.42</v>
      </c>
      <c r="F470" s="76" t="s">
        <v>194</v>
      </c>
      <c r="G470" s="76"/>
      <c r="H470" s="76" t="s">
        <v>272</v>
      </c>
      <c r="I470" s="78">
        <v>45983</v>
      </c>
      <c r="J470" s="78">
        <v>45971</v>
      </c>
      <c r="K470" s="77">
        <v>-7</v>
      </c>
      <c r="L470" s="77">
        <v>-19</v>
      </c>
    </row>
    <row r="471" spans="1:12" ht="22.5">
      <c r="A471" s="76" t="s">
        <v>1399</v>
      </c>
      <c r="B471" s="76" t="s">
        <v>1564</v>
      </c>
      <c r="C471" s="76" t="s">
        <v>307</v>
      </c>
      <c r="D471" s="76" t="s">
        <v>1565</v>
      </c>
      <c r="E471" s="77">
        <v>11.47</v>
      </c>
      <c r="F471" s="76" t="s">
        <v>1408</v>
      </c>
      <c r="G471" s="76"/>
      <c r="H471" s="76" t="s">
        <v>272</v>
      </c>
      <c r="I471" s="78">
        <v>45983</v>
      </c>
      <c r="J471" s="78">
        <v>45971</v>
      </c>
      <c r="K471" s="77">
        <v>-7</v>
      </c>
      <c r="L471" s="77">
        <v>-19</v>
      </c>
    </row>
    <row r="472" spans="1:12" ht="22.5">
      <c r="A472" s="76" t="s">
        <v>1399</v>
      </c>
      <c r="B472" s="76" t="s">
        <v>1566</v>
      </c>
      <c r="C472" s="76" t="s">
        <v>1567</v>
      </c>
      <c r="D472" s="76" t="s">
        <v>1568</v>
      </c>
      <c r="E472" s="77">
        <v>254.98</v>
      </c>
      <c r="F472" s="76" t="s">
        <v>63</v>
      </c>
      <c r="G472" s="76"/>
      <c r="H472" s="76" t="s">
        <v>272</v>
      </c>
      <c r="I472" s="78">
        <v>45983</v>
      </c>
      <c r="J472" s="78">
        <v>45971</v>
      </c>
      <c r="K472" s="77">
        <v>-7</v>
      </c>
      <c r="L472" s="77">
        <v>-19</v>
      </c>
    </row>
    <row r="473" spans="1:12" ht="22.5">
      <c r="A473" s="76" t="s">
        <v>1399</v>
      </c>
      <c r="B473" s="76" t="s">
        <v>1569</v>
      </c>
      <c r="C473" s="76" t="s">
        <v>307</v>
      </c>
      <c r="D473" s="76" t="s">
        <v>1570</v>
      </c>
      <c r="E473" s="77">
        <v>4.92</v>
      </c>
      <c r="F473" s="76" t="s">
        <v>70</v>
      </c>
      <c r="G473" s="76"/>
      <c r="H473" s="76" t="s">
        <v>282</v>
      </c>
      <c r="I473" s="78">
        <v>45983</v>
      </c>
      <c r="J473" s="78">
        <v>45971</v>
      </c>
      <c r="K473" s="77">
        <v>-7</v>
      </c>
      <c r="L473" s="77">
        <v>-19</v>
      </c>
    </row>
    <row r="474" spans="1:12" ht="22.5">
      <c r="A474" s="76" t="s">
        <v>1399</v>
      </c>
      <c r="B474" s="76" t="s">
        <v>1571</v>
      </c>
      <c r="C474" s="76" t="s">
        <v>1572</v>
      </c>
      <c r="D474" s="76" t="s">
        <v>1573</v>
      </c>
      <c r="E474" s="77">
        <v>231.1</v>
      </c>
      <c r="F474" s="76" t="s">
        <v>63</v>
      </c>
      <c r="G474" s="76"/>
      <c r="H474" s="76" t="s">
        <v>282</v>
      </c>
      <c r="I474" s="78">
        <v>45983</v>
      </c>
      <c r="J474" s="78">
        <v>45971</v>
      </c>
      <c r="K474" s="77">
        <v>-7</v>
      </c>
      <c r="L474" s="77">
        <v>-19</v>
      </c>
    </row>
    <row r="475" spans="1:12" ht="22.5">
      <c r="A475" s="76" t="s">
        <v>1399</v>
      </c>
      <c r="B475" s="76" t="s">
        <v>1669</v>
      </c>
      <c r="C475" s="76" t="s">
        <v>1567</v>
      </c>
      <c r="D475" s="76" t="s">
        <v>1670</v>
      </c>
      <c r="E475" s="77">
        <v>254.98</v>
      </c>
      <c r="F475" s="76" t="s">
        <v>63</v>
      </c>
      <c r="G475" s="76"/>
      <c r="H475" s="76" t="s">
        <v>272</v>
      </c>
      <c r="I475" s="78">
        <v>45983</v>
      </c>
      <c r="J475" s="78">
        <v>45971</v>
      </c>
      <c r="K475" s="77">
        <v>-7</v>
      </c>
      <c r="L475" s="77">
        <v>-19</v>
      </c>
    </row>
    <row r="476" spans="1:12" ht="22.5">
      <c r="A476" s="76" t="s">
        <v>1399</v>
      </c>
      <c r="B476" s="76" t="s">
        <v>1671</v>
      </c>
      <c r="C476" s="76" t="s">
        <v>1567</v>
      </c>
      <c r="D476" s="76" t="s">
        <v>1672</v>
      </c>
      <c r="E476" s="77">
        <v>254.98</v>
      </c>
      <c r="F476" s="76" t="s">
        <v>63</v>
      </c>
      <c r="G476" s="76"/>
      <c r="H476" s="76" t="s">
        <v>272</v>
      </c>
      <c r="I476" s="78">
        <v>45983</v>
      </c>
      <c r="J476" s="78">
        <v>45971</v>
      </c>
      <c r="K476" s="77">
        <v>-7</v>
      </c>
      <c r="L476" s="77">
        <v>-19</v>
      </c>
    </row>
    <row r="477" spans="1:12" ht="22.5">
      <c r="A477" s="76" t="s">
        <v>1399</v>
      </c>
      <c r="B477" s="76" t="s">
        <v>1673</v>
      </c>
      <c r="C477" s="76" t="s">
        <v>1567</v>
      </c>
      <c r="D477" s="76" t="s">
        <v>1674</v>
      </c>
      <c r="E477" s="77">
        <v>254.98</v>
      </c>
      <c r="F477" s="76" t="s">
        <v>63</v>
      </c>
      <c r="G477" s="76"/>
      <c r="H477" s="76" t="s">
        <v>272</v>
      </c>
      <c r="I477" s="78">
        <v>45983</v>
      </c>
      <c r="J477" s="78">
        <v>45971</v>
      </c>
      <c r="K477" s="77">
        <v>-7</v>
      </c>
      <c r="L477" s="77">
        <v>-19</v>
      </c>
    </row>
    <row r="478" spans="1:12" ht="22.5">
      <c r="A478" s="76" t="s">
        <v>1399</v>
      </c>
      <c r="B478" s="76" t="s">
        <v>1675</v>
      </c>
      <c r="C478" s="76" t="s">
        <v>1572</v>
      </c>
      <c r="D478" s="76" t="s">
        <v>1676</v>
      </c>
      <c r="E478" s="77">
        <v>231.1</v>
      </c>
      <c r="F478" s="76" t="s">
        <v>63</v>
      </c>
      <c r="G478" s="76"/>
      <c r="H478" s="76" t="s">
        <v>282</v>
      </c>
      <c r="I478" s="78">
        <v>45983</v>
      </c>
      <c r="J478" s="78">
        <v>45971</v>
      </c>
      <c r="K478" s="77">
        <v>-7</v>
      </c>
      <c r="L478" s="77">
        <v>-19</v>
      </c>
    </row>
    <row r="479" spans="1:12" ht="22.5">
      <c r="A479" s="76" t="s">
        <v>1399</v>
      </c>
      <c r="B479" s="76" t="s">
        <v>1677</v>
      </c>
      <c r="C479" s="76" t="s">
        <v>1572</v>
      </c>
      <c r="D479" s="76" t="s">
        <v>1678</v>
      </c>
      <c r="E479" s="77">
        <v>231.1</v>
      </c>
      <c r="F479" s="76" t="s">
        <v>63</v>
      </c>
      <c r="G479" s="76"/>
      <c r="H479" s="76" t="s">
        <v>282</v>
      </c>
      <c r="I479" s="78">
        <v>45983</v>
      </c>
      <c r="J479" s="78">
        <v>45971</v>
      </c>
      <c r="K479" s="77">
        <v>-7</v>
      </c>
      <c r="L479" s="77">
        <v>-19</v>
      </c>
    </row>
    <row r="480" spans="1:12" ht="22.5">
      <c r="A480" s="76" t="s">
        <v>1399</v>
      </c>
      <c r="B480" s="76" t="s">
        <v>1679</v>
      </c>
      <c r="C480" s="76" t="s">
        <v>1567</v>
      </c>
      <c r="D480" s="76" t="s">
        <v>1680</v>
      </c>
      <c r="E480" s="77">
        <v>254.98</v>
      </c>
      <c r="F480" s="76" t="s">
        <v>63</v>
      </c>
      <c r="G480" s="76"/>
      <c r="H480" s="76" t="s">
        <v>272</v>
      </c>
      <c r="I480" s="78">
        <v>45983</v>
      </c>
      <c r="J480" s="78">
        <v>45971</v>
      </c>
      <c r="K480" s="77">
        <v>-7</v>
      </c>
      <c r="L480" s="77">
        <v>-19</v>
      </c>
    </row>
    <row r="481" spans="1:12" ht="22.5">
      <c r="A481" s="76" t="s">
        <v>1399</v>
      </c>
      <c r="B481" s="76" t="s">
        <v>1681</v>
      </c>
      <c r="C481" s="76" t="s">
        <v>1572</v>
      </c>
      <c r="D481" s="76" t="s">
        <v>1682</v>
      </c>
      <c r="E481" s="77">
        <v>231.1</v>
      </c>
      <c r="F481" s="76" t="s">
        <v>63</v>
      </c>
      <c r="G481" s="76"/>
      <c r="H481" s="76" t="s">
        <v>282</v>
      </c>
      <c r="I481" s="78">
        <v>45983</v>
      </c>
      <c r="J481" s="78">
        <v>45971</v>
      </c>
      <c r="K481" s="77">
        <v>-7</v>
      </c>
      <c r="L481" s="77">
        <v>-19</v>
      </c>
    </row>
    <row r="482" spans="1:12" ht="22.5">
      <c r="A482" s="76" t="s">
        <v>1399</v>
      </c>
      <c r="B482" s="76" t="s">
        <v>1683</v>
      </c>
      <c r="C482" s="76" t="s">
        <v>1572</v>
      </c>
      <c r="D482" s="76" t="s">
        <v>1684</v>
      </c>
      <c r="E482" s="77">
        <v>231.1</v>
      </c>
      <c r="F482" s="76" t="s">
        <v>63</v>
      </c>
      <c r="G482" s="76"/>
      <c r="H482" s="76" t="s">
        <v>282</v>
      </c>
      <c r="I482" s="78">
        <v>45983</v>
      </c>
      <c r="J482" s="78">
        <v>45971</v>
      </c>
      <c r="K482" s="77">
        <v>-7</v>
      </c>
      <c r="L482" s="77">
        <v>-19</v>
      </c>
    </row>
    <row r="483" spans="1:12" ht="22.5">
      <c r="A483" s="76" t="s">
        <v>1399</v>
      </c>
      <c r="B483" s="76" t="s">
        <v>1685</v>
      </c>
      <c r="C483" s="76" t="s">
        <v>1572</v>
      </c>
      <c r="D483" s="76" t="s">
        <v>1686</v>
      </c>
      <c r="E483" s="77">
        <v>231.1</v>
      </c>
      <c r="F483" s="76" t="s">
        <v>63</v>
      </c>
      <c r="G483" s="76"/>
      <c r="H483" s="76" t="s">
        <v>282</v>
      </c>
      <c r="I483" s="78">
        <v>45983</v>
      </c>
      <c r="J483" s="78">
        <v>45971</v>
      </c>
      <c r="K483" s="77">
        <v>-7</v>
      </c>
      <c r="L483" s="77">
        <v>-19</v>
      </c>
    </row>
    <row r="484" spans="1:12" ht="22.5">
      <c r="A484" s="76" t="s">
        <v>1399</v>
      </c>
      <c r="B484" s="76" t="s">
        <v>1687</v>
      </c>
      <c r="C484" s="76" t="s">
        <v>1567</v>
      </c>
      <c r="D484" s="76" t="s">
        <v>1688</v>
      </c>
      <c r="E484" s="77">
        <v>254.98</v>
      </c>
      <c r="F484" s="76" t="s">
        <v>63</v>
      </c>
      <c r="G484" s="76"/>
      <c r="H484" s="76" t="s">
        <v>272</v>
      </c>
      <c r="I484" s="78">
        <v>45983</v>
      </c>
      <c r="J484" s="78">
        <v>45971</v>
      </c>
      <c r="K484" s="77">
        <v>-7</v>
      </c>
      <c r="L484" s="77">
        <v>-19</v>
      </c>
    </row>
    <row r="485" spans="1:12" ht="22.5">
      <c r="A485" s="76" t="s">
        <v>1399</v>
      </c>
      <c r="B485" s="76" t="s">
        <v>1689</v>
      </c>
      <c r="C485" s="76" t="s">
        <v>1572</v>
      </c>
      <c r="D485" s="76" t="s">
        <v>1690</v>
      </c>
      <c r="E485" s="77">
        <v>231.1</v>
      </c>
      <c r="F485" s="76" t="s">
        <v>63</v>
      </c>
      <c r="G485" s="76"/>
      <c r="H485" s="76" t="s">
        <v>282</v>
      </c>
      <c r="I485" s="78">
        <v>45983</v>
      </c>
      <c r="J485" s="78">
        <v>45971</v>
      </c>
      <c r="K485" s="77">
        <v>-7</v>
      </c>
      <c r="L485" s="77">
        <v>-19</v>
      </c>
    </row>
    <row r="486" spans="1:12" ht="22.5">
      <c r="A486" s="76" t="s">
        <v>1399</v>
      </c>
      <c r="B486" s="76" t="s">
        <v>1691</v>
      </c>
      <c r="C486" s="76" t="s">
        <v>1572</v>
      </c>
      <c r="D486" s="76" t="s">
        <v>1692</v>
      </c>
      <c r="E486" s="77">
        <v>231.1</v>
      </c>
      <c r="F486" s="76" t="s">
        <v>63</v>
      </c>
      <c r="G486" s="76"/>
      <c r="H486" s="76" t="s">
        <v>282</v>
      </c>
      <c r="I486" s="78">
        <v>45983</v>
      </c>
      <c r="J486" s="78">
        <v>45971</v>
      </c>
      <c r="K486" s="77">
        <v>-7</v>
      </c>
      <c r="L486" s="77">
        <v>-19</v>
      </c>
    </row>
    <row r="487" spans="1:12" ht="22.5">
      <c r="A487" s="76" t="s">
        <v>1399</v>
      </c>
      <c r="B487" s="76" t="s">
        <v>1693</v>
      </c>
      <c r="C487" s="76" t="s">
        <v>1572</v>
      </c>
      <c r="D487" s="76" t="s">
        <v>1694</v>
      </c>
      <c r="E487" s="77">
        <v>231.1</v>
      </c>
      <c r="F487" s="76" t="s">
        <v>63</v>
      </c>
      <c r="G487" s="76"/>
      <c r="H487" s="76" t="s">
        <v>282</v>
      </c>
      <c r="I487" s="78">
        <v>45983</v>
      </c>
      <c r="J487" s="78">
        <v>45971</v>
      </c>
      <c r="K487" s="77">
        <v>-7</v>
      </c>
      <c r="L487" s="77">
        <v>-19</v>
      </c>
    </row>
    <row r="488" spans="1:12" ht="22.5">
      <c r="A488" s="76" t="s">
        <v>1399</v>
      </c>
      <c r="B488" s="76" t="s">
        <v>1695</v>
      </c>
      <c r="C488" s="76" t="s">
        <v>1567</v>
      </c>
      <c r="D488" s="76" t="s">
        <v>1696</v>
      </c>
      <c r="E488" s="77">
        <v>254.98</v>
      </c>
      <c r="F488" s="76" t="s">
        <v>63</v>
      </c>
      <c r="G488" s="76"/>
      <c r="H488" s="76" t="s">
        <v>272</v>
      </c>
      <c r="I488" s="78">
        <v>45983</v>
      </c>
      <c r="J488" s="78">
        <v>45971</v>
      </c>
      <c r="K488" s="77">
        <v>-7</v>
      </c>
      <c r="L488" s="77">
        <v>-19</v>
      </c>
    </row>
    <row r="489" spans="1:12" ht="22.5">
      <c r="A489" s="76" t="s">
        <v>1399</v>
      </c>
      <c r="B489" s="76" t="s">
        <v>1697</v>
      </c>
      <c r="C489" s="76" t="s">
        <v>1567</v>
      </c>
      <c r="D489" s="76" t="s">
        <v>1698</v>
      </c>
      <c r="E489" s="77">
        <v>254.98</v>
      </c>
      <c r="F489" s="76" t="s">
        <v>63</v>
      </c>
      <c r="G489" s="76"/>
      <c r="H489" s="76" t="s">
        <v>272</v>
      </c>
      <c r="I489" s="78">
        <v>45983</v>
      </c>
      <c r="J489" s="78">
        <v>45971</v>
      </c>
      <c r="K489" s="77">
        <v>-7</v>
      </c>
      <c r="L489" s="77">
        <v>-19</v>
      </c>
    </row>
    <row r="490" spans="1:12" ht="22.5">
      <c r="A490" s="76" t="s">
        <v>1399</v>
      </c>
      <c r="B490" s="76" t="s">
        <v>1699</v>
      </c>
      <c r="C490" s="76" t="s">
        <v>1567</v>
      </c>
      <c r="D490" s="76" t="s">
        <v>1700</v>
      </c>
      <c r="E490" s="77">
        <v>254.98</v>
      </c>
      <c r="F490" s="76" t="s">
        <v>63</v>
      </c>
      <c r="G490" s="76"/>
      <c r="H490" s="76" t="s">
        <v>272</v>
      </c>
      <c r="I490" s="78">
        <v>45983</v>
      </c>
      <c r="J490" s="78">
        <v>45971</v>
      </c>
      <c r="K490" s="77">
        <v>-7</v>
      </c>
      <c r="L490" s="77">
        <v>-19</v>
      </c>
    </row>
    <row r="491" spans="1:12" ht="22.5">
      <c r="A491" s="76" t="s">
        <v>1399</v>
      </c>
      <c r="B491" s="76" t="s">
        <v>1701</v>
      </c>
      <c r="C491" s="76" t="s">
        <v>1567</v>
      </c>
      <c r="D491" s="76" t="s">
        <v>1702</v>
      </c>
      <c r="E491" s="77">
        <v>254.98</v>
      </c>
      <c r="F491" s="76" t="s">
        <v>63</v>
      </c>
      <c r="G491" s="76"/>
      <c r="H491" s="76" t="s">
        <v>272</v>
      </c>
      <c r="I491" s="78">
        <v>45983</v>
      </c>
      <c r="J491" s="78">
        <v>45971</v>
      </c>
      <c r="K491" s="77">
        <v>-7</v>
      </c>
      <c r="L491" s="77">
        <v>-19</v>
      </c>
    </row>
    <row r="492" spans="1:12" ht="22.5">
      <c r="A492" s="76" t="s">
        <v>1399</v>
      </c>
      <c r="B492" s="76" t="s">
        <v>1703</v>
      </c>
      <c r="C492" s="76" t="s">
        <v>1572</v>
      </c>
      <c r="D492" s="76" t="s">
        <v>1704</v>
      </c>
      <c r="E492" s="77">
        <v>231.1</v>
      </c>
      <c r="F492" s="76" t="s">
        <v>63</v>
      </c>
      <c r="G492" s="76"/>
      <c r="H492" s="76" t="s">
        <v>282</v>
      </c>
      <c r="I492" s="78">
        <v>45983</v>
      </c>
      <c r="J492" s="78">
        <v>45971</v>
      </c>
      <c r="K492" s="77">
        <v>-7</v>
      </c>
      <c r="L492" s="77">
        <v>-19</v>
      </c>
    </row>
    <row r="493" spans="1:12" ht="22.5">
      <c r="A493" s="76" t="s">
        <v>1399</v>
      </c>
      <c r="B493" s="76" t="s">
        <v>1705</v>
      </c>
      <c r="C493" s="76" t="s">
        <v>1567</v>
      </c>
      <c r="D493" s="76" t="s">
        <v>1706</v>
      </c>
      <c r="E493" s="77">
        <v>254.98</v>
      </c>
      <c r="F493" s="76" t="s">
        <v>63</v>
      </c>
      <c r="G493" s="76"/>
      <c r="H493" s="76" t="s">
        <v>272</v>
      </c>
      <c r="I493" s="78">
        <v>45983</v>
      </c>
      <c r="J493" s="78">
        <v>45971</v>
      </c>
      <c r="K493" s="77">
        <v>-7</v>
      </c>
      <c r="L493" s="77">
        <v>-19</v>
      </c>
    </row>
    <row r="494" spans="1:12" ht="33.75">
      <c r="A494" s="76" t="s">
        <v>1419</v>
      </c>
      <c r="B494" s="76" t="s">
        <v>1420</v>
      </c>
      <c r="C494" s="76" t="s">
        <v>307</v>
      </c>
      <c r="D494" s="76" t="s">
        <v>1421</v>
      </c>
      <c r="E494" s="77">
        <v>72.59</v>
      </c>
      <c r="F494" s="76" t="s">
        <v>112</v>
      </c>
      <c r="G494" s="76"/>
      <c r="H494" s="76" t="s">
        <v>273</v>
      </c>
      <c r="I494" s="78">
        <v>45976</v>
      </c>
      <c r="J494" s="78">
        <v>45972</v>
      </c>
      <c r="K494" s="77">
        <v>-14</v>
      </c>
      <c r="L494" s="77">
        <v>-18</v>
      </c>
    </row>
    <row r="495" spans="1:12" ht="33.75">
      <c r="A495" s="76" t="s">
        <v>1419</v>
      </c>
      <c r="B495" s="76" t="s">
        <v>1422</v>
      </c>
      <c r="C495" s="76" t="s">
        <v>307</v>
      </c>
      <c r="D495" s="76" t="s">
        <v>1423</v>
      </c>
      <c r="E495" s="77">
        <v>59.8</v>
      </c>
      <c r="F495" s="76" t="s">
        <v>112</v>
      </c>
      <c r="G495" s="76"/>
      <c r="H495" s="76" t="s">
        <v>272</v>
      </c>
      <c r="I495" s="78">
        <v>45976</v>
      </c>
      <c r="J495" s="78">
        <v>45972</v>
      </c>
      <c r="K495" s="77">
        <v>-14</v>
      </c>
      <c r="L495" s="77">
        <v>-18</v>
      </c>
    </row>
    <row r="496" spans="1:12" ht="45">
      <c r="A496" s="76" t="s">
        <v>1424</v>
      </c>
      <c r="B496" s="76" t="s">
        <v>1425</v>
      </c>
      <c r="C496" s="76" t="s">
        <v>307</v>
      </c>
      <c r="D496" s="76" t="s">
        <v>1426</v>
      </c>
      <c r="E496" s="79"/>
      <c r="F496" s="76" t="s">
        <v>167</v>
      </c>
      <c r="G496" s="76"/>
      <c r="H496" s="76" t="s">
        <v>273</v>
      </c>
      <c r="I496" s="78">
        <v>45973</v>
      </c>
      <c r="J496" s="78">
        <v>45972</v>
      </c>
      <c r="K496" s="77">
        <v>-17</v>
      </c>
      <c r="L496" s="77">
        <v>-18</v>
      </c>
    </row>
    <row r="497" spans="1:12" ht="33.75">
      <c r="A497" s="76" t="s">
        <v>1414</v>
      </c>
      <c r="B497" s="76" t="s">
        <v>1415</v>
      </c>
      <c r="C497" s="76" t="s">
        <v>307</v>
      </c>
      <c r="D497" s="76" t="s">
        <v>1439</v>
      </c>
      <c r="E497" s="79"/>
      <c r="F497" s="76" t="s">
        <v>82</v>
      </c>
      <c r="G497" s="76"/>
      <c r="H497" s="76" t="s">
        <v>273</v>
      </c>
      <c r="I497" s="78">
        <v>45983</v>
      </c>
      <c r="J497" s="78">
        <v>45972</v>
      </c>
      <c r="K497" s="77">
        <v>-7</v>
      </c>
      <c r="L497" s="77">
        <v>-18</v>
      </c>
    </row>
    <row r="498" spans="1:12" ht="22.5">
      <c r="A498" s="76" t="s">
        <v>1440</v>
      </c>
      <c r="B498" s="76" t="s">
        <v>306</v>
      </c>
      <c r="C498" s="76" t="s">
        <v>2218</v>
      </c>
      <c r="D498" s="76" t="s">
        <v>2219</v>
      </c>
      <c r="E498" s="77">
        <v>126.29281</v>
      </c>
      <c r="F498" s="76" t="s">
        <v>76</v>
      </c>
      <c r="G498" s="76"/>
      <c r="H498" s="76" t="s">
        <v>273</v>
      </c>
      <c r="I498" s="78">
        <v>45979</v>
      </c>
      <c r="J498" s="78">
        <v>45972</v>
      </c>
      <c r="K498" s="77">
        <v>-11</v>
      </c>
      <c r="L498" s="77">
        <v>-18</v>
      </c>
    </row>
    <row r="499" spans="1:12" ht="56.25">
      <c r="A499" s="76" t="s">
        <v>1440</v>
      </c>
      <c r="B499" s="76" t="s">
        <v>306</v>
      </c>
      <c r="C499" s="76" t="s">
        <v>1441</v>
      </c>
      <c r="D499" s="76" t="s">
        <v>1442</v>
      </c>
      <c r="E499" s="77">
        <v>1013.4769264</v>
      </c>
      <c r="F499" s="76" t="s">
        <v>78</v>
      </c>
      <c r="G499" s="76"/>
      <c r="H499" s="76" t="s">
        <v>273</v>
      </c>
      <c r="I499" s="78">
        <v>45979</v>
      </c>
      <c r="J499" s="78">
        <v>45972</v>
      </c>
      <c r="K499" s="77">
        <v>-11</v>
      </c>
      <c r="L499" s="77">
        <v>-18</v>
      </c>
    </row>
    <row r="500" spans="1:12" ht="101.25">
      <c r="A500" s="76" t="s">
        <v>1440</v>
      </c>
      <c r="B500" s="76" t="s">
        <v>306</v>
      </c>
      <c r="C500" s="76" t="s">
        <v>2220</v>
      </c>
      <c r="D500" s="76" t="s">
        <v>2221</v>
      </c>
      <c r="E500" s="77">
        <v>523.66</v>
      </c>
      <c r="F500" s="76" t="s">
        <v>77</v>
      </c>
      <c r="G500" s="76"/>
      <c r="H500" s="76" t="s">
        <v>273</v>
      </c>
      <c r="I500" s="78">
        <v>45979</v>
      </c>
      <c r="J500" s="78">
        <v>45972</v>
      </c>
      <c r="K500" s="77">
        <v>-11</v>
      </c>
      <c r="L500" s="77">
        <v>-18</v>
      </c>
    </row>
    <row r="501" spans="1:12" ht="78.75">
      <c r="A501" s="76" t="s">
        <v>1440</v>
      </c>
      <c r="B501" s="76" t="s">
        <v>306</v>
      </c>
      <c r="C501" s="76" t="s">
        <v>1954</v>
      </c>
      <c r="D501" s="76" t="s">
        <v>1780</v>
      </c>
      <c r="E501" s="77">
        <v>341.34259029999998</v>
      </c>
      <c r="F501" s="76" t="s">
        <v>1952</v>
      </c>
      <c r="G501" s="76"/>
      <c r="H501" s="76" t="s">
        <v>273</v>
      </c>
      <c r="I501" s="78">
        <v>45979</v>
      </c>
      <c r="J501" s="78">
        <v>45972</v>
      </c>
      <c r="K501" s="77">
        <v>-11</v>
      </c>
      <c r="L501" s="77">
        <v>-18</v>
      </c>
    </row>
    <row r="502" spans="1:12" ht="22.5">
      <c r="A502" s="76" t="s">
        <v>1440</v>
      </c>
      <c r="B502" s="76" t="s">
        <v>306</v>
      </c>
      <c r="C502" s="76" t="s">
        <v>2237</v>
      </c>
      <c r="D502" s="76" t="s">
        <v>2238</v>
      </c>
      <c r="E502" s="77">
        <v>161.94550409999999</v>
      </c>
      <c r="F502" s="76"/>
      <c r="G502" s="76" t="s">
        <v>2458</v>
      </c>
      <c r="H502" s="76" t="s">
        <v>273</v>
      </c>
      <c r="I502" s="78">
        <v>45979</v>
      </c>
      <c r="J502" s="78">
        <v>45972</v>
      </c>
      <c r="K502" s="77">
        <v>-11</v>
      </c>
      <c r="L502" s="77">
        <v>-18</v>
      </c>
    </row>
    <row r="503" spans="1:12" ht="45">
      <c r="A503" s="76" t="s">
        <v>1440</v>
      </c>
      <c r="B503" s="76" t="s">
        <v>306</v>
      </c>
      <c r="C503" s="76" t="s">
        <v>2239</v>
      </c>
      <c r="D503" s="76" t="s">
        <v>2240</v>
      </c>
      <c r="E503" s="77">
        <v>187.93537789999999</v>
      </c>
      <c r="F503" s="76"/>
      <c r="G503" s="76" t="s">
        <v>2233</v>
      </c>
      <c r="H503" s="76" t="s">
        <v>273</v>
      </c>
      <c r="I503" s="78">
        <v>45979</v>
      </c>
      <c r="J503" s="78">
        <v>45972</v>
      </c>
      <c r="K503" s="77">
        <v>-11</v>
      </c>
      <c r="L503" s="77">
        <v>-18</v>
      </c>
    </row>
    <row r="504" spans="1:12" ht="22.5">
      <c r="A504" s="76" t="s">
        <v>1440</v>
      </c>
      <c r="B504" s="76" t="s">
        <v>306</v>
      </c>
      <c r="C504" s="76" t="s">
        <v>1781</v>
      </c>
      <c r="D504" s="76" t="s">
        <v>1782</v>
      </c>
      <c r="E504" s="77">
        <v>41.3</v>
      </c>
      <c r="F504" s="76" t="s">
        <v>66</v>
      </c>
      <c r="G504" s="76"/>
      <c r="H504" s="76" t="s">
        <v>273</v>
      </c>
      <c r="I504" s="78">
        <v>45979</v>
      </c>
      <c r="J504" s="78">
        <v>45972</v>
      </c>
      <c r="K504" s="77">
        <v>-11</v>
      </c>
      <c r="L504" s="77">
        <v>-18</v>
      </c>
    </row>
    <row r="505" spans="1:12" ht="45">
      <c r="A505" s="76" t="s">
        <v>1440</v>
      </c>
      <c r="B505" s="76" t="s">
        <v>306</v>
      </c>
      <c r="C505" s="76" t="s">
        <v>2241</v>
      </c>
      <c r="D505" s="76" t="s">
        <v>2242</v>
      </c>
      <c r="E505" s="77">
        <v>119.2477569</v>
      </c>
      <c r="F505" s="76"/>
      <c r="G505" s="76" t="s">
        <v>2233</v>
      </c>
      <c r="H505" s="76" t="s">
        <v>273</v>
      </c>
      <c r="I505" s="78">
        <v>45979</v>
      </c>
      <c r="J505" s="78">
        <v>45972</v>
      </c>
      <c r="K505" s="77">
        <v>-11</v>
      </c>
      <c r="L505" s="77">
        <v>-18</v>
      </c>
    </row>
    <row r="506" spans="1:12" ht="90">
      <c r="A506" s="76" t="s">
        <v>1440</v>
      </c>
      <c r="B506" s="76" t="s">
        <v>306</v>
      </c>
      <c r="C506" s="76" t="s">
        <v>2222</v>
      </c>
      <c r="D506" s="76" t="s">
        <v>2223</v>
      </c>
      <c r="E506" s="77">
        <v>212.02</v>
      </c>
      <c r="F506" s="76" t="s">
        <v>76</v>
      </c>
      <c r="G506" s="76"/>
      <c r="H506" s="76" t="s">
        <v>273</v>
      </c>
      <c r="I506" s="78">
        <v>45979</v>
      </c>
      <c r="J506" s="78">
        <v>45972</v>
      </c>
      <c r="K506" s="77">
        <v>-11</v>
      </c>
      <c r="L506" s="77">
        <v>-18</v>
      </c>
    </row>
    <row r="507" spans="1:12" ht="33.75">
      <c r="A507" s="76" t="s">
        <v>1440</v>
      </c>
      <c r="B507" s="76" t="s">
        <v>306</v>
      </c>
      <c r="C507" s="76" t="s">
        <v>2462</v>
      </c>
      <c r="D507" s="76" t="s">
        <v>2463</v>
      </c>
      <c r="E507" s="77">
        <v>78.966920000000002</v>
      </c>
      <c r="F507" s="76" t="s">
        <v>2459</v>
      </c>
      <c r="G507" s="76"/>
      <c r="H507" s="76" t="s">
        <v>273</v>
      </c>
      <c r="I507" s="78">
        <v>45979</v>
      </c>
      <c r="J507" s="78">
        <v>45972</v>
      </c>
      <c r="K507" s="77">
        <v>-11</v>
      </c>
      <c r="L507" s="77">
        <v>-18</v>
      </c>
    </row>
    <row r="508" spans="1:12" ht="22.5">
      <c r="A508" s="76" t="s">
        <v>1440</v>
      </c>
      <c r="B508" s="76" t="s">
        <v>306</v>
      </c>
      <c r="C508" s="76" t="s">
        <v>1955</v>
      </c>
      <c r="D508" s="76" t="s">
        <v>1956</v>
      </c>
      <c r="E508" s="77">
        <v>87.954977200000002</v>
      </c>
      <c r="F508" s="76" t="s">
        <v>1952</v>
      </c>
      <c r="G508" s="76"/>
      <c r="H508" s="76" t="s">
        <v>273</v>
      </c>
      <c r="I508" s="78">
        <v>45979</v>
      </c>
      <c r="J508" s="78">
        <v>45972</v>
      </c>
      <c r="K508" s="77">
        <v>-11</v>
      </c>
      <c r="L508" s="77">
        <v>-18</v>
      </c>
    </row>
    <row r="509" spans="1:12" ht="78.75">
      <c r="A509" s="76" t="s">
        <v>1440</v>
      </c>
      <c r="B509" s="76" t="s">
        <v>306</v>
      </c>
      <c r="C509" s="76" t="s">
        <v>1783</v>
      </c>
      <c r="D509" s="76" t="s">
        <v>1443</v>
      </c>
      <c r="E509" s="77">
        <v>180.77529809999999</v>
      </c>
      <c r="F509" s="76"/>
      <c r="G509" s="76" t="s">
        <v>2458</v>
      </c>
      <c r="H509" s="76" t="s">
        <v>273</v>
      </c>
      <c r="I509" s="78">
        <v>45979</v>
      </c>
      <c r="J509" s="78">
        <v>45972</v>
      </c>
      <c r="K509" s="77">
        <v>-11</v>
      </c>
      <c r="L509" s="77">
        <v>-18</v>
      </c>
    </row>
    <row r="510" spans="1:12" ht="33.75">
      <c r="A510" s="76" t="s">
        <v>1440</v>
      </c>
      <c r="B510" s="76" t="s">
        <v>306</v>
      </c>
      <c r="C510" s="76" t="s">
        <v>2464</v>
      </c>
      <c r="D510" s="76" t="s">
        <v>2465</v>
      </c>
      <c r="E510" s="77">
        <v>67.578040000000001</v>
      </c>
      <c r="F510" s="76" t="s">
        <v>2459</v>
      </c>
      <c r="G510" s="76"/>
      <c r="H510" s="76" t="s">
        <v>273</v>
      </c>
      <c r="I510" s="78">
        <v>45979</v>
      </c>
      <c r="J510" s="78">
        <v>45972</v>
      </c>
      <c r="K510" s="77">
        <v>-11</v>
      </c>
      <c r="L510" s="77">
        <v>-18</v>
      </c>
    </row>
    <row r="511" spans="1:12" ht="78.75">
      <c r="A511" s="76" t="s">
        <v>1440</v>
      </c>
      <c r="B511" s="76" t="s">
        <v>306</v>
      </c>
      <c r="C511" s="76" t="s">
        <v>1957</v>
      </c>
      <c r="D511" s="76" t="s">
        <v>1958</v>
      </c>
      <c r="E511" s="77">
        <v>24.41</v>
      </c>
      <c r="F511" s="76" t="s">
        <v>165</v>
      </c>
      <c r="G511" s="76"/>
      <c r="H511" s="76" t="s">
        <v>273</v>
      </c>
      <c r="I511" s="78">
        <v>45979</v>
      </c>
      <c r="J511" s="78">
        <v>45972</v>
      </c>
      <c r="K511" s="77">
        <v>-11</v>
      </c>
      <c r="L511" s="77">
        <v>-18</v>
      </c>
    </row>
    <row r="512" spans="1:12" ht="22.5">
      <c r="A512" s="76" t="s">
        <v>1440</v>
      </c>
      <c r="B512" s="76" t="s">
        <v>306</v>
      </c>
      <c r="C512" s="76" t="s">
        <v>2466</v>
      </c>
      <c r="D512" s="76" t="s">
        <v>2467</v>
      </c>
      <c r="E512" s="77">
        <v>53.60839</v>
      </c>
      <c r="F512" s="76"/>
      <c r="G512" s="76" t="s">
        <v>2468</v>
      </c>
      <c r="H512" s="76" t="s">
        <v>273</v>
      </c>
      <c r="I512" s="78">
        <v>45979</v>
      </c>
      <c r="J512" s="78">
        <v>45972</v>
      </c>
      <c r="K512" s="77">
        <v>-11</v>
      </c>
      <c r="L512" s="77">
        <v>-18</v>
      </c>
    </row>
    <row r="513" spans="1:12" ht="101.25">
      <c r="A513" s="76" t="s">
        <v>1440</v>
      </c>
      <c r="B513" s="76" t="s">
        <v>306</v>
      </c>
      <c r="C513" s="76" t="s">
        <v>307</v>
      </c>
      <c r="D513" s="76" t="s">
        <v>2469</v>
      </c>
      <c r="E513" s="79"/>
      <c r="F513" s="76" t="s">
        <v>167</v>
      </c>
      <c r="G513" s="76"/>
      <c r="H513" s="76" t="s">
        <v>273</v>
      </c>
      <c r="I513" s="78">
        <v>45979</v>
      </c>
      <c r="J513" s="78">
        <v>45972</v>
      </c>
      <c r="K513" s="77">
        <v>-11</v>
      </c>
      <c r="L513" s="77">
        <v>-18</v>
      </c>
    </row>
    <row r="514" spans="1:12" ht="45">
      <c r="A514" s="76" t="s">
        <v>1440</v>
      </c>
      <c r="B514" s="76" t="s">
        <v>306</v>
      </c>
      <c r="C514" s="76" t="s">
        <v>1444</v>
      </c>
      <c r="D514" s="76" t="s">
        <v>1445</v>
      </c>
      <c r="E514" s="77">
        <v>50.76</v>
      </c>
      <c r="F514" s="76"/>
      <c r="G514" s="76" t="s">
        <v>192</v>
      </c>
      <c r="H514" s="76" t="s">
        <v>273</v>
      </c>
      <c r="I514" s="78">
        <v>45979</v>
      </c>
      <c r="J514" s="78">
        <v>45972</v>
      </c>
      <c r="K514" s="77">
        <v>-11</v>
      </c>
      <c r="L514" s="77">
        <v>-18</v>
      </c>
    </row>
    <row r="515" spans="1:12" ht="22.5">
      <c r="A515" s="76" t="s">
        <v>1497</v>
      </c>
      <c r="B515" s="76" t="s">
        <v>274</v>
      </c>
      <c r="C515" s="76" t="s">
        <v>1498</v>
      </c>
      <c r="D515" s="76" t="s">
        <v>1499</v>
      </c>
      <c r="E515" s="77">
        <v>91.8623707</v>
      </c>
      <c r="F515" s="76" t="s">
        <v>78</v>
      </c>
      <c r="G515" s="76"/>
      <c r="H515" s="76" t="s">
        <v>273</v>
      </c>
      <c r="I515" s="78">
        <v>45980</v>
      </c>
      <c r="J515" s="78">
        <v>45972</v>
      </c>
      <c r="K515" s="77">
        <v>-10</v>
      </c>
      <c r="L515" s="77">
        <v>-18</v>
      </c>
    </row>
    <row r="516" spans="1:12" ht="33.75">
      <c r="A516" s="76" t="s">
        <v>1574</v>
      </c>
      <c r="B516" s="76" t="s">
        <v>1575</v>
      </c>
      <c r="C516" s="76" t="s">
        <v>307</v>
      </c>
      <c r="D516" s="76" t="s">
        <v>1576</v>
      </c>
      <c r="E516" s="79"/>
      <c r="F516" s="76" t="s">
        <v>155</v>
      </c>
      <c r="G516" s="76"/>
      <c r="H516" s="76" t="s">
        <v>272</v>
      </c>
      <c r="I516" s="78">
        <v>45979</v>
      </c>
      <c r="J516" s="78">
        <v>45972</v>
      </c>
      <c r="K516" s="77">
        <v>-11</v>
      </c>
      <c r="L516" s="77">
        <v>-18</v>
      </c>
    </row>
    <row r="517" spans="1:12" ht="33.75">
      <c r="A517" s="76" t="s">
        <v>1647</v>
      </c>
      <c r="B517" s="76" t="s">
        <v>1495</v>
      </c>
      <c r="C517" s="76" t="s">
        <v>307</v>
      </c>
      <c r="D517" s="76" t="s">
        <v>1648</v>
      </c>
      <c r="E517" s="79"/>
      <c r="F517" s="76" t="s">
        <v>157</v>
      </c>
      <c r="G517" s="76"/>
      <c r="H517" s="76" t="s">
        <v>273</v>
      </c>
      <c r="I517" s="78">
        <v>45979</v>
      </c>
      <c r="J517" s="78">
        <v>45972</v>
      </c>
      <c r="K517" s="77">
        <v>-11</v>
      </c>
      <c r="L517" s="77">
        <v>-18</v>
      </c>
    </row>
    <row r="518" spans="1:12" ht="33.75">
      <c r="A518" s="76" t="s">
        <v>1647</v>
      </c>
      <c r="B518" s="76" t="s">
        <v>1649</v>
      </c>
      <c r="C518" s="76" t="s">
        <v>307</v>
      </c>
      <c r="D518" s="76" t="s">
        <v>1650</v>
      </c>
      <c r="E518" s="79"/>
      <c r="F518" s="76" t="s">
        <v>157</v>
      </c>
      <c r="G518" s="76"/>
      <c r="H518" s="76" t="s">
        <v>273</v>
      </c>
      <c r="I518" s="78">
        <v>45979</v>
      </c>
      <c r="J518" s="78">
        <v>45972</v>
      </c>
      <c r="K518" s="77">
        <v>-11</v>
      </c>
      <c r="L518" s="77">
        <v>-18</v>
      </c>
    </row>
    <row r="519" spans="1:12" ht="33.75">
      <c r="A519" s="76" t="s">
        <v>1647</v>
      </c>
      <c r="B519" s="76" t="s">
        <v>1651</v>
      </c>
      <c r="C519" s="76" t="s">
        <v>307</v>
      </c>
      <c r="D519" s="76" t="s">
        <v>1652</v>
      </c>
      <c r="E519" s="79"/>
      <c r="F519" s="76" t="s">
        <v>157</v>
      </c>
      <c r="G519" s="76"/>
      <c r="H519" s="76" t="s">
        <v>273</v>
      </c>
      <c r="I519" s="78">
        <v>45979</v>
      </c>
      <c r="J519" s="78">
        <v>45972</v>
      </c>
      <c r="K519" s="77">
        <v>-11</v>
      </c>
      <c r="L519" s="77">
        <v>-18</v>
      </c>
    </row>
    <row r="520" spans="1:12" ht="33.75">
      <c r="A520" s="76" t="s">
        <v>1647</v>
      </c>
      <c r="B520" s="76" t="s">
        <v>1653</v>
      </c>
      <c r="C520" s="76" t="s">
        <v>307</v>
      </c>
      <c r="D520" s="76" t="s">
        <v>1654</v>
      </c>
      <c r="E520" s="79"/>
      <c r="F520" s="76" t="s">
        <v>157</v>
      </c>
      <c r="G520" s="76"/>
      <c r="H520" s="76" t="s">
        <v>273</v>
      </c>
      <c r="I520" s="78">
        <v>45979</v>
      </c>
      <c r="J520" s="78">
        <v>45972</v>
      </c>
      <c r="K520" s="77">
        <v>-11</v>
      </c>
      <c r="L520" s="77">
        <v>-18</v>
      </c>
    </row>
    <row r="521" spans="1:12" ht="33.75">
      <c r="A521" s="76" t="s">
        <v>1647</v>
      </c>
      <c r="B521" s="76" t="s">
        <v>1655</v>
      </c>
      <c r="C521" s="76" t="s">
        <v>307</v>
      </c>
      <c r="D521" s="76" t="s">
        <v>1656</v>
      </c>
      <c r="E521" s="79"/>
      <c r="F521" s="76" t="s">
        <v>157</v>
      </c>
      <c r="G521" s="76"/>
      <c r="H521" s="76" t="s">
        <v>273</v>
      </c>
      <c r="I521" s="78">
        <v>45979</v>
      </c>
      <c r="J521" s="78">
        <v>45972</v>
      </c>
      <c r="K521" s="77">
        <v>-11</v>
      </c>
      <c r="L521" s="77">
        <v>-18</v>
      </c>
    </row>
    <row r="522" spans="1:12" ht="33.75">
      <c r="A522" s="76" t="s">
        <v>1647</v>
      </c>
      <c r="B522" s="76" t="s">
        <v>836</v>
      </c>
      <c r="C522" s="76" t="s">
        <v>307</v>
      </c>
      <c r="D522" s="76" t="s">
        <v>1657</v>
      </c>
      <c r="E522" s="79"/>
      <c r="F522" s="76" t="s">
        <v>157</v>
      </c>
      <c r="G522" s="76"/>
      <c r="H522" s="76" t="s">
        <v>273</v>
      </c>
      <c r="I522" s="78">
        <v>45979</v>
      </c>
      <c r="J522" s="78">
        <v>45972</v>
      </c>
      <c r="K522" s="77">
        <v>-11</v>
      </c>
      <c r="L522" s="77">
        <v>-18</v>
      </c>
    </row>
    <row r="523" spans="1:12" ht="33.75">
      <c r="A523" s="76" t="s">
        <v>1647</v>
      </c>
      <c r="B523" s="76" t="s">
        <v>837</v>
      </c>
      <c r="C523" s="76" t="s">
        <v>307</v>
      </c>
      <c r="D523" s="76" t="s">
        <v>1658</v>
      </c>
      <c r="E523" s="79"/>
      <c r="F523" s="76" t="s">
        <v>157</v>
      </c>
      <c r="G523" s="76"/>
      <c r="H523" s="76" t="s">
        <v>273</v>
      </c>
      <c r="I523" s="78">
        <v>45979</v>
      </c>
      <c r="J523" s="78">
        <v>45972</v>
      </c>
      <c r="K523" s="77">
        <v>-11</v>
      </c>
      <c r="L523" s="77">
        <v>-18</v>
      </c>
    </row>
    <row r="524" spans="1:12" ht="33.75">
      <c r="A524" s="76" t="s">
        <v>1647</v>
      </c>
      <c r="B524" s="76" t="s">
        <v>1659</v>
      </c>
      <c r="C524" s="76" t="s">
        <v>307</v>
      </c>
      <c r="D524" s="76" t="s">
        <v>1660</v>
      </c>
      <c r="E524" s="79"/>
      <c r="F524" s="76" t="s">
        <v>157</v>
      </c>
      <c r="G524" s="76"/>
      <c r="H524" s="76" t="s">
        <v>273</v>
      </c>
      <c r="I524" s="78">
        <v>45979</v>
      </c>
      <c r="J524" s="78">
        <v>45972</v>
      </c>
      <c r="K524" s="77">
        <v>-11</v>
      </c>
      <c r="L524" s="77">
        <v>-18</v>
      </c>
    </row>
    <row r="525" spans="1:12" ht="33.75">
      <c r="A525" s="76" t="s">
        <v>1647</v>
      </c>
      <c r="B525" s="76" t="s">
        <v>1661</v>
      </c>
      <c r="C525" s="76" t="s">
        <v>307</v>
      </c>
      <c r="D525" s="76" t="s">
        <v>1662</v>
      </c>
      <c r="E525" s="79"/>
      <c r="F525" s="76" t="s">
        <v>157</v>
      </c>
      <c r="G525" s="76"/>
      <c r="H525" s="76" t="s">
        <v>273</v>
      </c>
      <c r="I525" s="78">
        <v>45979</v>
      </c>
      <c r="J525" s="78">
        <v>45972</v>
      </c>
      <c r="K525" s="77">
        <v>-11</v>
      </c>
      <c r="L525" s="77">
        <v>-18</v>
      </c>
    </row>
    <row r="526" spans="1:12" ht="33.75">
      <c r="A526" s="76" t="s">
        <v>1647</v>
      </c>
      <c r="B526" s="76" t="s">
        <v>838</v>
      </c>
      <c r="C526" s="76" t="s">
        <v>307</v>
      </c>
      <c r="D526" s="76" t="s">
        <v>1663</v>
      </c>
      <c r="E526" s="79"/>
      <c r="F526" s="76" t="s">
        <v>157</v>
      </c>
      <c r="G526" s="76"/>
      <c r="H526" s="76" t="s">
        <v>273</v>
      </c>
      <c r="I526" s="78">
        <v>45979</v>
      </c>
      <c r="J526" s="78">
        <v>45972</v>
      </c>
      <c r="K526" s="77">
        <v>-11</v>
      </c>
      <c r="L526" s="77">
        <v>-18</v>
      </c>
    </row>
    <row r="527" spans="1:12" ht="33.75">
      <c r="A527" s="76" t="s">
        <v>1647</v>
      </c>
      <c r="B527" s="76" t="s">
        <v>835</v>
      </c>
      <c r="C527" s="76" t="s">
        <v>307</v>
      </c>
      <c r="D527" s="76" t="s">
        <v>1664</v>
      </c>
      <c r="E527" s="79"/>
      <c r="F527" s="76" t="s">
        <v>157</v>
      </c>
      <c r="G527" s="76"/>
      <c r="H527" s="76" t="s">
        <v>273</v>
      </c>
      <c r="I527" s="78">
        <v>45979</v>
      </c>
      <c r="J527" s="78">
        <v>45972</v>
      </c>
      <c r="K527" s="77">
        <v>-11</v>
      </c>
      <c r="L527" s="77">
        <v>-18</v>
      </c>
    </row>
    <row r="528" spans="1:12" ht="22.5">
      <c r="A528" s="76" t="s">
        <v>1665</v>
      </c>
      <c r="B528" s="76" t="s">
        <v>1666</v>
      </c>
      <c r="C528" s="76" t="s">
        <v>307</v>
      </c>
      <c r="D528" s="76" t="s">
        <v>1667</v>
      </c>
      <c r="E528" s="77">
        <v>11.29</v>
      </c>
      <c r="F528" s="76" t="s">
        <v>184</v>
      </c>
      <c r="G528" s="76"/>
      <c r="H528" s="76" t="s">
        <v>273</v>
      </c>
      <c r="I528" s="78">
        <v>45983</v>
      </c>
      <c r="J528" s="78">
        <v>45972</v>
      </c>
      <c r="K528" s="77">
        <v>-7</v>
      </c>
      <c r="L528" s="77">
        <v>-18</v>
      </c>
    </row>
    <row r="529" spans="1:12" ht="33.75">
      <c r="A529" s="76" t="s">
        <v>1707</v>
      </c>
      <c r="B529" s="76" t="s">
        <v>1708</v>
      </c>
      <c r="C529" s="76" t="s">
        <v>307</v>
      </c>
      <c r="D529" s="76" t="s">
        <v>1709</v>
      </c>
      <c r="E529" s="79"/>
      <c r="F529" s="76" t="s">
        <v>157</v>
      </c>
      <c r="G529" s="76"/>
      <c r="H529" s="76" t="s">
        <v>273</v>
      </c>
      <c r="I529" s="78">
        <v>45980</v>
      </c>
      <c r="J529" s="78">
        <v>45972</v>
      </c>
      <c r="K529" s="77">
        <v>-10</v>
      </c>
      <c r="L529" s="77">
        <v>-18</v>
      </c>
    </row>
    <row r="530" spans="1:12" ht="56.25">
      <c r="A530" s="76" t="s">
        <v>1710</v>
      </c>
      <c r="B530" s="76" t="s">
        <v>1711</v>
      </c>
      <c r="C530" s="76" t="s">
        <v>307</v>
      </c>
      <c r="D530" s="76" t="s">
        <v>1712</v>
      </c>
      <c r="E530" s="79"/>
      <c r="F530" s="76" t="s">
        <v>155</v>
      </c>
      <c r="G530" s="76"/>
      <c r="H530" s="76" t="s">
        <v>282</v>
      </c>
      <c r="I530" s="78">
        <v>45980</v>
      </c>
      <c r="J530" s="78">
        <v>45972</v>
      </c>
      <c r="K530" s="77">
        <v>-10</v>
      </c>
      <c r="L530" s="77">
        <v>-18</v>
      </c>
    </row>
    <row r="531" spans="1:12" ht="33.75">
      <c r="A531" s="76" t="s">
        <v>1710</v>
      </c>
      <c r="B531" s="76" t="s">
        <v>1156</v>
      </c>
      <c r="C531" s="76" t="s">
        <v>307</v>
      </c>
      <c r="D531" s="76" t="s">
        <v>1713</v>
      </c>
      <c r="E531" s="77">
        <v>240.26</v>
      </c>
      <c r="F531" s="76" t="s">
        <v>194</v>
      </c>
      <c r="G531" s="76"/>
      <c r="H531" s="76" t="s">
        <v>282</v>
      </c>
      <c r="I531" s="78">
        <v>45980</v>
      </c>
      <c r="J531" s="78">
        <v>45972</v>
      </c>
      <c r="K531" s="77">
        <v>-10</v>
      </c>
      <c r="L531" s="77">
        <v>-18</v>
      </c>
    </row>
    <row r="532" spans="1:12" ht="45">
      <c r="A532" s="76" t="s">
        <v>1710</v>
      </c>
      <c r="B532" s="76" t="s">
        <v>1714</v>
      </c>
      <c r="C532" s="76" t="s">
        <v>307</v>
      </c>
      <c r="D532" s="76" t="s">
        <v>1715</v>
      </c>
      <c r="E532" s="79"/>
      <c r="F532" s="76" t="s">
        <v>870</v>
      </c>
      <c r="G532" s="76"/>
      <c r="H532" s="76" t="s">
        <v>272</v>
      </c>
      <c r="I532" s="78">
        <v>45980</v>
      </c>
      <c r="J532" s="78">
        <v>45972</v>
      </c>
      <c r="K532" s="77">
        <v>-10</v>
      </c>
      <c r="L532" s="77">
        <v>-18</v>
      </c>
    </row>
    <row r="533" spans="1:12" ht="22.5">
      <c r="A533" s="76" t="s">
        <v>1710</v>
      </c>
      <c r="B533" s="76" t="s">
        <v>1723</v>
      </c>
      <c r="C533" s="76" t="s">
        <v>307</v>
      </c>
      <c r="D533" s="76" t="s">
        <v>1724</v>
      </c>
      <c r="E533" s="77">
        <v>385.01</v>
      </c>
      <c r="F533" s="76" t="s">
        <v>870</v>
      </c>
      <c r="G533" s="76"/>
      <c r="H533" s="76" t="s">
        <v>272</v>
      </c>
      <c r="I533" s="78">
        <v>45980</v>
      </c>
      <c r="J533" s="78">
        <v>45972</v>
      </c>
      <c r="K533" s="77">
        <v>-10</v>
      </c>
      <c r="L533" s="77">
        <v>-18</v>
      </c>
    </row>
    <row r="534" spans="1:12" ht="45">
      <c r="A534" s="76" t="s">
        <v>1710</v>
      </c>
      <c r="B534" s="76" t="s">
        <v>1751</v>
      </c>
      <c r="C534" s="76" t="s">
        <v>307</v>
      </c>
      <c r="D534" s="76" t="s">
        <v>1752</v>
      </c>
      <c r="E534" s="77">
        <v>152.09</v>
      </c>
      <c r="F534" s="76"/>
      <c r="G534" s="76" t="s">
        <v>221</v>
      </c>
      <c r="H534" s="76" t="s">
        <v>272</v>
      </c>
      <c r="I534" s="78">
        <v>45980</v>
      </c>
      <c r="J534" s="78">
        <v>45972</v>
      </c>
      <c r="K534" s="77">
        <v>-10</v>
      </c>
      <c r="L534" s="77">
        <v>-18</v>
      </c>
    </row>
    <row r="535" spans="1:12" ht="33.75">
      <c r="A535" s="76" t="s">
        <v>1710</v>
      </c>
      <c r="B535" s="76" t="s">
        <v>767</v>
      </c>
      <c r="C535" s="76" t="s">
        <v>307</v>
      </c>
      <c r="D535" s="76" t="s">
        <v>1753</v>
      </c>
      <c r="E535" s="77">
        <v>246.73</v>
      </c>
      <c r="F535" s="76" t="s">
        <v>184</v>
      </c>
      <c r="G535" s="76"/>
      <c r="H535" s="76" t="s">
        <v>282</v>
      </c>
      <c r="I535" s="78">
        <v>45980</v>
      </c>
      <c r="J535" s="78">
        <v>45972</v>
      </c>
      <c r="K535" s="77">
        <v>-10</v>
      </c>
      <c r="L535" s="77">
        <v>-18</v>
      </c>
    </row>
    <row r="536" spans="1:12" ht="33.75">
      <c r="A536" s="76" t="s">
        <v>1647</v>
      </c>
      <c r="B536" s="76" t="s">
        <v>1655</v>
      </c>
      <c r="C536" s="76" t="s">
        <v>307</v>
      </c>
      <c r="D536" s="76" t="s">
        <v>1754</v>
      </c>
      <c r="E536" s="79"/>
      <c r="F536" s="76" t="s">
        <v>157</v>
      </c>
      <c r="G536" s="76"/>
      <c r="H536" s="76" t="s">
        <v>273</v>
      </c>
      <c r="I536" s="78">
        <v>45979</v>
      </c>
      <c r="J536" s="78">
        <v>45972</v>
      </c>
      <c r="K536" s="77">
        <v>-11</v>
      </c>
      <c r="L536" s="77">
        <v>-18</v>
      </c>
    </row>
    <row r="537" spans="1:12" ht="33.75">
      <c r="A537" s="76" t="s">
        <v>1647</v>
      </c>
      <c r="B537" s="76" t="s">
        <v>1651</v>
      </c>
      <c r="C537" s="76" t="s">
        <v>307</v>
      </c>
      <c r="D537" s="76" t="s">
        <v>1755</v>
      </c>
      <c r="E537" s="79"/>
      <c r="F537" s="76" t="s">
        <v>157</v>
      </c>
      <c r="G537" s="76"/>
      <c r="H537" s="76" t="s">
        <v>273</v>
      </c>
      <c r="I537" s="78">
        <v>45979</v>
      </c>
      <c r="J537" s="78">
        <v>45972</v>
      </c>
      <c r="K537" s="77">
        <v>-11</v>
      </c>
      <c r="L537" s="77">
        <v>-18</v>
      </c>
    </row>
    <row r="538" spans="1:12" ht="33.75">
      <c r="A538" s="76" t="s">
        <v>1647</v>
      </c>
      <c r="B538" s="76" t="s">
        <v>835</v>
      </c>
      <c r="C538" s="76" t="s">
        <v>307</v>
      </c>
      <c r="D538" s="76" t="s">
        <v>1756</v>
      </c>
      <c r="E538" s="79"/>
      <c r="F538" s="76" t="s">
        <v>157</v>
      </c>
      <c r="G538" s="76"/>
      <c r="H538" s="76" t="s">
        <v>273</v>
      </c>
      <c r="I538" s="78">
        <v>45979</v>
      </c>
      <c r="J538" s="78">
        <v>45972</v>
      </c>
      <c r="K538" s="77">
        <v>-11</v>
      </c>
      <c r="L538" s="77">
        <v>-18</v>
      </c>
    </row>
    <row r="539" spans="1:12" ht="33.75">
      <c r="A539" s="76" t="s">
        <v>1647</v>
      </c>
      <c r="B539" s="76" t="s">
        <v>1649</v>
      </c>
      <c r="C539" s="76" t="s">
        <v>307</v>
      </c>
      <c r="D539" s="76" t="s">
        <v>1757</v>
      </c>
      <c r="E539" s="79"/>
      <c r="F539" s="76" t="s">
        <v>157</v>
      </c>
      <c r="G539" s="76"/>
      <c r="H539" s="76" t="s">
        <v>273</v>
      </c>
      <c r="I539" s="78">
        <v>45979</v>
      </c>
      <c r="J539" s="78">
        <v>45972</v>
      </c>
      <c r="K539" s="77">
        <v>-11</v>
      </c>
      <c r="L539" s="77">
        <v>-18</v>
      </c>
    </row>
    <row r="540" spans="1:12" ht="33.75">
      <c r="A540" s="76" t="s">
        <v>1647</v>
      </c>
      <c r="B540" s="76" t="s">
        <v>838</v>
      </c>
      <c r="C540" s="76" t="s">
        <v>307</v>
      </c>
      <c r="D540" s="76" t="s">
        <v>1758</v>
      </c>
      <c r="E540" s="79"/>
      <c r="F540" s="76" t="s">
        <v>157</v>
      </c>
      <c r="G540" s="76"/>
      <c r="H540" s="76" t="s">
        <v>273</v>
      </c>
      <c r="I540" s="78">
        <v>45979</v>
      </c>
      <c r="J540" s="78">
        <v>45972</v>
      </c>
      <c r="K540" s="77">
        <v>-11</v>
      </c>
      <c r="L540" s="77">
        <v>-18</v>
      </c>
    </row>
    <row r="541" spans="1:12" ht="33.75">
      <c r="A541" s="76" t="s">
        <v>1647</v>
      </c>
      <c r="B541" s="76" t="s">
        <v>1653</v>
      </c>
      <c r="C541" s="76" t="s">
        <v>307</v>
      </c>
      <c r="D541" s="76" t="s">
        <v>1759</v>
      </c>
      <c r="E541" s="79"/>
      <c r="F541" s="76" t="s">
        <v>157</v>
      </c>
      <c r="G541" s="76"/>
      <c r="H541" s="76" t="s">
        <v>273</v>
      </c>
      <c r="I541" s="78">
        <v>45979</v>
      </c>
      <c r="J541" s="78">
        <v>45972</v>
      </c>
      <c r="K541" s="77">
        <v>-11</v>
      </c>
      <c r="L541" s="77">
        <v>-18</v>
      </c>
    </row>
    <row r="542" spans="1:12" ht="33.75">
      <c r="A542" s="76" t="s">
        <v>1647</v>
      </c>
      <c r="B542" s="76" t="s">
        <v>1495</v>
      </c>
      <c r="C542" s="76" t="s">
        <v>307</v>
      </c>
      <c r="D542" s="76" t="s">
        <v>1760</v>
      </c>
      <c r="E542" s="79"/>
      <c r="F542" s="76" t="s">
        <v>157</v>
      </c>
      <c r="G542" s="76"/>
      <c r="H542" s="76" t="s">
        <v>273</v>
      </c>
      <c r="I542" s="78">
        <v>45979</v>
      </c>
      <c r="J542" s="78">
        <v>45972</v>
      </c>
      <c r="K542" s="77">
        <v>-11</v>
      </c>
      <c r="L542" s="77">
        <v>-18</v>
      </c>
    </row>
    <row r="543" spans="1:12" ht="33.75">
      <c r="A543" s="76" t="s">
        <v>1647</v>
      </c>
      <c r="B543" s="76" t="s">
        <v>836</v>
      </c>
      <c r="C543" s="76" t="s">
        <v>307</v>
      </c>
      <c r="D543" s="76" t="s">
        <v>1761</v>
      </c>
      <c r="E543" s="79"/>
      <c r="F543" s="76" t="s">
        <v>157</v>
      </c>
      <c r="G543" s="76"/>
      <c r="H543" s="76" t="s">
        <v>273</v>
      </c>
      <c r="I543" s="78">
        <v>45979</v>
      </c>
      <c r="J543" s="78">
        <v>45972</v>
      </c>
      <c r="K543" s="77">
        <v>-11</v>
      </c>
      <c r="L543" s="77">
        <v>-18</v>
      </c>
    </row>
    <row r="544" spans="1:12" ht="33.75">
      <c r="A544" s="76" t="s">
        <v>1647</v>
      </c>
      <c r="B544" s="76" t="s">
        <v>837</v>
      </c>
      <c r="C544" s="76" t="s">
        <v>307</v>
      </c>
      <c r="D544" s="76" t="s">
        <v>1762</v>
      </c>
      <c r="E544" s="79"/>
      <c r="F544" s="76" t="s">
        <v>157</v>
      </c>
      <c r="G544" s="76"/>
      <c r="H544" s="76" t="s">
        <v>273</v>
      </c>
      <c r="I544" s="78">
        <v>45979</v>
      </c>
      <c r="J544" s="78">
        <v>45972</v>
      </c>
      <c r="K544" s="77">
        <v>-11</v>
      </c>
      <c r="L544" s="77">
        <v>-18</v>
      </c>
    </row>
    <row r="545" spans="1:12" ht="33.75">
      <c r="A545" s="76" t="s">
        <v>1647</v>
      </c>
      <c r="B545" s="76" t="s">
        <v>1661</v>
      </c>
      <c r="C545" s="76" t="s">
        <v>307</v>
      </c>
      <c r="D545" s="76" t="s">
        <v>1763</v>
      </c>
      <c r="E545" s="79"/>
      <c r="F545" s="76" t="s">
        <v>157</v>
      </c>
      <c r="G545" s="76"/>
      <c r="H545" s="76" t="s">
        <v>273</v>
      </c>
      <c r="I545" s="78">
        <v>45979</v>
      </c>
      <c r="J545" s="78">
        <v>45972</v>
      </c>
      <c r="K545" s="77">
        <v>-11</v>
      </c>
      <c r="L545" s="77">
        <v>-18</v>
      </c>
    </row>
    <row r="546" spans="1:12" ht="33.75">
      <c r="A546" s="76" t="s">
        <v>1764</v>
      </c>
      <c r="B546" s="76" t="s">
        <v>1765</v>
      </c>
      <c r="C546" s="76" t="s">
        <v>307</v>
      </c>
      <c r="D546" s="76" t="s">
        <v>1766</v>
      </c>
      <c r="E546" s="79"/>
      <c r="F546" s="76" t="s">
        <v>167</v>
      </c>
      <c r="G546" s="76"/>
      <c r="H546" s="76" t="s">
        <v>273</v>
      </c>
      <c r="I546" s="78">
        <v>45978</v>
      </c>
      <c r="J546" s="78">
        <v>45972</v>
      </c>
      <c r="K546" s="77">
        <v>-12</v>
      </c>
      <c r="L546" s="77">
        <v>-18</v>
      </c>
    </row>
    <row r="547" spans="1:12" ht="33.75">
      <c r="A547" s="76" t="s">
        <v>1764</v>
      </c>
      <c r="B547" s="76" t="s">
        <v>1767</v>
      </c>
      <c r="C547" s="76" t="s">
        <v>307</v>
      </c>
      <c r="D547" s="76" t="s">
        <v>1768</v>
      </c>
      <c r="E547" s="79"/>
      <c r="F547" s="76" t="s">
        <v>167</v>
      </c>
      <c r="G547" s="76"/>
      <c r="H547" s="76" t="s">
        <v>273</v>
      </c>
      <c r="I547" s="78">
        <v>45978</v>
      </c>
      <c r="J547" s="78">
        <v>45972</v>
      </c>
      <c r="K547" s="77">
        <v>-12</v>
      </c>
      <c r="L547" s="77">
        <v>-18</v>
      </c>
    </row>
    <row r="548" spans="1:12" ht="33.75">
      <c r="A548" s="76" t="s">
        <v>1398</v>
      </c>
      <c r="B548" s="76" t="s">
        <v>1769</v>
      </c>
      <c r="C548" s="76" t="s">
        <v>1770</v>
      </c>
      <c r="D548" s="76" t="s">
        <v>1771</v>
      </c>
      <c r="E548" s="77">
        <v>38.42</v>
      </c>
      <c r="F548" s="76" t="s">
        <v>65</v>
      </c>
      <c r="G548" s="76"/>
      <c r="H548" s="76" t="s">
        <v>273</v>
      </c>
      <c r="I548" s="78">
        <v>45983</v>
      </c>
      <c r="J548" s="78">
        <v>45972</v>
      </c>
      <c r="K548" s="77">
        <v>-7</v>
      </c>
      <c r="L548" s="77">
        <v>-18</v>
      </c>
    </row>
    <row r="549" spans="1:12" ht="22.5">
      <c r="A549" s="76" t="s">
        <v>1398</v>
      </c>
      <c r="B549" s="76" t="s">
        <v>1772</v>
      </c>
      <c r="C549" s="76" t="s">
        <v>1773</v>
      </c>
      <c r="D549" s="76" t="s">
        <v>1774</v>
      </c>
      <c r="E549" s="77">
        <v>23.35</v>
      </c>
      <c r="F549" s="76" t="s">
        <v>184</v>
      </c>
      <c r="G549" s="76"/>
      <c r="H549" s="76" t="s">
        <v>273</v>
      </c>
      <c r="I549" s="78">
        <v>45983</v>
      </c>
      <c r="J549" s="78">
        <v>45972</v>
      </c>
      <c r="K549" s="77">
        <v>-7</v>
      </c>
      <c r="L549" s="77">
        <v>-18</v>
      </c>
    </row>
    <row r="550" spans="1:12" ht="45">
      <c r="A550" s="76" t="s">
        <v>1775</v>
      </c>
      <c r="B550" s="76" t="s">
        <v>1708</v>
      </c>
      <c r="C550" s="76" t="s">
        <v>307</v>
      </c>
      <c r="D550" s="76" t="s">
        <v>1776</v>
      </c>
      <c r="E550" s="77">
        <v>82.41</v>
      </c>
      <c r="F550" s="76"/>
      <c r="G550" s="76" t="s">
        <v>187</v>
      </c>
      <c r="H550" s="76" t="s">
        <v>273</v>
      </c>
      <c r="I550" s="78">
        <v>45980</v>
      </c>
      <c r="J550" s="78">
        <v>45972</v>
      </c>
      <c r="K550" s="77">
        <v>-10</v>
      </c>
      <c r="L550" s="77">
        <v>-18</v>
      </c>
    </row>
    <row r="551" spans="1:12" ht="22.5">
      <c r="A551" s="76" t="s">
        <v>1446</v>
      </c>
      <c r="B551" s="76" t="s">
        <v>1447</v>
      </c>
      <c r="C551" s="76" t="s">
        <v>1448</v>
      </c>
      <c r="D551" s="76" t="s">
        <v>1449</v>
      </c>
      <c r="E551" s="77">
        <v>0.05</v>
      </c>
      <c r="F551" s="76" t="s">
        <v>200</v>
      </c>
      <c r="G551" s="76"/>
      <c r="H551" s="76" t="s">
        <v>282</v>
      </c>
      <c r="I551" s="78">
        <v>45980</v>
      </c>
      <c r="J551" s="78">
        <v>45973</v>
      </c>
      <c r="K551" s="77">
        <v>-10</v>
      </c>
      <c r="L551" s="77">
        <v>-17</v>
      </c>
    </row>
    <row r="552" spans="1:12" ht="22.5">
      <c r="A552" s="76" t="s">
        <v>1446</v>
      </c>
      <c r="B552" s="76" t="s">
        <v>1450</v>
      </c>
      <c r="C552" s="76" t="s">
        <v>1448</v>
      </c>
      <c r="D552" s="76" t="s">
        <v>1451</v>
      </c>
      <c r="E552" s="77">
        <v>0.05</v>
      </c>
      <c r="F552" s="76" t="s">
        <v>200</v>
      </c>
      <c r="G552" s="76"/>
      <c r="H552" s="76" t="s">
        <v>282</v>
      </c>
      <c r="I552" s="78">
        <v>45980</v>
      </c>
      <c r="J552" s="78">
        <v>45973</v>
      </c>
      <c r="K552" s="77">
        <v>-10</v>
      </c>
      <c r="L552" s="77">
        <v>-17</v>
      </c>
    </row>
    <row r="553" spans="1:12" ht="22.5">
      <c r="A553" s="76" t="s">
        <v>1446</v>
      </c>
      <c r="B553" s="76" t="s">
        <v>1452</v>
      </c>
      <c r="C553" s="76" t="s">
        <v>1448</v>
      </c>
      <c r="D553" s="76" t="s">
        <v>1453</v>
      </c>
      <c r="E553" s="77">
        <v>0.05</v>
      </c>
      <c r="F553" s="76" t="s">
        <v>200</v>
      </c>
      <c r="G553" s="76"/>
      <c r="H553" s="76" t="s">
        <v>282</v>
      </c>
      <c r="I553" s="78">
        <v>45980</v>
      </c>
      <c r="J553" s="78">
        <v>45973</v>
      </c>
      <c r="K553" s="77">
        <v>-10</v>
      </c>
      <c r="L553" s="77">
        <v>-17</v>
      </c>
    </row>
    <row r="554" spans="1:12" ht="22.5">
      <c r="A554" s="76" t="s">
        <v>1446</v>
      </c>
      <c r="B554" s="76" t="s">
        <v>1454</v>
      </c>
      <c r="C554" s="76" t="s">
        <v>1448</v>
      </c>
      <c r="D554" s="76" t="s">
        <v>1455</v>
      </c>
      <c r="E554" s="77">
        <v>0.05</v>
      </c>
      <c r="F554" s="76" t="s">
        <v>200</v>
      </c>
      <c r="G554" s="76"/>
      <c r="H554" s="76" t="s">
        <v>282</v>
      </c>
      <c r="I554" s="78">
        <v>45980</v>
      </c>
      <c r="J554" s="78">
        <v>45973</v>
      </c>
      <c r="K554" s="77">
        <v>-10</v>
      </c>
      <c r="L554" s="77">
        <v>-17</v>
      </c>
    </row>
    <row r="555" spans="1:12" ht="22.5">
      <c r="A555" s="76" t="s">
        <v>1446</v>
      </c>
      <c r="B555" s="76" t="s">
        <v>1456</v>
      </c>
      <c r="C555" s="76" t="s">
        <v>1448</v>
      </c>
      <c r="D555" s="76" t="s">
        <v>1457</v>
      </c>
      <c r="E555" s="77">
        <v>0.05</v>
      </c>
      <c r="F555" s="76" t="s">
        <v>200</v>
      </c>
      <c r="G555" s="76"/>
      <c r="H555" s="76" t="s">
        <v>282</v>
      </c>
      <c r="I555" s="78">
        <v>45980</v>
      </c>
      <c r="J555" s="78">
        <v>45973</v>
      </c>
      <c r="K555" s="77">
        <v>-10</v>
      </c>
      <c r="L555" s="77">
        <v>-17</v>
      </c>
    </row>
    <row r="556" spans="1:12" ht="33.75">
      <c r="A556" s="76" t="s">
        <v>1411</v>
      </c>
      <c r="B556" s="76" t="s">
        <v>1459</v>
      </c>
      <c r="C556" s="76" t="s">
        <v>1460</v>
      </c>
      <c r="D556" s="76" t="s">
        <v>1461</v>
      </c>
      <c r="E556" s="77">
        <v>184.59</v>
      </c>
      <c r="F556" s="76" t="s">
        <v>57</v>
      </c>
      <c r="G556" s="76"/>
      <c r="H556" s="76" t="s">
        <v>273</v>
      </c>
      <c r="I556" s="78">
        <v>45983</v>
      </c>
      <c r="J556" s="78">
        <v>45973</v>
      </c>
      <c r="K556" s="77">
        <v>-7</v>
      </c>
      <c r="L556" s="77">
        <v>-17</v>
      </c>
    </row>
    <row r="557" spans="1:12" ht="33.75">
      <c r="A557" s="76" t="s">
        <v>1411</v>
      </c>
      <c r="B557" s="76" t="s">
        <v>1458</v>
      </c>
      <c r="C557" s="76" t="s">
        <v>1460</v>
      </c>
      <c r="D557" s="76" t="s">
        <v>1462</v>
      </c>
      <c r="E557" s="77">
        <v>184.59</v>
      </c>
      <c r="F557" s="76" t="s">
        <v>57</v>
      </c>
      <c r="G557" s="76"/>
      <c r="H557" s="76" t="s">
        <v>273</v>
      </c>
      <c r="I557" s="78">
        <v>45983</v>
      </c>
      <c r="J557" s="78">
        <v>45973</v>
      </c>
      <c r="K557" s="77">
        <v>-7</v>
      </c>
      <c r="L557" s="77">
        <v>-17</v>
      </c>
    </row>
    <row r="558" spans="1:12" ht="33.75">
      <c r="A558" s="76" t="s">
        <v>1411</v>
      </c>
      <c r="B558" s="76" t="s">
        <v>1463</v>
      </c>
      <c r="C558" s="76" t="s">
        <v>307</v>
      </c>
      <c r="D558" s="76" t="s">
        <v>1464</v>
      </c>
      <c r="E558" s="77">
        <v>0.01</v>
      </c>
      <c r="F558" s="76" t="s">
        <v>71</v>
      </c>
      <c r="G558" s="76"/>
      <c r="H558" s="76" t="s">
        <v>273</v>
      </c>
      <c r="I558" s="78">
        <v>45983</v>
      </c>
      <c r="J558" s="78">
        <v>45973</v>
      </c>
      <c r="K558" s="77">
        <v>-7</v>
      </c>
      <c r="L558" s="77">
        <v>-17</v>
      </c>
    </row>
    <row r="559" spans="1:12" ht="33.75">
      <c r="A559" s="76" t="s">
        <v>1411</v>
      </c>
      <c r="B559" s="76" t="s">
        <v>1463</v>
      </c>
      <c r="C559" s="76" t="s">
        <v>1460</v>
      </c>
      <c r="D559" s="76" t="s">
        <v>1465</v>
      </c>
      <c r="E559" s="77">
        <v>184.59</v>
      </c>
      <c r="F559" s="76" t="s">
        <v>57</v>
      </c>
      <c r="G559" s="76"/>
      <c r="H559" s="76" t="s">
        <v>273</v>
      </c>
      <c r="I559" s="78">
        <v>45983</v>
      </c>
      <c r="J559" s="78">
        <v>45973</v>
      </c>
      <c r="K559" s="77">
        <v>-7</v>
      </c>
      <c r="L559" s="77">
        <v>-17</v>
      </c>
    </row>
    <row r="560" spans="1:12" ht="33.75">
      <c r="A560" s="76" t="s">
        <v>1466</v>
      </c>
      <c r="B560" s="76" t="s">
        <v>579</v>
      </c>
      <c r="C560" s="76" t="s">
        <v>307</v>
      </c>
      <c r="D560" s="76" t="s">
        <v>1467</v>
      </c>
      <c r="E560" s="77">
        <v>117.92</v>
      </c>
      <c r="F560" s="76" t="s">
        <v>870</v>
      </c>
      <c r="G560" s="76"/>
      <c r="H560" s="76" t="s">
        <v>273</v>
      </c>
      <c r="I560" s="78">
        <v>45980</v>
      </c>
      <c r="J560" s="78">
        <v>45973</v>
      </c>
      <c r="K560" s="77">
        <v>-10</v>
      </c>
      <c r="L560" s="77">
        <v>-17</v>
      </c>
    </row>
    <row r="561" spans="1:12" ht="45">
      <c r="A561" s="76" t="s">
        <v>1468</v>
      </c>
      <c r="B561" s="76" t="s">
        <v>1416</v>
      </c>
      <c r="C561" s="76" t="s">
        <v>307</v>
      </c>
      <c r="D561" s="76" t="s">
        <v>1469</v>
      </c>
      <c r="E561" s="77">
        <v>98.23</v>
      </c>
      <c r="F561" s="76"/>
      <c r="G561" s="76" t="s">
        <v>187</v>
      </c>
      <c r="H561" s="76" t="s">
        <v>273</v>
      </c>
      <c r="I561" s="78">
        <v>45980</v>
      </c>
      <c r="J561" s="78">
        <v>45973</v>
      </c>
      <c r="K561" s="77">
        <v>-10</v>
      </c>
      <c r="L561" s="77">
        <v>-17</v>
      </c>
    </row>
    <row r="562" spans="1:12" ht="22.5">
      <c r="A562" s="76" t="s">
        <v>1470</v>
      </c>
      <c r="B562" s="76" t="s">
        <v>1471</v>
      </c>
      <c r="C562" s="76" t="s">
        <v>307</v>
      </c>
      <c r="D562" s="76" t="s">
        <v>1472</v>
      </c>
      <c r="E562" s="77">
        <v>326.88</v>
      </c>
      <c r="F562" s="76" t="s">
        <v>870</v>
      </c>
      <c r="G562" s="76"/>
      <c r="H562" s="76" t="s">
        <v>273</v>
      </c>
      <c r="I562" s="78">
        <v>45989</v>
      </c>
      <c r="J562" s="78">
        <v>45973</v>
      </c>
      <c r="K562" s="77">
        <v>-1</v>
      </c>
      <c r="L562" s="77">
        <v>-17</v>
      </c>
    </row>
    <row r="563" spans="1:12" ht="22.5">
      <c r="A563" s="76" t="s">
        <v>1470</v>
      </c>
      <c r="B563" s="76" t="s">
        <v>1471</v>
      </c>
      <c r="C563" s="76" t="s">
        <v>307</v>
      </c>
      <c r="D563" s="76" t="s">
        <v>2243</v>
      </c>
      <c r="E563" s="77">
        <v>14.14</v>
      </c>
      <c r="F563" s="76" t="s">
        <v>85</v>
      </c>
      <c r="G563" s="76"/>
      <c r="H563" s="76" t="s">
        <v>273</v>
      </c>
      <c r="I563" s="78">
        <v>45989</v>
      </c>
      <c r="J563" s="78">
        <v>45973</v>
      </c>
      <c r="K563" s="77">
        <v>-1</v>
      </c>
      <c r="L563" s="77">
        <v>-17</v>
      </c>
    </row>
    <row r="564" spans="1:12" ht="45">
      <c r="A564" s="76" t="s">
        <v>1473</v>
      </c>
      <c r="B564" s="76" t="s">
        <v>1474</v>
      </c>
      <c r="C564" s="76" t="s">
        <v>307</v>
      </c>
      <c r="D564" s="76" t="s">
        <v>1475</v>
      </c>
      <c r="E564" s="77">
        <v>150</v>
      </c>
      <c r="F564" s="76"/>
      <c r="G564" s="76" t="s">
        <v>187</v>
      </c>
      <c r="H564" s="76" t="s">
        <v>273</v>
      </c>
      <c r="I564" s="78">
        <v>45980</v>
      </c>
      <c r="J564" s="78">
        <v>45973</v>
      </c>
      <c r="K564" s="77">
        <v>-10</v>
      </c>
      <c r="L564" s="77">
        <v>-17</v>
      </c>
    </row>
    <row r="565" spans="1:12" ht="22.5">
      <c r="A565" s="76" t="s">
        <v>1476</v>
      </c>
      <c r="B565" s="76" t="s">
        <v>1477</v>
      </c>
      <c r="C565" s="76" t="s">
        <v>307</v>
      </c>
      <c r="D565" s="76" t="s">
        <v>1478</v>
      </c>
      <c r="E565" s="77">
        <v>200.33</v>
      </c>
      <c r="F565" s="76" t="s">
        <v>870</v>
      </c>
      <c r="G565" s="76"/>
      <c r="H565" s="76" t="s">
        <v>273</v>
      </c>
      <c r="I565" s="78">
        <v>45989</v>
      </c>
      <c r="J565" s="78">
        <v>45973</v>
      </c>
      <c r="K565" s="77">
        <v>-1</v>
      </c>
      <c r="L565" s="77">
        <v>-17</v>
      </c>
    </row>
    <row r="566" spans="1:12" ht="45">
      <c r="A566" s="76" t="s">
        <v>1476</v>
      </c>
      <c r="B566" s="76" t="s">
        <v>1477</v>
      </c>
      <c r="C566" s="76" t="s">
        <v>307</v>
      </c>
      <c r="D566" s="76" t="s">
        <v>2470</v>
      </c>
      <c r="E566" s="77">
        <v>50.63</v>
      </c>
      <c r="F566" s="76"/>
      <c r="G566" s="76" t="s">
        <v>187</v>
      </c>
      <c r="H566" s="76" t="s">
        <v>273</v>
      </c>
      <c r="I566" s="78">
        <v>45989</v>
      </c>
      <c r="J566" s="78">
        <v>45973</v>
      </c>
      <c r="K566" s="77">
        <v>-1</v>
      </c>
      <c r="L566" s="77">
        <v>-17</v>
      </c>
    </row>
    <row r="567" spans="1:12" ht="45">
      <c r="A567" s="76" t="s">
        <v>1479</v>
      </c>
      <c r="B567" s="76" t="s">
        <v>1480</v>
      </c>
      <c r="C567" s="76" t="s">
        <v>307</v>
      </c>
      <c r="D567" s="76" t="s">
        <v>1481</v>
      </c>
      <c r="E567" s="77">
        <v>130.04</v>
      </c>
      <c r="F567" s="76"/>
      <c r="G567" s="76" t="s">
        <v>187</v>
      </c>
      <c r="H567" s="76" t="s">
        <v>273</v>
      </c>
      <c r="I567" s="78">
        <v>45981</v>
      </c>
      <c r="J567" s="78">
        <v>45973</v>
      </c>
      <c r="K567" s="77">
        <v>-9</v>
      </c>
      <c r="L567" s="77">
        <v>-17</v>
      </c>
    </row>
    <row r="568" spans="1:12" ht="45">
      <c r="A568" s="76" t="s">
        <v>1482</v>
      </c>
      <c r="B568" s="76" t="s">
        <v>1483</v>
      </c>
      <c r="C568" s="76" t="s">
        <v>307</v>
      </c>
      <c r="D568" s="76" t="s">
        <v>1484</v>
      </c>
      <c r="E568" s="77">
        <v>116.85</v>
      </c>
      <c r="F568" s="76"/>
      <c r="G568" s="76" t="s">
        <v>187</v>
      </c>
      <c r="H568" s="76" t="s">
        <v>273</v>
      </c>
      <c r="I568" s="78">
        <v>45981</v>
      </c>
      <c r="J568" s="78">
        <v>45973</v>
      </c>
      <c r="K568" s="77">
        <v>-9</v>
      </c>
      <c r="L568" s="77">
        <v>-17</v>
      </c>
    </row>
    <row r="569" spans="1:12" ht="45">
      <c r="A569" s="76" t="s">
        <v>1485</v>
      </c>
      <c r="B569" s="76" t="s">
        <v>1486</v>
      </c>
      <c r="C569" s="76" t="s">
        <v>307</v>
      </c>
      <c r="D569" s="76" t="s">
        <v>1487</v>
      </c>
      <c r="E569" s="77">
        <v>229.7</v>
      </c>
      <c r="F569" s="76"/>
      <c r="G569" s="76" t="s">
        <v>204</v>
      </c>
      <c r="H569" s="76" t="s">
        <v>273</v>
      </c>
      <c r="I569" s="78">
        <v>45981</v>
      </c>
      <c r="J569" s="78">
        <v>45973</v>
      </c>
      <c r="K569" s="77">
        <v>-9</v>
      </c>
      <c r="L569" s="77">
        <v>-17</v>
      </c>
    </row>
    <row r="570" spans="1:12" ht="33.75">
      <c r="A570" s="76" t="s">
        <v>1588</v>
      </c>
      <c r="B570" s="76" t="s">
        <v>1589</v>
      </c>
      <c r="C570" s="76" t="s">
        <v>307</v>
      </c>
      <c r="D570" s="76" t="s">
        <v>1590</v>
      </c>
      <c r="E570" s="77">
        <v>40.340000000000003</v>
      </c>
      <c r="F570" s="76" t="s">
        <v>65</v>
      </c>
      <c r="G570" s="76"/>
      <c r="H570" s="76" t="s">
        <v>272</v>
      </c>
      <c r="I570" s="78">
        <v>45983</v>
      </c>
      <c r="J570" s="78">
        <v>45973</v>
      </c>
      <c r="K570" s="77">
        <v>-7</v>
      </c>
      <c r="L570" s="77">
        <v>-17</v>
      </c>
    </row>
    <row r="571" spans="1:12" ht="33.75">
      <c r="A571" s="76" t="s">
        <v>1591</v>
      </c>
      <c r="B571" s="76" t="s">
        <v>1592</v>
      </c>
      <c r="C571" s="76" t="s">
        <v>307</v>
      </c>
      <c r="D571" s="76" t="s">
        <v>1593</v>
      </c>
      <c r="E571" s="77">
        <v>93.2</v>
      </c>
      <c r="F571" s="76" t="s">
        <v>870</v>
      </c>
      <c r="G571" s="76"/>
      <c r="H571" s="76" t="s">
        <v>273</v>
      </c>
      <c r="I571" s="78">
        <v>45980</v>
      </c>
      <c r="J571" s="78">
        <v>45973</v>
      </c>
      <c r="K571" s="77">
        <v>-10</v>
      </c>
      <c r="L571" s="77">
        <v>-17</v>
      </c>
    </row>
    <row r="572" spans="1:12" ht="56.25">
      <c r="A572" s="76" t="s">
        <v>1594</v>
      </c>
      <c r="B572" s="76" t="s">
        <v>294</v>
      </c>
      <c r="C572" s="76" t="s">
        <v>307</v>
      </c>
      <c r="D572" s="76" t="s">
        <v>1595</v>
      </c>
      <c r="E572" s="79"/>
      <c r="F572" s="76" t="s">
        <v>157</v>
      </c>
      <c r="G572" s="76"/>
      <c r="H572" s="76" t="s">
        <v>273</v>
      </c>
      <c r="I572" s="78">
        <v>45989</v>
      </c>
      <c r="J572" s="78">
        <v>45973</v>
      </c>
      <c r="K572" s="77">
        <v>-1</v>
      </c>
      <c r="L572" s="77">
        <v>-17</v>
      </c>
    </row>
    <row r="573" spans="1:12" ht="22.5">
      <c r="A573" s="76" t="s">
        <v>1596</v>
      </c>
      <c r="B573" s="76" t="s">
        <v>1597</v>
      </c>
      <c r="C573" s="76" t="s">
        <v>307</v>
      </c>
      <c r="D573" s="76" t="s">
        <v>1598</v>
      </c>
      <c r="E573" s="77">
        <v>38.15</v>
      </c>
      <c r="F573" s="76" t="s">
        <v>66</v>
      </c>
      <c r="G573" s="76"/>
      <c r="H573" s="76" t="s">
        <v>273</v>
      </c>
      <c r="I573" s="78">
        <v>45989</v>
      </c>
      <c r="J573" s="78">
        <v>45973</v>
      </c>
      <c r="K573" s="77">
        <v>-1</v>
      </c>
      <c r="L573" s="77">
        <v>-17</v>
      </c>
    </row>
    <row r="574" spans="1:12" ht="22.5">
      <c r="A574" s="76" t="s">
        <v>1596</v>
      </c>
      <c r="B574" s="76" t="s">
        <v>1599</v>
      </c>
      <c r="C574" s="76" t="s">
        <v>307</v>
      </c>
      <c r="D574" s="76" t="s">
        <v>1600</v>
      </c>
      <c r="E574" s="77">
        <v>38.380000000000003</v>
      </c>
      <c r="F574" s="76" t="s">
        <v>870</v>
      </c>
      <c r="G574" s="76"/>
      <c r="H574" s="76" t="s">
        <v>273</v>
      </c>
      <c r="I574" s="78">
        <v>45989</v>
      </c>
      <c r="J574" s="78">
        <v>45973</v>
      </c>
      <c r="K574" s="77">
        <v>-1</v>
      </c>
      <c r="L574" s="77">
        <v>-17</v>
      </c>
    </row>
    <row r="575" spans="1:12" ht="45">
      <c r="A575" s="76" t="s">
        <v>1716</v>
      </c>
      <c r="B575" s="76" t="s">
        <v>1717</v>
      </c>
      <c r="C575" s="76" t="s">
        <v>307</v>
      </c>
      <c r="D575" s="76" t="s">
        <v>1718</v>
      </c>
      <c r="E575" s="77">
        <v>27.98</v>
      </c>
      <c r="F575" s="76"/>
      <c r="G575" s="76" t="s">
        <v>221</v>
      </c>
      <c r="H575" s="76" t="s">
        <v>272</v>
      </c>
      <c r="I575" s="78">
        <v>45984</v>
      </c>
      <c r="J575" s="78">
        <v>45973</v>
      </c>
      <c r="K575" s="77">
        <v>-6</v>
      </c>
      <c r="L575" s="77">
        <v>-17</v>
      </c>
    </row>
    <row r="576" spans="1:12" ht="45">
      <c r="A576" s="76" t="s">
        <v>1716</v>
      </c>
      <c r="B576" s="76" t="s">
        <v>1719</v>
      </c>
      <c r="C576" s="76" t="s">
        <v>307</v>
      </c>
      <c r="D576" s="76" t="s">
        <v>1720</v>
      </c>
      <c r="E576" s="77">
        <v>25.11</v>
      </c>
      <c r="F576" s="76"/>
      <c r="G576" s="76" t="s">
        <v>221</v>
      </c>
      <c r="H576" s="76" t="s">
        <v>272</v>
      </c>
      <c r="I576" s="78">
        <v>45984</v>
      </c>
      <c r="J576" s="78">
        <v>45973</v>
      </c>
      <c r="K576" s="77">
        <v>-6</v>
      </c>
      <c r="L576" s="77">
        <v>-17</v>
      </c>
    </row>
    <row r="577" spans="1:12" ht="45">
      <c r="A577" s="76" t="s">
        <v>1716</v>
      </c>
      <c r="B577" s="76" t="s">
        <v>1721</v>
      </c>
      <c r="C577" s="76" t="s">
        <v>307</v>
      </c>
      <c r="D577" s="76" t="s">
        <v>1722</v>
      </c>
      <c r="E577" s="77">
        <v>14.5</v>
      </c>
      <c r="F577" s="76"/>
      <c r="G577" s="76" t="s">
        <v>221</v>
      </c>
      <c r="H577" s="76" t="s">
        <v>272</v>
      </c>
      <c r="I577" s="78">
        <v>45984</v>
      </c>
      <c r="J577" s="78">
        <v>45973</v>
      </c>
      <c r="K577" s="77">
        <v>-6</v>
      </c>
      <c r="L577" s="77">
        <v>-17</v>
      </c>
    </row>
    <row r="578" spans="1:12" ht="33.75">
      <c r="A578" s="76" t="s">
        <v>1411</v>
      </c>
      <c r="B578" s="76" t="s">
        <v>1725</v>
      </c>
      <c r="C578" s="76" t="s">
        <v>307</v>
      </c>
      <c r="D578" s="76" t="s">
        <v>1726</v>
      </c>
      <c r="E578" s="77">
        <v>41.800600000000003</v>
      </c>
      <c r="F578" s="76" t="s">
        <v>57</v>
      </c>
      <c r="G578" s="76"/>
      <c r="H578" s="76" t="s">
        <v>273</v>
      </c>
      <c r="I578" s="78">
        <v>45983</v>
      </c>
      <c r="J578" s="78">
        <v>45973</v>
      </c>
      <c r="K578" s="77">
        <v>-7</v>
      </c>
      <c r="L578" s="77">
        <v>-17</v>
      </c>
    </row>
    <row r="579" spans="1:12" ht="33.75">
      <c r="A579" s="76" t="s">
        <v>1411</v>
      </c>
      <c r="B579" s="76" t="s">
        <v>1727</v>
      </c>
      <c r="C579" s="76" t="s">
        <v>307</v>
      </c>
      <c r="D579" s="76" t="s">
        <v>1728</v>
      </c>
      <c r="E579" s="77">
        <v>30.79</v>
      </c>
      <c r="F579" s="76" t="s">
        <v>1099</v>
      </c>
      <c r="G579" s="76"/>
      <c r="H579" s="76" t="s">
        <v>273</v>
      </c>
      <c r="I579" s="78">
        <v>45983</v>
      </c>
      <c r="J579" s="78">
        <v>45973</v>
      </c>
      <c r="K579" s="77">
        <v>-7</v>
      </c>
      <c r="L579" s="77">
        <v>-17</v>
      </c>
    </row>
    <row r="580" spans="1:12" ht="33.75">
      <c r="A580" s="76" t="s">
        <v>1729</v>
      </c>
      <c r="B580" s="76" t="s">
        <v>1730</v>
      </c>
      <c r="C580" s="76" t="s">
        <v>307</v>
      </c>
      <c r="D580" s="76" t="s">
        <v>1963</v>
      </c>
      <c r="E580" s="77">
        <v>10.76</v>
      </c>
      <c r="F580" s="76" t="s">
        <v>85</v>
      </c>
      <c r="G580" s="76"/>
      <c r="H580" s="76" t="s">
        <v>272</v>
      </c>
      <c r="I580" s="78">
        <v>45980</v>
      </c>
      <c r="J580" s="78">
        <v>45973</v>
      </c>
      <c r="K580" s="77">
        <v>-10</v>
      </c>
      <c r="L580" s="77">
        <v>-17</v>
      </c>
    </row>
    <row r="581" spans="1:12" ht="33.75">
      <c r="A581" s="76" t="s">
        <v>1729</v>
      </c>
      <c r="B581" s="76" t="s">
        <v>1730</v>
      </c>
      <c r="C581" s="76" t="s">
        <v>307</v>
      </c>
      <c r="D581" s="76" t="s">
        <v>1731</v>
      </c>
      <c r="E581" s="77">
        <v>203.39</v>
      </c>
      <c r="F581" s="76" t="s">
        <v>870</v>
      </c>
      <c r="G581" s="76"/>
      <c r="H581" s="76" t="s">
        <v>272</v>
      </c>
      <c r="I581" s="78">
        <v>45980</v>
      </c>
      <c r="J581" s="78">
        <v>45973</v>
      </c>
      <c r="K581" s="77">
        <v>-10</v>
      </c>
      <c r="L581" s="77">
        <v>-17</v>
      </c>
    </row>
    <row r="582" spans="1:12" ht="33.75">
      <c r="A582" s="76" t="s">
        <v>1729</v>
      </c>
      <c r="B582" s="76" t="s">
        <v>1732</v>
      </c>
      <c r="C582" s="76" t="s">
        <v>307</v>
      </c>
      <c r="D582" s="76" t="s">
        <v>1733</v>
      </c>
      <c r="E582" s="77">
        <v>218.25</v>
      </c>
      <c r="F582" s="76" t="s">
        <v>870</v>
      </c>
      <c r="G582" s="76"/>
      <c r="H582" s="76" t="s">
        <v>272</v>
      </c>
      <c r="I582" s="78">
        <v>45980</v>
      </c>
      <c r="J582" s="78">
        <v>45973</v>
      </c>
      <c r="K582" s="77">
        <v>-10</v>
      </c>
      <c r="L582" s="77">
        <v>-17</v>
      </c>
    </row>
    <row r="583" spans="1:12" ht="33.75">
      <c r="A583" s="76" t="s">
        <v>1729</v>
      </c>
      <c r="B583" s="76" t="s">
        <v>1734</v>
      </c>
      <c r="C583" s="76" t="s">
        <v>307</v>
      </c>
      <c r="D583" s="76" t="s">
        <v>1735</v>
      </c>
      <c r="E583" s="77">
        <v>8.1300000000000008</v>
      </c>
      <c r="F583" s="76" t="s">
        <v>85</v>
      </c>
      <c r="G583" s="76"/>
      <c r="H583" s="76" t="s">
        <v>272</v>
      </c>
      <c r="I583" s="78">
        <v>45980</v>
      </c>
      <c r="J583" s="78">
        <v>45973</v>
      </c>
      <c r="K583" s="77">
        <v>-10</v>
      </c>
      <c r="L583" s="77">
        <v>-17</v>
      </c>
    </row>
    <row r="584" spans="1:12" ht="33.75">
      <c r="A584" s="76" t="s">
        <v>1736</v>
      </c>
      <c r="B584" s="76" t="s">
        <v>1737</v>
      </c>
      <c r="C584" s="76" t="s">
        <v>307</v>
      </c>
      <c r="D584" s="76" t="s">
        <v>1738</v>
      </c>
      <c r="E584" s="77">
        <v>310.27999999999997</v>
      </c>
      <c r="F584" s="76" t="s">
        <v>870</v>
      </c>
      <c r="G584" s="76"/>
      <c r="H584" s="76" t="s">
        <v>273</v>
      </c>
      <c r="I584" s="78">
        <v>45981</v>
      </c>
      <c r="J584" s="78">
        <v>45973</v>
      </c>
      <c r="K584" s="77">
        <v>-9</v>
      </c>
      <c r="L584" s="77">
        <v>-17</v>
      </c>
    </row>
    <row r="585" spans="1:12" ht="33.75">
      <c r="A585" s="76" t="s">
        <v>1739</v>
      </c>
      <c r="B585" s="76" t="s">
        <v>586</v>
      </c>
      <c r="C585" s="76" t="s">
        <v>307</v>
      </c>
      <c r="D585" s="76" t="s">
        <v>1740</v>
      </c>
      <c r="E585" s="77">
        <v>382.79</v>
      </c>
      <c r="F585" s="76" t="s">
        <v>870</v>
      </c>
      <c r="G585" s="76"/>
      <c r="H585" s="76" t="s">
        <v>273</v>
      </c>
      <c r="I585" s="78">
        <v>45980</v>
      </c>
      <c r="J585" s="78">
        <v>45973</v>
      </c>
      <c r="K585" s="77">
        <v>-10</v>
      </c>
      <c r="L585" s="77">
        <v>-17</v>
      </c>
    </row>
    <row r="586" spans="1:12" ht="22.5">
      <c r="A586" s="76" t="s">
        <v>1745</v>
      </c>
      <c r="B586" s="76" t="s">
        <v>1746</v>
      </c>
      <c r="C586" s="76" t="s">
        <v>307</v>
      </c>
      <c r="D586" s="76" t="s">
        <v>1747</v>
      </c>
      <c r="E586" s="77">
        <v>252.69</v>
      </c>
      <c r="F586" s="76" t="s">
        <v>870</v>
      </c>
      <c r="G586" s="76"/>
      <c r="H586" s="76" t="s">
        <v>273</v>
      </c>
      <c r="I586" s="78">
        <v>45981</v>
      </c>
      <c r="J586" s="78">
        <v>45973</v>
      </c>
      <c r="K586" s="77">
        <v>-9</v>
      </c>
      <c r="L586" s="77">
        <v>-17</v>
      </c>
    </row>
    <row r="587" spans="1:12" ht="22.5">
      <c r="A587" s="76" t="s">
        <v>1748</v>
      </c>
      <c r="B587" s="76" t="s">
        <v>1749</v>
      </c>
      <c r="C587" s="76" t="s">
        <v>307</v>
      </c>
      <c r="D587" s="76" t="s">
        <v>1750</v>
      </c>
      <c r="E587" s="77">
        <v>235.32</v>
      </c>
      <c r="F587" s="76" t="s">
        <v>870</v>
      </c>
      <c r="G587" s="76"/>
      <c r="H587" s="76" t="s">
        <v>273</v>
      </c>
      <c r="I587" s="78">
        <v>45981</v>
      </c>
      <c r="J587" s="78">
        <v>45973</v>
      </c>
      <c r="K587" s="77">
        <v>-9</v>
      </c>
      <c r="L587" s="77">
        <v>-17</v>
      </c>
    </row>
    <row r="588" spans="1:12" ht="33.75">
      <c r="A588" s="76" t="s">
        <v>1427</v>
      </c>
      <c r="B588" s="76" t="s">
        <v>1428</v>
      </c>
      <c r="C588" s="76" t="s">
        <v>307</v>
      </c>
      <c r="D588" s="76" t="s">
        <v>1429</v>
      </c>
      <c r="E588" s="77">
        <v>100.45</v>
      </c>
      <c r="F588" s="76" t="s">
        <v>155</v>
      </c>
      <c r="G588" s="76"/>
      <c r="H588" s="76" t="s">
        <v>272</v>
      </c>
      <c r="I588" s="78">
        <v>45981</v>
      </c>
      <c r="J588" s="78">
        <v>45974</v>
      </c>
      <c r="K588" s="77">
        <v>-9</v>
      </c>
      <c r="L588" s="77">
        <v>-16</v>
      </c>
    </row>
    <row r="589" spans="1:12" ht="33.75">
      <c r="A589" s="76" t="s">
        <v>1401</v>
      </c>
      <c r="B589" s="76" t="s">
        <v>1430</v>
      </c>
      <c r="C589" s="76" t="s">
        <v>307</v>
      </c>
      <c r="D589" s="76" t="s">
        <v>1779</v>
      </c>
      <c r="E589" s="77">
        <v>38.01</v>
      </c>
      <c r="F589" s="76" t="s">
        <v>58</v>
      </c>
      <c r="G589" s="76"/>
      <c r="H589" s="76" t="s">
        <v>273</v>
      </c>
      <c r="I589" s="78">
        <v>45983</v>
      </c>
      <c r="J589" s="78">
        <v>45974</v>
      </c>
      <c r="K589" s="77">
        <v>-7</v>
      </c>
      <c r="L589" s="77">
        <v>-16</v>
      </c>
    </row>
    <row r="590" spans="1:12" ht="33.75">
      <c r="A590" s="76" t="s">
        <v>1401</v>
      </c>
      <c r="B590" s="76" t="s">
        <v>1430</v>
      </c>
      <c r="C590" s="76" t="s">
        <v>307</v>
      </c>
      <c r="D590" s="76" t="s">
        <v>1431</v>
      </c>
      <c r="E590" s="77">
        <v>142.66</v>
      </c>
      <c r="F590" s="76" t="s">
        <v>58</v>
      </c>
      <c r="G590" s="76"/>
      <c r="H590" s="76" t="s">
        <v>273</v>
      </c>
      <c r="I590" s="78">
        <v>45983</v>
      </c>
      <c r="J590" s="78">
        <v>45974</v>
      </c>
      <c r="K590" s="77">
        <v>-7</v>
      </c>
      <c r="L590" s="77">
        <v>-16</v>
      </c>
    </row>
    <row r="591" spans="1:12" ht="33.75">
      <c r="A591" s="76" t="s">
        <v>1432</v>
      </c>
      <c r="B591" s="76" t="s">
        <v>1322</v>
      </c>
      <c r="C591" s="76" t="s">
        <v>307</v>
      </c>
      <c r="D591" s="76" t="s">
        <v>1433</v>
      </c>
      <c r="E591" s="77">
        <v>64.62</v>
      </c>
      <c r="F591" s="76" t="s">
        <v>85</v>
      </c>
      <c r="G591" s="76"/>
      <c r="H591" s="76" t="s">
        <v>273</v>
      </c>
      <c r="I591" s="78">
        <v>45981</v>
      </c>
      <c r="J591" s="78">
        <v>45974</v>
      </c>
      <c r="K591" s="77">
        <v>-9</v>
      </c>
      <c r="L591" s="77">
        <v>-16</v>
      </c>
    </row>
    <row r="592" spans="1:12" ht="45">
      <c r="A592" s="76" t="s">
        <v>1434</v>
      </c>
      <c r="B592" s="76" t="s">
        <v>1435</v>
      </c>
      <c r="C592" s="76" t="s">
        <v>307</v>
      </c>
      <c r="D592" s="76" t="s">
        <v>1436</v>
      </c>
      <c r="E592" s="77">
        <v>1.4</v>
      </c>
      <c r="F592" s="76"/>
      <c r="G592" s="76" t="s">
        <v>221</v>
      </c>
      <c r="H592" s="76" t="s">
        <v>272</v>
      </c>
      <c r="I592" s="78">
        <v>45984</v>
      </c>
      <c r="J592" s="78">
        <v>45974</v>
      </c>
      <c r="K592" s="77">
        <v>-6</v>
      </c>
      <c r="L592" s="77">
        <v>-16</v>
      </c>
    </row>
    <row r="593" spans="1:12" ht="45">
      <c r="A593" s="76" t="s">
        <v>1434</v>
      </c>
      <c r="B593" s="76" t="s">
        <v>1435</v>
      </c>
      <c r="C593" s="76" t="s">
        <v>307</v>
      </c>
      <c r="D593" s="76" t="s">
        <v>1437</v>
      </c>
      <c r="E593" s="77">
        <v>1.1299999999999999</v>
      </c>
      <c r="F593" s="76"/>
      <c r="G593" s="76" t="s">
        <v>221</v>
      </c>
      <c r="H593" s="76" t="s">
        <v>272</v>
      </c>
      <c r="I593" s="78">
        <v>45984</v>
      </c>
      <c r="J593" s="78">
        <v>45974</v>
      </c>
      <c r="K593" s="77">
        <v>-6</v>
      </c>
      <c r="L593" s="77">
        <v>-16</v>
      </c>
    </row>
    <row r="594" spans="1:12" ht="56.25">
      <c r="A594" s="76" t="s">
        <v>1488</v>
      </c>
      <c r="B594" s="76" t="s">
        <v>1489</v>
      </c>
      <c r="C594" s="76" t="s">
        <v>307</v>
      </c>
      <c r="D594" s="76" t="s">
        <v>1490</v>
      </c>
      <c r="E594" s="77">
        <v>305.58999999999997</v>
      </c>
      <c r="F594" s="76" t="s">
        <v>126</v>
      </c>
      <c r="G594" s="76"/>
      <c r="H594" s="76" t="s">
        <v>282</v>
      </c>
      <c r="I594" s="78">
        <v>45983</v>
      </c>
      <c r="J594" s="78">
        <v>45974</v>
      </c>
      <c r="K594" s="77">
        <v>-7</v>
      </c>
      <c r="L594" s="77">
        <v>-16</v>
      </c>
    </row>
    <row r="595" spans="1:12" ht="33.75">
      <c r="A595" s="76" t="s">
        <v>1491</v>
      </c>
      <c r="B595" s="76" t="s">
        <v>1492</v>
      </c>
      <c r="C595" s="76" t="s">
        <v>307</v>
      </c>
      <c r="D595" s="76" t="s">
        <v>1493</v>
      </c>
      <c r="E595" s="77">
        <v>2.3199999999999998</v>
      </c>
      <c r="F595" s="76" t="s">
        <v>157</v>
      </c>
      <c r="G595" s="76"/>
      <c r="H595" s="76" t="s">
        <v>273</v>
      </c>
      <c r="I595" s="78">
        <v>45983</v>
      </c>
      <c r="J595" s="78">
        <v>45974</v>
      </c>
      <c r="K595" s="77">
        <v>-7</v>
      </c>
      <c r="L595" s="77">
        <v>-16</v>
      </c>
    </row>
    <row r="596" spans="1:12" ht="67.5">
      <c r="A596" s="76" t="s">
        <v>1500</v>
      </c>
      <c r="B596" s="76" t="s">
        <v>1501</v>
      </c>
      <c r="C596" s="76" t="s">
        <v>307</v>
      </c>
      <c r="D596" s="76" t="s">
        <v>1502</v>
      </c>
      <c r="E596" s="79"/>
      <c r="F596" s="76" t="s">
        <v>155</v>
      </c>
      <c r="G596" s="76"/>
      <c r="H596" s="76" t="s">
        <v>282</v>
      </c>
      <c r="I596" s="78">
        <v>45985</v>
      </c>
      <c r="J596" s="78">
        <v>45974</v>
      </c>
      <c r="K596" s="77">
        <v>-5</v>
      </c>
      <c r="L596" s="77">
        <v>-16</v>
      </c>
    </row>
    <row r="597" spans="1:12" ht="33.75">
      <c r="A597" s="76" t="s">
        <v>1503</v>
      </c>
      <c r="B597" s="76" t="s">
        <v>1504</v>
      </c>
      <c r="C597" s="76" t="s">
        <v>307</v>
      </c>
      <c r="D597" s="76" t="s">
        <v>1505</v>
      </c>
      <c r="E597" s="77">
        <v>5.53</v>
      </c>
      <c r="F597" s="76" t="s">
        <v>157</v>
      </c>
      <c r="G597" s="76"/>
      <c r="H597" s="76" t="s">
        <v>273</v>
      </c>
      <c r="I597" s="78">
        <v>45983</v>
      </c>
      <c r="J597" s="78">
        <v>45974</v>
      </c>
      <c r="K597" s="77">
        <v>-7</v>
      </c>
      <c r="L597" s="77">
        <v>-16</v>
      </c>
    </row>
    <row r="598" spans="1:12" ht="33.75">
      <c r="A598" s="76" t="s">
        <v>1503</v>
      </c>
      <c r="B598" s="76" t="s">
        <v>1492</v>
      </c>
      <c r="C598" s="76" t="s">
        <v>307</v>
      </c>
      <c r="D598" s="76" t="s">
        <v>1506</v>
      </c>
      <c r="E598" s="77">
        <v>5.53</v>
      </c>
      <c r="F598" s="76" t="s">
        <v>157</v>
      </c>
      <c r="G598" s="76"/>
      <c r="H598" s="76" t="s">
        <v>273</v>
      </c>
      <c r="I598" s="78">
        <v>45983</v>
      </c>
      <c r="J598" s="78">
        <v>45974</v>
      </c>
      <c r="K598" s="77">
        <v>-7</v>
      </c>
      <c r="L598" s="77">
        <v>-16</v>
      </c>
    </row>
    <row r="599" spans="1:12" ht="45">
      <c r="A599" s="76" t="s">
        <v>1507</v>
      </c>
      <c r="B599" s="76" t="s">
        <v>1508</v>
      </c>
      <c r="C599" s="76" t="s">
        <v>307</v>
      </c>
      <c r="D599" s="76" t="s">
        <v>1509</v>
      </c>
      <c r="E599" s="77">
        <v>45.73</v>
      </c>
      <c r="F599" s="76"/>
      <c r="G599" s="76" t="s">
        <v>192</v>
      </c>
      <c r="H599" s="76" t="s">
        <v>273</v>
      </c>
      <c r="I599" s="78">
        <v>45981</v>
      </c>
      <c r="J599" s="78">
        <v>45974</v>
      </c>
      <c r="K599" s="77">
        <v>-9</v>
      </c>
      <c r="L599" s="77">
        <v>-16</v>
      </c>
    </row>
    <row r="600" spans="1:12" ht="45">
      <c r="A600" s="76" t="s">
        <v>1507</v>
      </c>
      <c r="B600" s="76" t="s">
        <v>1510</v>
      </c>
      <c r="C600" s="76" t="s">
        <v>307</v>
      </c>
      <c r="D600" s="76" t="s">
        <v>1511</v>
      </c>
      <c r="E600" s="77">
        <v>203.91</v>
      </c>
      <c r="F600" s="76"/>
      <c r="G600" s="76" t="s">
        <v>192</v>
      </c>
      <c r="H600" s="76" t="s">
        <v>273</v>
      </c>
      <c r="I600" s="78">
        <v>45981</v>
      </c>
      <c r="J600" s="78">
        <v>45974</v>
      </c>
      <c r="K600" s="77">
        <v>-9</v>
      </c>
      <c r="L600" s="77">
        <v>-16</v>
      </c>
    </row>
    <row r="601" spans="1:12" ht="33.75">
      <c r="A601" s="76" t="s">
        <v>1409</v>
      </c>
      <c r="B601" s="76" t="s">
        <v>1405</v>
      </c>
      <c r="C601" s="76" t="s">
        <v>307</v>
      </c>
      <c r="D601" s="76" t="s">
        <v>1512</v>
      </c>
      <c r="E601" s="79"/>
      <c r="F601" s="76" t="s">
        <v>157</v>
      </c>
      <c r="G601" s="76"/>
      <c r="H601" s="76" t="s">
        <v>273</v>
      </c>
      <c r="I601" s="78">
        <v>45986</v>
      </c>
      <c r="J601" s="78">
        <v>45974</v>
      </c>
      <c r="K601" s="77">
        <v>-4</v>
      </c>
      <c r="L601" s="77">
        <v>-16</v>
      </c>
    </row>
    <row r="602" spans="1:12" ht="33.75">
      <c r="A602" s="76" t="s">
        <v>1409</v>
      </c>
      <c r="B602" s="76" t="s">
        <v>1513</v>
      </c>
      <c r="C602" s="76" t="s">
        <v>307</v>
      </c>
      <c r="D602" s="76" t="s">
        <v>1514</v>
      </c>
      <c r="E602" s="79"/>
      <c r="F602" s="76" t="s">
        <v>157</v>
      </c>
      <c r="G602" s="76"/>
      <c r="H602" s="76" t="s">
        <v>273</v>
      </c>
      <c r="I602" s="78">
        <v>45986</v>
      </c>
      <c r="J602" s="78">
        <v>45974</v>
      </c>
      <c r="K602" s="77">
        <v>-4</v>
      </c>
      <c r="L602" s="77">
        <v>-16</v>
      </c>
    </row>
    <row r="603" spans="1:12" ht="33.75">
      <c r="A603" s="76" t="s">
        <v>1409</v>
      </c>
      <c r="B603" s="76" t="s">
        <v>1515</v>
      </c>
      <c r="C603" s="76" t="s">
        <v>307</v>
      </c>
      <c r="D603" s="76" t="s">
        <v>1516</v>
      </c>
      <c r="E603" s="79"/>
      <c r="F603" s="76" t="s">
        <v>157</v>
      </c>
      <c r="G603" s="76"/>
      <c r="H603" s="76" t="s">
        <v>273</v>
      </c>
      <c r="I603" s="78">
        <v>45986</v>
      </c>
      <c r="J603" s="78">
        <v>45974</v>
      </c>
      <c r="K603" s="77">
        <v>-4</v>
      </c>
      <c r="L603" s="77">
        <v>-16</v>
      </c>
    </row>
    <row r="604" spans="1:12" ht="33.75">
      <c r="A604" s="76" t="s">
        <v>1517</v>
      </c>
      <c r="B604" s="76" t="s">
        <v>1518</v>
      </c>
      <c r="C604" s="76" t="s">
        <v>307</v>
      </c>
      <c r="D604" s="76" t="s">
        <v>1519</v>
      </c>
      <c r="E604" s="77">
        <v>26.16</v>
      </c>
      <c r="F604" s="76" t="s">
        <v>157</v>
      </c>
      <c r="G604" s="76"/>
      <c r="H604" s="76" t="s">
        <v>273</v>
      </c>
      <c r="I604" s="78">
        <v>45986</v>
      </c>
      <c r="J604" s="78">
        <v>45974</v>
      </c>
      <c r="K604" s="77">
        <v>-4</v>
      </c>
      <c r="L604" s="77">
        <v>-16</v>
      </c>
    </row>
    <row r="605" spans="1:12" ht="33.75">
      <c r="A605" s="76" t="s">
        <v>1517</v>
      </c>
      <c r="B605" s="76" t="s">
        <v>1407</v>
      </c>
      <c r="C605" s="76" t="s">
        <v>307</v>
      </c>
      <c r="D605" s="76" t="s">
        <v>1520</v>
      </c>
      <c r="E605" s="77">
        <v>118.83</v>
      </c>
      <c r="F605" s="76" t="s">
        <v>85</v>
      </c>
      <c r="G605" s="76"/>
      <c r="H605" s="76" t="s">
        <v>273</v>
      </c>
      <c r="I605" s="78">
        <v>45986</v>
      </c>
      <c r="J605" s="78">
        <v>45974</v>
      </c>
      <c r="K605" s="77">
        <v>-4</v>
      </c>
      <c r="L605" s="77">
        <v>-16</v>
      </c>
    </row>
    <row r="606" spans="1:12" ht="33.75">
      <c r="A606" s="76" t="s">
        <v>1517</v>
      </c>
      <c r="B606" s="76" t="s">
        <v>1521</v>
      </c>
      <c r="C606" s="76" t="s">
        <v>307</v>
      </c>
      <c r="D606" s="76" t="s">
        <v>1522</v>
      </c>
      <c r="E606" s="77">
        <v>122.35</v>
      </c>
      <c r="F606" s="76" t="s">
        <v>157</v>
      </c>
      <c r="G606" s="76"/>
      <c r="H606" s="76" t="s">
        <v>273</v>
      </c>
      <c r="I606" s="78">
        <v>45986</v>
      </c>
      <c r="J606" s="78">
        <v>45974</v>
      </c>
      <c r="K606" s="77">
        <v>-4</v>
      </c>
      <c r="L606" s="77">
        <v>-16</v>
      </c>
    </row>
    <row r="607" spans="1:12" ht="33.75">
      <c r="A607" s="76" t="s">
        <v>1517</v>
      </c>
      <c r="B607" s="76" t="s">
        <v>1523</v>
      </c>
      <c r="C607" s="76" t="s">
        <v>307</v>
      </c>
      <c r="D607" s="76" t="s">
        <v>1524</v>
      </c>
      <c r="E607" s="77">
        <v>113.06</v>
      </c>
      <c r="F607" s="76" t="s">
        <v>157</v>
      </c>
      <c r="G607" s="76"/>
      <c r="H607" s="76" t="s">
        <v>273</v>
      </c>
      <c r="I607" s="78">
        <v>45986</v>
      </c>
      <c r="J607" s="78">
        <v>45974</v>
      </c>
      <c r="K607" s="77">
        <v>-4</v>
      </c>
      <c r="L607" s="77">
        <v>-16</v>
      </c>
    </row>
    <row r="608" spans="1:12" ht="33.75">
      <c r="A608" s="76" t="s">
        <v>1517</v>
      </c>
      <c r="B608" s="76" t="s">
        <v>1525</v>
      </c>
      <c r="C608" s="76" t="s">
        <v>307</v>
      </c>
      <c r="D608" s="76" t="s">
        <v>1526</v>
      </c>
      <c r="E608" s="79"/>
      <c r="F608" s="76" t="s">
        <v>157</v>
      </c>
      <c r="G608" s="76"/>
      <c r="H608" s="76" t="s">
        <v>273</v>
      </c>
      <c r="I608" s="78">
        <v>45986</v>
      </c>
      <c r="J608" s="78">
        <v>45974</v>
      </c>
      <c r="K608" s="77">
        <v>-4</v>
      </c>
      <c r="L608" s="77">
        <v>-16</v>
      </c>
    </row>
    <row r="609" spans="1:12" ht="33.75">
      <c r="A609" s="76" t="s">
        <v>1517</v>
      </c>
      <c r="B609" s="76" t="s">
        <v>1527</v>
      </c>
      <c r="C609" s="76" t="s">
        <v>307</v>
      </c>
      <c r="D609" s="76" t="s">
        <v>1528</v>
      </c>
      <c r="E609" s="77">
        <v>95.06</v>
      </c>
      <c r="F609" s="76" t="s">
        <v>157</v>
      </c>
      <c r="G609" s="76"/>
      <c r="H609" s="76" t="s">
        <v>273</v>
      </c>
      <c r="I609" s="78">
        <v>45986</v>
      </c>
      <c r="J609" s="78">
        <v>45974</v>
      </c>
      <c r="K609" s="77">
        <v>-4</v>
      </c>
      <c r="L609" s="77">
        <v>-16</v>
      </c>
    </row>
    <row r="610" spans="1:12" ht="33.75">
      <c r="A610" s="76" t="s">
        <v>1517</v>
      </c>
      <c r="B610" s="76" t="s">
        <v>1529</v>
      </c>
      <c r="C610" s="76" t="s">
        <v>307</v>
      </c>
      <c r="D610" s="76" t="s">
        <v>1530</v>
      </c>
      <c r="E610" s="77">
        <v>19.079999999999998</v>
      </c>
      <c r="F610" s="76" t="s">
        <v>157</v>
      </c>
      <c r="G610" s="76"/>
      <c r="H610" s="76" t="s">
        <v>273</v>
      </c>
      <c r="I610" s="78">
        <v>45986</v>
      </c>
      <c r="J610" s="78">
        <v>45974</v>
      </c>
      <c r="K610" s="77">
        <v>-4</v>
      </c>
      <c r="L610" s="77">
        <v>-16</v>
      </c>
    </row>
    <row r="611" spans="1:12" ht="33.75">
      <c r="A611" s="76" t="s">
        <v>1517</v>
      </c>
      <c r="B611" s="76" t="s">
        <v>1531</v>
      </c>
      <c r="C611" s="76" t="s">
        <v>307</v>
      </c>
      <c r="D611" s="76" t="s">
        <v>1532</v>
      </c>
      <c r="E611" s="79"/>
      <c r="F611" s="76" t="s">
        <v>157</v>
      </c>
      <c r="G611" s="76"/>
      <c r="H611" s="76" t="s">
        <v>273</v>
      </c>
      <c r="I611" s="78">
        <v>45986</v>
      </c>
      <c r="J611" s="78">
        <v>45974</v>
      </c>
      <c r="K611" s="77">
        <v>-4</v>
      </c>
      <c r="L611" s="77">
        <v>-16</v>
      </c>
    </row>
    <row r="612" spans="1:12" ht="33.75">
      <c r="A612" s="76" t="s">
        <v>1402</v>
      </c>
      <c r="B612" s="76" t="s">
        <v>1533</v>
      </c>
      <c r="C612" s="76" t="s">
        <v>307</v>
      </c>
      <c r="D612" s="76" t="s">
        <v>1534</v>
      </c>
      <c r="E612" s="77">
        <v>35.99</v>
      </c>
      <c r="F612" s="76" t="s">
        <v>184</v>
      </c>
      <c r="G612" s="76"/>
      <c r="H612" s="76" t="s">
        <v>272</v>
      </c>
      <c r="I612" s="78">
        <v>45983</v>
      </c>
      <c r="J612" s="78">
        <v>45974</v>
      </c>
      <c r="K612" s="77">
        <v>-7</v>
      </c>
      <c r="L612" s="77">
        <v>-16</v>
      </c>
    </row>
    <row r="613" spans="1:12" ht="33.75">
      <c r="A613" s="76" t="s">
        <v>1409</v>
      </c>
      <c r="B613" s="76" t="s">
        <v>1535</v>
      </c>
      <c r="C613" s="76" t="s">
        <v>307</v>
      </c>
      <c r="D613" s="76" t="s">
        <v>1536</v>
      </c>
      <c r="E613" s="77">
        <v>54.59</v>
      </c>
      <c r="F613" s="76" t="s">
        <v>157</v>
      </c>
      <c r="G613" s="76"/>
      <c r="H613" s="76" t="s">
        <v>273</v>
      </c>
      <c r="I613" s="78">
        <v>45986</v>
      </c>
      <c r="J613" s="78">
        <v>45974</v>
      </c>
      <c r="K613" s="77">
        <v>-4</v>
      </c>
      <c r="L613" s="77">
        <v>-16</v>
      </c>
    </row>
    <row r="614" spans="1:12" ht="22.5">
      <c r="A614" s="76" t="s">
        <v>1537</v>
      </c>
      <c r="B614" s="76" t="s">
        <v>1418</v>
      </c>
      <c r="C614" s="76" t="s">
        <v>1959</v>
      </c>
      <c r="D614" s="76" t="s">
        <v>1960</v>
      </c>
      <c r="E614" s="77">
        <v>204.36</v>
      </c>
      <c r="F614" s="76" t="s">
        <v>66</v>
      </c>
      <c r="G614" s="76"/>
      <c r="H614" s="76" t="s">
        <v>272</v>
      </c>
      <c r="I614" s="78">
        <v>45979</v>
      </c>
      <c r="J614" s="78">
        <v>45974</v>
      </c>
      <c r="K614" s="77">
        <v>-11</v>
      </c>
      <c r="L614" s="77">
        <v>-16</v>
      </c>
    </row>
    <row r="615" spans="1:12" ht="33.75">
      <c r="A615" s="76" t="s">
        <v>1537</v>
      </c>
      <c r="B615" s="76" t="s">
        <v>1418</v>
      </c>
      <c r="C615" s="76" t="s">
        <v>1784</v>
      </c>
      <c r="D615" s="76" t="s">
        <v>1785</v>
      </c>
      <c r="E615" s="77">
        <v>125.2</v>
      </c>
      <c r="F615" s="76" t="s">
        <v>83</v>
      </c>
      <c r="G615" s="76"/>
      <c r="H615" s="76" t="s">
        <v>272</v>
      </c>
      <c r="I615" s="78">
        <v>45979</v>
      </c>
      <c r="J615" s="78">
        <v>45974</v>
      </c>
      <c r="K615" s="77">
        <v>-11</v>
      </c>
      <c r="L615" s="77">
        <v>-16</v>
      </c>
    </row>
    <row r="616" spans="1:12" ht="33.75">
      <c r="A616" s="76" t="s">
        <v>1403</v>
      </c>
      <c r="B616" s="76" t="s">
        <v>1538</v>
      </c>
      <c r="C616" s="76" t="s">
        <v>307</v>
      </c>
      <c r="D616" s="76" t="s">
        <v>1539</v>
      </c>
      <c r="E616" s="77">
        <v>13.76</v>
      </c>
      <c r="F616" s="76" t="s">
        <v>157</v>
      </c>
      <c r="G616" s="76"/>
      <c r="H616" s="76" t="s">
        <v>273</v>
      </c>
      <c r="I616" s="78">
        <v>45986</v>
      </c>
      <c r="J616" s="78">
        <v>45974</v>
      </c>
      <c r="K616" s="77">
        <v>-4</v>
      </c>
      <c r="L616" s="77">
        <v>-16</v>
      </c>
    </row>
    <row r="617" spans="1:12" ht="33.75">
      <c r="A617" s="76" t="s">
        <v>1403</v>
      </c>
      <c r="B617" s="76" t="s">
        <v>1540</v>
      </c>
      <c r="C617" s="76" t="s">
        <v>307</v>
      </c>
      <c r="D617" s="76" t="s">
        <v>1541</v>
      </c>
      <c r="E617" s="77">
        <v>151.13</v>
      </c>
      <c r="F617" s="76" t="s">
        <v>66</v>
      </c>
      <c r="G617" s="76"/>
      <c r="H617" s="76" t="s">
        <v>273</v>
      </c>
      <c r="I617" s="78">
        <v>45986</v>
      </c>
      <c r="J617" s="78">
        <v>45974</v>
      </c>
      <c r="K617" s="77">
        <v>-4</v>
      </c>
      <c r="L617" s="77">
        <v>-16</v>
      </c>
    </row>
    <row r="618" spans="1:12" ht="22.5">
      <c r="A618" s="76" t="s">
        <v>1563</v>
      </c>
      <c r="B618" s="76" t="s">
        <v>1577</v>
      </c>
      <c r="C618" s="76" t="s">
        <v>1578</v>
      </c>
      <c r="D618" s="76" t="s">
        <v>1579</v>
      </c>
      <c r="E618" s="77">
        <v>389.255</v>
      </c>
      <c r="F618" s="76" t="s">
        <v>184</v>
      </c>
      <c r="G618" s="76"/>
      <c r="H618" s="76" t="s">
        <v>273</v>
      </c>
      <c r="I618" s="78">
        <v>45983</v>
      </c>
      <c r="J618" s="78">
        <v>45974</v>
      </c>
      <c r="K618" s="77">
        <v>-7</v>
      </c>
      <c r="L618" s="77">
        <v>-16</v>
      </c>
    </row>
    <row r="619" spans="1:12" ht="22.5">
      <c r="A619" s="76" t="s">
        <v>1563</v>
      </c>
      <c r="B619" s="76" t="s">
        <v>1580</v>
      </c>
      <c r="C619" s="76" t="s">
        <v>1578</v>
      </c>
      <c r="D619" s="76" t="s">
        <v>1581</v>
      </c>
      <c r="E619" s="77">
        <v>389.255</v>
      </c>
      <c r="F619" s="76" t="s">
        <v>184</v>
      </c>
      <c r="G619" s="76"/>
      <c r="H619" s="76" t="s">
        <v>273</v>
      </c>
      <c r="I619" s="78">
        <v>45983</v>
      </c>
      <c r="J619" s="78">
        <v>45974</v>
      </c>
      <c r="K619" s="77">
        <v>-7</v>
      </c>
      <c r="L619" s="77">
        <v>-16</v>
      </c>
    </row>
    <row r="620" spans="1:12" ht="22.5">
      <c r="A620" s="76" t="s">
        <v>1563</v>
      </c>
      <c r="B620" s="76" t="s">
        <v>1582</v>
      </c>
      <c r="C620" s="76" t="s">
        <v>1578</v>
      </c>
      <c r="D620" s="76" t="s">
        <v>1583</v>
      </c>
      <c r="E620" s="77">
        <v>389.255</v>
      </c>
      <c r="F620" s="76" t="s">
        <v>184</v>
      </c>
      <c r="G620" s="76"/>
      <c r="H620" s="76" t="s">
        <v>273</v>
      </c>
      <c r="I620" s="78">
        <v>45983</v>
      </c>
      <c r="J620" s="78">
        <v>45974</v>
      </c>
      <c r="K620" s="77">
        <v>-7</v>
      </c>
      <c r="L620" s="77">
        <v>-16</v>
      </c>
    </row>
    <row r="621" spans="1:12" ht="22.5">
      <c r="A621" s="76" t="s">
        <v>1563</v>
      </c>
      <c r="B621" s="76" t="s">
        <v>1584</v>
      </c>
      <c r="C621" s="76" t="s">
        <v>1578</v>
      </c>
      <c r="D621" s="76" t="s">
        <v>1585</v>
      </c>
      <c r="E621" s="77">
        <v>389.255</v>
      </c>
      <c r="F621" s="76" t="s">
        <v>184</v>
      </c>
      <c r="G621" s="76"/>
      <c r="H621" s="76" t="s">
        <v>273</v>
      </c>
      <c r="I621" s="78">
        <v>45983</v>
      </c>
      <c r="J621" s="78">
        <v>45974</v>
      </c>
      <c r="K621" s="77">
        <v>-7</v>
      </c>
      <c r="L621" s="77">
        <v>-16</v>
      </c>
    </row>
    <row r="622" spans="1:12" ht="22.5">
      <c r="A622" s="76" t="s">
        <v>1563</v>
      </c>
      <c r="B622" s="76" t="s">
        <v>1586</v>
      </c>
      <c r="C622" s="76" t="s">
        <v>1578</v>
      </c>
      <c r="D622" s="76" t="s">
        <v>1587</v>
      </c>
      <c r="E622" s="77">
        <v>389.255</v>
      </c>
      <c r="F622" s="76" t="s">
        <v>184</v>
      </c>
      <c r="G622" s="76"/>
      <c r="H622" s="76" t="s">
        <v>273</v>
      </c>
      <c r="I622" s="78">
        <v>45983</v>
      </c>
      <c r="J622" s="78">
        <v>45974</v>
      </c>
      <c r="K622" s="77">
        <v>-7</v>
      </c>
      <c r="L622" s="77">
        <v>-16</v>
      </c>
    </row>
    <row r="623" spans="1:12" ht="45">
      <c r="A623" s="76" t="s">
        <v>1601</v>
      </c>
      <c r="B623" s="76" t="s">
        <v>1299</v>
      </c>
      <c r="C623" s="76" t="s">
        <v>307</v>
      </c>
      <c r="D623" s="76" t="s">
        <v>1602</v>
      </c>
      <c r="E623" s="77">
        <v>15.03</v>
      </c>
      <c r="F623" s="76"/>
      <c r="G623" s="76" t="s">
        <v>192</v>
      </c>
      <c r="H623" s="76" t="s">
        <v>273</v>
      </c>
      <c r="I623" s="78">
        <v>45983</v>
      </c>
      <c r="J623" s="78">
        <v>45974</v>
      </c>
      <c r="K623" s="77">
        <v>-7</v>
      </c>
      <c r="L623" s="77">
        <v>-16</v>
      </c>
    </row>
    <row r="624" spans="1:12" ht="45">
      <c r="A624" s="76" t="s">
        <v>1601</v>
      </c>
      <c r="B624" s="76" t="s">
        <v>972</v>
      </c>
      <c r="C624" s="76" t="s">
        <v>307</v>
      </c>
      <c r="D624" s="76" t="s">
        <v>1603</v>
      </c>
      <c r="E624" s="77">
        <v>10.039999999999999</v>
      </c>
      <c r="F624" s="76"/>
      <c r="G624" s="76" t="s">
        <v>192</v>
      </c>
      <c r="H624" s="76" t="s">
        <v>273</v>
      </c>
      <c r="I624" s="78">
        <v>45983</v>
      </c>
      <c r="J624" s="78">
        <v>45974</v>
      </c>
      <c r="K624" s="77">
        <v>-7</v>
      </c>
      <c r="L624" s="77">
        <v>-16</v>
      </c>
    </row>
    <row r="625" spans="1:12" ht="33.75">
      <c r="A625" s="76" t="s">
        <v>1601</v>
      </c>
      <c r="B625" s="76" t="s">
        <v>1604</v>
      </c>
      <c r="C625" s="76" t="s">
        <v>307</v>
      </c>
      <c r="D625" s="76" t="s">
        <v>1605</v>
      </c>
      <c r="E625" s="79"/>
      <c r="F625" s="76" t="s">
        <v>157</v>
      </c>
      <c r="G625" s="76"/>
      <c r="H625" s="76" t="s">
        <v>273</v>
      </c>
      <c r="I625" s="78">
        <v>45983</v>
      </c>
      <c r="J625" s="78">
        <v>45974</v>
      </c>
      <c r="K625" s="77">
        <v>-7</v>
      </c>
      <c r="L625" s="77">
        <v>-16</v>
      </c>
    </row>
    <row r="626" spans="1:12" ht="45">
      <c r="A626" s="76" t="s">
        <v>1601</v>
      </c>
      <c r="B626" s="76" t="s">
        <v>1606</v>
      </c>
      <c r="C626" s="76" t="s">
        <v>307</v>
      </c>
      <c r="D626" s="76" t="s">
        <v>1607</v>
      </c>
      <c r="E626" s="77">
        <v>28.51</v>
      </c>
      <c r="F626" s="76"/>
      <c r="G626" s="76" t="s">
        <v>192</v>
      </c>
      <c r="H626" s="76" t="s">
        <v>273</v>
      </c>
      <c r="I626" s="78">
        <v>45983</v>
      </c>
      <c r="J626" s="78">
        <v>45974</v>
      </c>
      <c r="K626" s="77">
        <v>-7</v>
      </c>
      <c r="L626" s="77">
        <v>-16</v>
      </c>
    </row>
    <row r="627" spans="1:12" ht="45">
      <c r="A627" s="76" t="s">
        <v>1601</v>
      </c>
      <c r="B627" s="76" t="s">
        <v>1296</v>
      </c>
      <c r="C627" s="76" t="s">
        <v>307</v>
      </c>
      <c r="D627" s="76" t="s">
        <v>1608</v>
      </c>
      <c r="E627" s="77">
        <v>15.01</v>
      </c>
      <c r="F627" s="76"/>
      <c r="G627" s="76" t="s">
        <v>192</v>
      </c>
      <c r="H627" s="76" t="s">
        <v>273</v>
      </c>
      <c r="I627" s="78">
        <v>45983</v>
      </c>
      <c r="J627" s="78">
        <v>45974</v>
      </c>
      <c r="K627" s="77">
        <v>-7</v>
      </c>
      <c r="L627" s="77">
        <v>-16</v>
      </c>
    </row>
    <row r="628" spans="1:12" ht="22.5">
      <c r="A628" s="76" t="s">
        <v>1609</v>
      </c>
      <c r="B628" s="76" t="s">
        <v>1610</v>
      </c>
      <c r="C628" s="76" t="s">
        <v>2244</v>
      </c>
      <c r="D628" s="76" t="s">
        <v>1961</v>
      </c>
      <c r="E628" s="77">
        <v>0.04</v>
      </c>
      <c r="F628" s="76" t="s">
        <v>67</v>
      </c>
      <c r="G628" s="76"/>
      <c r="H628" s="76" t="s">
        <v>282</v>
      </c>
      <c r="I628" s="78">
        <v>45983</v>
      </c>
      <c r="J628" s="78">
        <v>45974</v>
      </c>
      <c r="K628" s="77">
        <v>-7</v>
      </c>
      <c r="L628" s="77">
        <v>-16</v>
      </c>
    </row>
    <row r="629" spans="1:12" ht="22.5">
      <c r="A629" s="76" t="s">
        <v>1609</v>
      </c>
      <c r="B629" s="76" t="s">
        <v>1611</v>
      </c>
      <c r="C629" s="76" t="s">
        <v>2244</v>
      </c>
      <c r="D629" s="76" t="s">
        <v>1962</v>
      </c>
      <c r="E629" s="77">
        <v>0.04</v>
      </c>
      <c r="F629" s="76" t="s">
        <v>67</v>
      </c>
      <c r="G629" s="76"/>
      <c r="H629" s="76" t="s">
        <v>282</v>
      </c>
      <c r="I629" s="78">
        <v>45983</v>
      </c>
      <c r="J629" s="78">
        <v>45974</v>
      </c>
      <c r="K629" s="77">
        <v>-7</v>
      </c>
      <c r="L629" s="77">
        <v>-16</v>
      </c>
    </row>
    <row r="630" spans="1:12" ht="33.75">
      <c r="A630" s="76" t="s">
        <v>1612</v>
      </c>
      <c r="B630" s="76" t="s">
        <v>1613</v>
      </c>
      <c r="C630" s="76" t="s">
        <v>307</v>
      </c>
      <c r="D630" s="76" t="s">
        <v>1614</v>
      </c>
      <c r="E630" s="77">
        <v>210.38</v>
      </c>
      <c r="F630" s="76" t="s">
        <v>157</v>
      </c>
      <c r="G630" s="76"/>
      <c r="H630" s="76" t="s">
        <v>273</v>
      </c>
      <c r="I630" s="78">
        <v>45982</v>
      </c>
      <c r="J630" s="78">
        <v>45974</v>
      </c>
      <c r="K630" s="77">
        <v>-8</v>
      </c>
      <c r="L630" s="77">
        <v>-16</v>
      </c>
    </row>
    <row r="631" spans="1:12" ht="33.75">
      <c r="A631" s="76" t="s">
        <v>1615</v>
      </c>
      <c r="B631" s="76" t="s">
        <v>1616</v>
      </c>
      <c r="C631" s="76" t="s">
        <v>1617</v>
      </c>
      <c r="D631" s="76" t="s">
        <v>1618</v>
      </c>
      <c r="E631" s="77">
        <v>81.405000000000001</v>
      </c>
      <c r="F631" s="76" t="s">
        <v>894</v>
      </c>
      <c r="G631" s="76"/>
      <c r="H631" s="76" t="s">
        <v>1417</v>
      </c>
      <c r="I631" s="78">
        <v>45981</v>
      </c>
      <c r="J631" s="78">
        <v>45974</v>
      </c>
      <c r="K631" s="77">
        <v>-9</v>
      </c>
      <c r="L631" s="77">
        <v>-16</v>
      </c>
    </row>
    <row r="632" spans="1:12" ht="33.75">
      <c r="A632" s="76" t="s">
        <v>1615</v>
      </c>
      <c r="B632" s="76" t="s">
        <v>1619</v>
      </c>
      <c r="C632" s="76" t="s">
        <v>1617</v>
      </c>
      <c r="D632" s="76" t="s">
        <v>1620</v>
      </c>
      <c r="E632" s="77">
        <v>81.405000000000001</v>
      </c>
      <c r="F632" s="76" t="s">
        <v>894</v>
      </c>
      <c r="G632" s="76"/>
      <c r="H632" s="76" t="s">
        <v>1417</v>
      </c>
      <c r="I632" s="78">
        <v>45981</v>
      </c>
      <c r="J632" s="78">
        <v>45974</v>
      </c>
      <c r="K632" s="77">
        <v>-9</v>
      </c>
      <c r="L632" s="77">
        <v>-16</v>
      </c>
    </row>
    <row r="633" spans="1:12" ht="33.75">
      <c r="A633" s="76" t="s">
        <v>1615</v>
      </c>
      <c r="B633" s="76" t="s">
        <v>1621</v>
      </c>
      <c r="C633" s="76" t="s">
        <v>1617</v>
      </c>
      <c r="D633" s="76" t="s">
        <v>1622</v>
      </c>
      <c r="E633" s="77">
        <v>81.405000000000001</v>
      </c>
      <c r="F633" s="76" t="s">
        <v>894</v>
      </c>
      <c r="G633" s="76"/>
      <c r="H633" s="76" t="s">
        <v>1417</v>
      </c>
      <c r="I633" s="78">
        <v>45981</v>
      </c>
      <c r="J633" s="78">
        <v>45974</v>
      </c>
      <c r="K633" s="77">
        <v>-9</v>
      </c>
      <c r="L633" s="77">
        <v>-16</v>
      </c>
    </row>
    <row r="634" spans="1:12" ht="33.75">
      <c r="A634" s="76" t="s">
        <v>1615</v>
      </c>
      <c r="B634" s="76" t="s">
        <v>1623</v>
      </c>
      <c r="C634" s="76" t="s">
        <v>1617</v>
      </c>
      <c r="D634" s="76" t="s">
        <v>1624</v>
      </c>
      <c r="E634" s="77">
        <v>81.405000000000001</v>
      </c>
      <c r="F634" s="76" t="s">
        <v>894</v>
      </c>
      <c r="G634" s="76"/>
      <c r="H634" s="76" t="s">
        <v>1417</v>
      </c>
      <c r="I634" s="78">
        <v>45981</v>
      </c>
      <c r="J634" s="78">
        <v>45974</v>
      </c>
      <c r="K634" s="77">
        <v>-9</v>
      </c>
      <c r="L634" s="77">
        <v>-16</v>
      </c>
    </row>
    <row r="635" spans="1:12" ht="33.75">
      <c r="A635" s="76" t="s">
        <v>1615</v>
      </c>
      <c r="B635" s="76" t="s">
        <v>1625</v>
      </c>
      <c r="C635" s="76" t="s">
        <v>1617</v>
      </c>
      <c r="D635" s="76" t="s">
        <v>1626</v>
      </c>
      <c r="E635" s="77">
        <v>81.405000000000001</v>
      </c>
      <c r="F635" s="76" t="s">
        <v>894</v>
      </c>
      <c r="G635" s="76"/>
      <c r="H635" s="76" t="s">
        <v>1417</v>
      </c>
      <c r="I635" s="78">
        <v>45981</v>
      </c>
      <c r="J635" s="78">
        <v>45974</v>
      </c>
      <c r="K635" s="77">
        <v>-9</v>
      </c>
      <c r="L635" s="77">
        <v>-16</v>
      </c>
    </row>
    <row r="636" spans="1:12" ht="45">
      <c r="A636" s="76" t="s">
        <v>1627</v>
      </c>
      <c r="B636" s="76" t="s">
        <v>1322</v>
      </c>
      <c r="C636" s="76" t="s">
        <v>307</v>
      </c>
      <c r="D636" s="76" t="s">
        <v>1628</v>
      </c>
      <c r="E636" s="77">
        <v>209.72</v>
      </c>
      <c r="F636" s="76"/>
      <c r="G636" s="76" t="s">
        <v>187</v>
      </c>
      <c r="H636" s="76" t="s">
        <v>273</v>
      </c>
      <c r="I636" s="78">
        <v>45982</v>
      </c>
      <c r="J636" s="78">
        <v>45974</v>
      </c>
      <c r="K636" s="77">
        <v>-8</v>
      </c>
      <c r="L636" s="77">
        <v>-16</v>
      </c>
    </row>
    <row r="637" spans="1:12" ht="33.75">
      <c r="A637" s="76" t="s">
        <v>1410</v>
      </c>
      <c r="B637" s="76" t="s">
        <v>1629</v>
      </c>
      <c r="C637" s="76" t="s">
        <v>307</v>
      </c>
      <c r="D637" s="76" t="s">
        <v>1630</v>
      </c>
      <c r="E637" s="77">
        <v>117.16</v>
      </c>
      <c r="F637" s="76" t="s">
        <v>126</v>
      </c>
      <c r="G637" s="76"/>
      <c r="H637" s="76" t="s">
        <v>273</v>
      </c>
      <c r="I637" s="78">
        <v>45986</v>
      </c>
      <c r="J637" s="78">
        <v>45974</v>
      </c>
      <c r="K637" s="77">
        <v>-4</v>
      </c>
      <c r="L637" s="77">
        <v>-16</v>
      </c>
    </row>
    <row r="638" spans="1:12" ht="33.75">
      <c r="A638" s="76" t="s">
        <v>1410</v>
      </c>
      <c r="B638" s="76" t="s">
        <v>1406</v>
      </c>
      <c r="C638" s="76" t="s">
        <v>307</v>
      </c>
      <c r="D638" s="76" t="s">
        <v>1631</v>
      </c>
      <c r="E638" s="79"/>
      <c r="F638" s="76" t="s">
        <v>157</v>
      </c>
      <c r="G638" s="76"/>
      <c r="H638" s="76" t="s">
        <v>273</v>
      </c>
      <c r="I638" s="78">
        <v>45986</v>
      </c>
      <c r="J638" s="78">
        <v>45974</v>
      </c>
      <c r="K638" s="77">
        <v>-4</v>
      </c>
      <c r="L638" s="77">
        <v>-16</v>
      </c>
    </row>
    <row r="639" spans="1:12" ht="56.25">
      <c r="A639" s="76" t="s">
        <v>1438</v>
      </c>
      <c r="B639" s="76" t="s">
        <v>1632</v>
      </c>
      <c r="C639" s="76" t="s">
        <v>307</v>
      </c>
      <c r="D639" s="76" t="s">
        <v>1633</v>
      </c>
      <c r="E639" s="79"/>
      <c r="F639" s="76" t="s">
        <v>155</v>
      </c>
      <c r="G639" s="76"/>
      <c r="H639" s="76" t="s">
        <v>272</v>
      </c>
      <c r="I639" s="78">
        <v>45986</v>
      </c>
      <c r="J639" s="78">
        <v>45974</v>
      </c>
      <c r="K639" s="77">
        <v>-4</v>
      </c>
      <c r="L639" s="77">
        <v>-16</v>
      </c>
    </row>
    <row r="640" spans="1:12" ht="45">
      <c r="A640" s="76" t="s">
        <v>1634</v>
      </c>
      <c r="B640" s="76" t="s">
        <v>1635</v>
      </c>
      <c r="C640" s="76" t="s">
        <v>307</v>
      </c>
      <c r="D640" s="76" t="s">
        <v>1636</v>
      </c>
      <c r="E640" s="77">
        <v>87.43</v>
      </c>
      <c r="F640" s="76"/>
      <c r="G640" s="76" t="s">
        <v>221</v>
      </c>
      <c r="H640" s="76" t="s">
        <v>272</v>
      </c>
      <c r="I640" s="78">
        <v>45984</v>
      </c>
      <c r="J640" s="78">
        <v>45974</v>
      </c>
      <c r="K640" s="77">
        <v>-6</v>
      </c>
      <c r="L640" s="77">
        <v>-16</v>
      </c>
    </row>
    <row r="641" spans="1:12" ht="45">
      <c r="A641" s="76" t="s">
        <v>1634</v>
      </c>
      <c r="B641" s="76" t="s">
        <v>1637</v>
      </c>
      <c r="C641" s="76" t="s">
        <v>307</v>
      </c>
      <c r="D641" s="76" t="s">
        <v>1638</v>
      </c>
      <c r="E641" s="77">
        <v>3.36</v>
      </c>
      <c r="F641" s="76"/>
      <c r="G641" s="76" t="s">
        <v>221</v>
      </c>
      <c r="H641" s="76" t="s">
        <v>272</v>
      </c>
      <c r="I641" s="78">
        <v>45984</v>
      </c>
      <c r="J641" s="78">
        <v>45974</v>
      </c>
      <c r="K641" s="77">
        <v>-6</v>
      </c>
      <c r="L641" s="77">
        <v>-16</v>
      </c>
    </row>
    <row r="642" spans="1:12" ht="45">
      <c r="A642" s="76" t="s">
        <v>1634</v>
      </c>
      <c r="B642" s="76" t="s">
        <v>1435</v>
      </c>
      <c r="C642" s="76" t="s">
        <v>307</v>
      </c>
      <c r="D642" s="76" t="s">
        <v>1639</v>
      </c>
      <c r="E642" s="77">
        <v>167.49</v>
      </c>
      <c r="F642" s="76"/>
      <c r="G642" s="76" t="s">
        <v>221</v>
      </c>
      <c r="H642" s="76" t="s">
        <v>272</v>
      </c>
      <c r="I642" s="78">
        <v>45984</v>
      </c>
      <c r="J642" s="78">
        <v>45974</v>
      </c>
      <c r="K642" s="77">
        <v>-6</v>
      </c>
      <c r="L642" s="77">
        <v>-16</v>
      </c>
    </row>
    <row r="643" spans="1:12" ht="45">
      <c r="A643" s="76" t="s">
        <v>1634</v>
      </c>
      <c r="B643" s="76" t="s">
        <v>1640</v>
      </c>
      <c r="C643" s="76" t="s">
        <v>307</v>
      </c>
      <c r="D643" s="76" t="s">
        <v>1641</v>
      </c>
      <c r="E643" s="77">
        <v>2.7</v>
      </c>
      <c r="F643" s="76"/>
      <c r="G643" s="76" t="s">
        <v>221</v>
      </c>
      <c r="H643" s="76" t="s">
        <v>272</v>
      </c>
      <c r="I643" s="78">
        <v>45984</v>
      </c>
      <c r="J643" s="78">
        <v>45974</v>
      </c>
      <c r="K643" s="77">
        <v>-6</v>
      </c>
      <c r="L643" s="77">
        <v>-16</v>
      </c>
    </row>
    <row r="644" spans="1:12" ht="56.25">
      <c r="A644" s="76" t="s">
        <v>1642</v>
      </c>
      <c r="B644" s="76" t="s">
        <v>1643</v>
      </c>
      <c r="C644" s="76" t="s">
        <v>307</v>
      </c>
      <c r="D644" s="76" t="s">
        <v>1644</v>
      </c>
      <c r="E644" s="79"/>
      <c r="F644" s="76" t="s">
        <v>155</v>
      </c>
      <c r="G644" s="76"/>
      <c r="H644" s="76" t="s">
        <v>282</v>
      </c>
      <c r="I644" s="78">
        <v>45984</v>
      </c>
      <c r="J644" s="78">
        <v>45974</v>
      </c>
      <c r="K644" s="77">
        <v>-6</v>
      </c>
      <c r="L644" s="77">
        <v>-16</v>
      </c>
    </row>
    <row r="645" spans="1:12" ht="56.25">
      <c r="A645" s="76" t="s">
        <v>1642</v>
      </c>
      <c r="B645" s="76" t="s">
        <v>1645</v>
      </c>
      <c r="C645" s="76" t="s">
        <v>307</v>
      </c>
      <c r="D645" s="76" t="s">
        <v>1646</v>
      </c>
      <c r="E645" s="79"/>
      <c r="F645" s="76" t="s">
        <v>155</v>
      </c>
      <c r="G645" s="76"/>
      <c r="H645" s="76" t="s">
        <v>282</v>
      </c>
      <c r="I645" s="78">
        <v>45984</v>
      </c>
      <c r="J645" s="78">
        <v>45974</v>
      </c>
      <c r="K645" s="77">
        <v>-6</v>
      </c>
      <c r="L645" s="77">
        <v>-16</v>
      </c>
    </row>
    <row r="646" spans="1:12" ht="33.75">
      <c r="A646" s="76" t="s">
        <v>1741</v>
      </c>
      <c r="B646" s="76" t="s">
        <v>1742</v>
      </c>
      <c r="C646" s="76" t="s">
        <v>1743</v>
      </c>
      <c r="D646" s="76" t="s">
        <v>1744</v>
      </c>
      <c r="E646" s="77">
        <v>900.29</v>
      </c>
      <c r="F646" s="76" t="s">
        <v>1168</v>
      </c>
      <c r="G646" s="76"/>
      <c r="H646" s="76" t="s">
        <v>272</v>
      </c>
      <c r="I646" s="78">
        <v>45974</v>
      </c>
      <c r="J646" s="78">
        <v>45974</v>
      </c>
      <c r="K646" s="77">
        <v>-16</v>
      </c>
      <c r="L646" s="77">
        <v>-16</v>
      </c>
    </row>
    <row r="647" spans="1:12" ht="22.5">
      <c r="A647" s="76" t="s">
        <v>1786</v>
      </c>
      <c r="B647" s="76" t="s">
        <v>1787</v>
      </c>
      <c r="C647" s="76" t="s">
        <v>1788</v>
      </c>
      <c r="D647" s="76" t="s">
        <v>1789</v>
      </c>
      <c r="E647" s="77">
        <v>2496.65</v>
      </c>
      <c r="F647" s="76" t="s">
        <v>63</v>
      </c>
      <c r="G647" s="76"/>
      <c r="H647" s="76" t="s">
        <v>273</v>
      </c>
      <c r="I647" s="78">
        <v>45986</v>
      </c>
      <c r="J647" s="78">
        <v>45975</v>
      </c>
      <c r="K647" s="77">
        <v>-4</v>
      </c>
      <c r="L647" s="77">
        <v>-15</v>
      </c>
    </row>
    <row r="648" spans="1:12" ht="22.5">
      <c r="A648" s="76" t="s">
        <v>1786</v>
      </c>
      <c r="B648" s="76" t="s">
        <v>1790</v>
      </c>
      <c r="C648" s="76" t="s">
        <v>1788</v>
      </c>
      <c r="D648" s="76" t="s">
        <v>1791</v>
      </c>
      <c r="E648" s="77">
        <v>2496.65</v>
      </c>
      <c r="F648" s="76" t="s">
        <v>63</v>
      </c>
      <c r="G648" s="76"/>
      <c r="H648" s="76" t="s">
        <v>273</v>
      </c>
      <c r="I648" s="78">
        <v>45986</v>
      </c>
      <c r="J648" s="78">
        <v>45975</v>
      </c>
      <c r="K648" s="77">
        <v>-4</v>
      </c>
      <c r="L648" s="77">
        <v>-15</v>
      </c>
    </row>
    <row r="649" spans="1:12" ht="22.5">
      <c r="A649" s="76" t="s">
        <v>1786</v>
      </c>
      <c r="B649" s="76" t="s">
        <v>1792</v>
      </c>
      <c r="C649" s="76" t="s">
        <v>1788</v>
      </c>
      <c r="D649" s="76" t="s">
        <v>1793</v>
      </c>
      <c r="E649" s="77">
        <v>2496.65</v>
      </c>
      <c r="F649" s="76" t="s">
        <v>63</v>
      </c>
      <c r="G649" s="76"/>
      <c r="H649" s="76" t="s">
        <v>273</v>
      </c>
      <c r="I649" s="78">
        <v>45986</v>
      </c>
      <c r="J649" s="78">
        <v>45975</v>
      </c>
      <c r="K649" s="77">
        <v>-4</v>
      </c>
      <c r="L649" s="77">
        <v>-15</v>
      </c>
    </row>
    <row r="650" spans="1:12" ht="22.5">
      <c r="A650" s="76" t="s">
        <v>1786</v>
      </c>
      <c r="B650" s="76" t="s">
        <v>1794</v>
      </c>
      <c r="C650" s="76" t="s">
        <v>1788</v>
      </c>
      <c r="D650" s="76" t="s">
        <v>1795</v>
      </c>
      <c r="E650" s="77">
        <v>2496.65</v>
      </c>
      <c r="F650" s="76" t="s">
        <v>63</v>
      </c>
      <c r="G650" s="76"/>
      <c r="H650" s="76" t="s">
        <v>273</v>
      </c>
      <c r="I650" s="78">
        <v>45986</v>
      </c>
      <c r="J650" s="78">
        <v>45975</v>
      </c>
      <c r="K650" s="77">
        <v>-4</v>
      </c>
      <c r="L650" s="77">
        <v>-15</v>
      </c>
    </row>
    <row r="651" spans="1:12" ht="22.5">
      <c r="A651" s="76" t="s">
        <v>1786</v>
      </c>
      <c r="B651" s="76" t="s">
        <v>1796</v>
      </c>
      <c r="C651" s="76" t="s">
        <v>1788</v>
      </c>
      <c r="D651" s="76" t="s">
        <v>1797</v>
      </c>
      <c r="E651" s="77">
        <v>2496.65</v>
      </c>
      <c r="F651" s="76" t="s">
        <v>63</v>
      </c>
      <c r="G651" s="76"/>
      <c r="H651" s="76" t="s">
        <v>273</v>
      </c>
      <c r="I651" s="78">
        <v>45986</v>
      </c>
      <c r="J651" s="78">
        <v>45975</v>
      </c>
      <c r="K651" s="77">
        <v>-4</v>
      </c>
      <c r="L651" s="77">
        <v>-15</v>
      </c>
    </row>
    <row r="652" spans="1:12" ht="22.5">
      <c r="A652" s="76" t="s">
        <v>1786</v>
      </c>
      <c r="B652" s="76" t="s">
        <v>1798</v>
      </c>
      <c r="C652" s="76" t="s">
        <v>1788</v>
      </c>
      <c r="D652" s="76" t="s">
        <v>1799</v>
      </c>
      <c r="E652" s="77">
        <v>2496.65</v>
      </c>
      <c r="F652" s="76" t="s">
        <v>63</v>
      </c>
      <c r="G652" s="76"/>
      <c r="H652" s="76" t="s">
        <v>273</v>
      </c>
      <c r="I652" s="78">
        <v>45986</v>
      </c>
      <c r="J652" s="78">
        <v>45975</v>
      </c>
      <c r="K652" s="77">
        <v>-4</v>
      </c>
      <c r="L652" s="77">
        <v>-15</v>
      </c>
    </row>
    <row r="653" spans="1:12" ht="22.5">
      <c r="A653" s="76" t="s">
        <v>1786</v>
      </c>
      <c r="B653" s="76" t="s">
        <v>1800</v>
      </c>
      <c r="C653" s="76" t="s">
        <v>1788</v>
      </c>
      <c r="D653" s="76" t="s">
        <v>1801</v>
      </c>
      <c r="E653" s="77">
        <v>2496.65</v>
      </c>
      <c r="F653" s="76" t="s">
        <v>63</v>
      </c>
      <c r="G653" s="76"/>
      <c r="H653" s="76" t="s">
        <v>273</v>
      </c>
      <c r="I653" s="78">
        <v>45986</v>
      </c>
      <c r="J653" s="78">
        <v>45975</v>
      </c>
      <c r="K653" s="77">
        <v>-4</v>
      </c>
      <c r="L653" s="77">
        <v>-15</v>
      </c>
    </row>
    <row r="654" spans="1:12" ht="22.5">
      <c r="A654" s="76" t="s">
        <v>1786</v>
      </c>
      <c r="B654" s="76" t="s">
        <v>1802</v>
      </c>
      <c r="C654" s="76" t="s">
        <v>1788</v>
      </c>
      <c r="D654" s="76" t="s">
        <v>1803</v>
      </c>
      <c r="E654" s="77">
        <v>2496.65</v>
      </c>
      <c r="F654" s="76" t="s">
        <v>63</v>
      </c>
      <c r="G654" s="76"/>
      <c r="H654" s="76" t="s">
        <v>273</v>
      </c>
      <c r="I654" s="78">
        <v>45986</v>
      </c>
      <c r="J654" s="78">
        <v>45975</v>
      </c>
      <c r="K654" s="77">
        <v>-4</v>
      </c>
      <c r="L654" s="77">
        <v>-15</v>
      </c>
    </row>
    <row r="655" spans="1:12" ht="22.5">
      <c r="A655" s="76" t="s">
        <v>1786</v>
      </c>
      <c r="B655" s="76" t="s">
        <v>1804</v>
      </c>
      <c r="C655" s="76" t="s">
        <v>1788</v>
      </c>
      <c r="D655" s="76" t="s">
        <v>1805</v>
      </c>
      <c r="E655" s="77">
        <v>2496.65</v>
      </c>
      <c r="F655" s="76" t="s">
        <v>63</v>
      </c>
      <c r="G655" s="76"/>
      <c r="H655" s="76" t="s">
        <v>273</v>
      </c>
      <c r="I655" s="78">
        <v>45986</v>
      </c>
      <c r="J655" s="78">
        <v>45975</v>
      </c>
      <c r="K655" s="77">
        <v>-4</v>
      </c>
      <c r="L655" s="77">
        <v>-15</v>
      </c>
    </row>
    <row r="656" spans="1:12" ht="22.5">
      <c r="A656" s="76" t="s">
        <v>1786</v>
      </c>
      <c r="B656" s="76" t="s">
        <v>1806</v>
      </c>
      <c r="C656" s="76" t="s">
        <v>1788</v>
      </c>
      <c r="D656" s="76" t="s">
        <v>1807</v>
      </c>
      <c r="E656" s="77">
        <v>2496.65</v>
      </c>
      <c r="F656" s="76" t="s">
        <v>63</v>
      </c>
      <c r="G656" s="76"/>
      <c r="H656" s="76" t="s">
        <v>273</v>
      </c>
      <c r="I656" s="78">
        <v>45986</v>
      </c>
      <c r="J656" s="78">
        <v>45975</v>
      </c>
      <c r="K656" s="77">
        <v>-4</v>
      </c>
      <c r="L656" s="77">
        <v>-15</v>
      </c>
    </row>
    <row r="657" spans="1:12" ht="22.5">
      <c r="A657" s="76" t="s">
        <v>1786</v>
      </c>
      <c r="B657" s="76" t="s">
        <v>1808</v>
      </c>
      <c r="C657" s="76" t="s">
        <v>1788</v>
      </c>
      <c r="D657" s="76" t="s">
        <v>1809</v>
      </c>
      <c r="E657" s="77">
        <v>2496.65</v>
      </c>
      <c r="F657" s="76" t="s">
        <v>63</v>
      </c>
      <c r="G657" s="76"/>
      <c r="H657" s="76" t="s">
        <v>273</v>
      </c>
      <c r="I657" s="78">
        <v>45986</v>
      </c>
      <c r="J657" s="78">
        <v>45975</v>
      </c>
      <c r="K657" s="77">
        <v>-4</v>
      </c>
      <c r="L657" s="77">
        <v>-15</v>
      </c>
    </row>
    <row r="658" spans="1:12" ht="22.5">
      <c r="A658" s="76" t="s">
        <v>1786</v>
      </c>
      <c r="B658" s="76" t="s">
        <v>1810</v>
      </c>
      <c r="C658" s="76" t="s">
        <v>1788</v>
      </c>
      <c r="D658" s="76" t="s">
        <v>1811</v>
      </c>
      <c r="E658" s="77">
        <v>2496.65</v>
      </c>
      <c r="F658" s="76" t="s">
        <v>63</v>
      </c>
      <c r="G658" s="76"/>
      <c r="H658" s="76" t="s">
        <v>273</v>
      </c>
      <c r="I658" s="78">
        <v>45986</v>
      </c>
      <c r="J658" s="78">
        <v>45975</v>
      </c>
      <c r="K658" s="77">
        <v>-4</v>
      </c>
      <c r="L658" s="77">
        <v>-15</v>
      </c>
    </row>
    <row r="659" spans="1:12" ht="22.5">
      <c r="A659" s="76" t="s">
        <v>1786</v>
      </c>
      <c r="B659" s="76" t="s">
        <v>1812</v>
      </c>
      <c r="C659" s="76" t="s">
        <v>1788</v>
      </c>
      <c r="D659" s="76" t="s">
        <v>1813</v>
      </c>
      <c r="E659" s="77">
        <v>2496.65</v>
      </c>
      <c r="F659" s="76" t="s">
        <v>63</v>
      </c>
      <c r="G659" s="76"/>
      <c r="H659" s="76" t="s">
        <v>273</v>
      </c>
      <c r="I659" s="78">
        <v>45986</v>
      </c>
      <c r="J659" s="78">
        <v>45975</v>
      </c>
      <c r="K659" s="77">
        <v>-4</v>
      </c>
      <c r="L659" s="77">
        <v>-15</v>
      </c>
    </row>
    <row r="660" spans="1:12" ht="22.5">
      <c r="A660" s="76" t="s">
        <v>1786</v>
      </c>
      <c r="B660" s="76" t="s">
        <v>1814</v>
      </c>
      <c r="C660" s="76" t="s">
        <v>1788</v>
      </c>
      <c r="D660" s="76" t="s">
        <v>1815</v>
      </c>
      <c r="E660" s="77">
        <v>2496.65</v>
      </c>
      <c r="F660" s="76" t="s">
        <v>63</v>
      </c>
      <c r="G660" s="76"/>
      <c r="H660" s="76" t="s">
        <v>273</v>
      </c>
      <c r="I660" s="78">
        <v>45986</v>
      </c>
      <c r="J660" s="78">
        <v>45975</v>
      </c>
      <c r="K660" s="77">
        <v>-4</v>
      </c>
      <c r="L660" s="77">
        <v>-15</v>
      </c>
    </row>
    <row r="661" spans="1:12" ht="22.5">
      <c r="A661" s="76" t="s">
        <v>1786</v>
      </c>
      <c r="B661" s="76" t="s">
        <v>1816</v>
      </c>
      <c r="C661" s="76" t="s">
        <v>1788</v>
      </c>
      <c r="D661" s="76" t="s">
        <v>1817</v>
      </c>
      <c r="E661" s="77">
        <v>2496.65</v>
      </c>
      <c r="F661" s="76" t="s">
        <v>63</v>
      </c>
      <c r="G661" s="76"/>
      <c r="H661" s="76" t="s">
        <v>273</v>
      </c>
      <c r="I661" s="78">
        <v>45986</v>
      </c>
      <c r="J661" s="78">
        <v>45975</v>
      </c>
      <c r="K661" s="77">
        <v>-4</v>
      </c>
      <c r="L661" s="77">
        <v>-15</v>
      </c>
    </row>
    <row r="662" spans="1:12" ht="22.5">
      <c r="A662" s="76" t="s">
        <v>1786</v>
      </c>
      <c r="B662" s="76" t="s">
        <v>1818</v>
      </c>
      <c r="C662" s="76" t="s">
        <v>1788</v>
      </c>
      <c r="D662" s="76" t="s">
        <v>1819</v>
      </c>
      <c r="E662" s="77">
        <v>2496.65</v>
      </c>
      <c r="F662" s="76" t="s">
        <v>63</v>
      </c>
      <c r="G662" s="76"/>
      <c r="H662" s="76" t="s">
        <v>273</v>
      </c>
      <c r="I662" s="78">
        <v>45986</v>
      </c>
      <c r="J662" s="78">
        <v>45975</v>
      </c>
      <c r="K662" s="77">
        <v>-4</v>
      </c>
      <c r="L662" s="77">
        <v>-15</v>
      </c>
    </row>
    <row r="663" spans="1:12" ht="22.5">
      <c r="A663" s="76" t="s">
        <v>1786</v>
      </c>
      <c r="B663" s="76" t="s">
        <v>1820</v>
      </c>
      <c r="C663" s="76" t="s">
        <v>1788</v>
      </c>
      <c r="D663" s="76" t="s">
        <v>1821</v>
      </c>
      <c r="E663" s="77">
        <v>2496.65</v>
      </c>
      <c r="F663" s="76" t="s">
        <v>63</v>
      </c>
      <c r="G663" s="76"/>
      <c r="H663" s="76" t="s">
        <v>273</v>
      </c>
      <c r="I663" s="78">
        <v>45986</v>
      </c>
      <c r="J663" s="78">
        <v>45975</v>
      </c>
      <c r="K663" s="77">
        <v>-4</v>
      </c>
      <c r="L663" s="77">
        <v>-15</v>
      </c>
    </row>
    <row r="664" spans="1:12" ht="22.5">
      <c r="A664" s="76" t="s">
        <v>1786</v>
      </c>
      <c r="B664" s="76" t="s">
        <v>1822</v>
      </c>
      <c r="C664" s="76" t="s">
        <v>1788</v>
      </c>
      <c r="D664" s="76" t="s">
        <v>1823</v>
      </c>
      <c r="E664" s="77">
        <v>2496.65</v>
      </c>
      <c r="F664" s="76" t="s">
        <v>63</v>
      </c>
      <c r="G664" s="76"/>
      <c r="H664" s="76" t="s">
        <v>273</v>
      </c>
      <c r="I664" s="78">
        <v>45986</v>
      </c>
      <c r="J664" s="78">
        <v>45975</v>
      </c>
      <c r="K664" s="77">
        <v>-4</v>
      </c>
      <c r="L664" s="77">
        <v>-15</v>
      </c>
    </row>
    <row r="665" spans="1:12" ht="22.5">
      <c r="A665" s="76" t="s">
        <v>1786</v>
      </c>
      <c r="B665" s="76" t="s">
        <v>1824</v>
      </c>
      <c r="C665" s="76" t="s">
        <v>1788</v>
      </c>
      <c r="D665" s="76" t="s">
        <v>1825</v>
      </c>
      <c r="E665" s="77">
        <v>2496.65</v>
      </c>
      <c r="F665" s="76" t="s">
        <v>63</v>
      </c>
      <c r="G665" s="76"/>
      <c r="H665" s="76" t="s">
        <v>273</v>
      </c>
      <c r="I665" s="78">
        <v>45986</v>
      </c>
      <c r="J665" s="78">
        <v>45975</v>
      </c>
      <c r="K665" s="77">
        <v>-4</v>
      </c>
      <c r="L665" s="77">
        <v>-15</v>
      </c>
    </row>
    <row r="666" spans="1:12" ht="45">
      <c r="A666" s="76" t="s">
        <v>1826</v>
      </c>
      <c r="B666" s="76" t="s">
        <v>1827</v>
      </c>
      <c r="C666" s="76" t="s">
        <v>307</v>
      </c>
      <c r="D666" s="76" t="s">
        <v>1828</v>
      </c>
      <c r="E666" s="77">
        <v>19.82</v>
      </c>
      <c r="F666" s="76"/>
      <c r="G666" s="76" t="s">
        <v>221</v>
      </c>
      <c r="H666" s="76" t="s">
        <v>272</v>
      </c>
      <c r="I666" s="78">
        <v>45986</v>
      </c>
      <c r="J666" s="78">
        <v>45975</v>
      </c>
      <c r="K666" s="77">
        <v>-4</v>
      </c>
      <c r="L666" s="77">
        <v>-15</v>
      </c>
    </row>
    <row r="667" spans="1:12" ht="56.25">
      <c r="A667" s="76" t="s">
        <v>1829</v>
      </c>
      <c r="B667" s="76" t="s">
        <v>1830</v>
      </c>
      <c r="C667" s="76" t="s">
        <v>307</v>
      </c>
      <c r="D667" s="76" t="s">
        <v>1831</v>
      </c>
      <c r="E667" s="79"/>
      <c r="F667" s="76" t="s">
        <v>155</v>
      </c>
      <c r="G667" s="76"/>
      <c r="H667" s="76" t="s">
        <v>272</v>
      </c>
      <c r="I667" s="78">
        <v>45982</v>
      </c>
      <c r="J667" s="78">
        <v>45975</v>
      </c>
      <c r="K667" s="77">
        <v>-8</v>
      </c>
      <c r="L667" s="77">
        <v>-15</v>
      </c>
    </row>
    <row r="668" spans="1:12" ht="33.75">
      <c r="A668" s="76" t="s">
        <v>1833</v>
      </c>
      <c r="B668" s="76" t="s">
        <v>1834</v>
      </c>
      <c r="C668" s="76" t="s">
        <v>307</v>
      </c>
      <c r="D668" s="76" t="s">
        <v>1835</v>
      </c>
      <c r="E668" s="79"/>
      <c r="F668" s="76" t="s">
        <v>157</v>
      </c>
      <c r="G668" s="76"/>
      <c r="H668" s="76" t="s">
        <v>273</v>
      </c>
      <c r="I668" s="78">
        <v>45983</v>
      </c>
      <c r="J668" s="78">
        <v>45975</v>
      </c>
      <c r="K668" s="77">
        <v>-7</v>
      </c>
      <c r="L668" s="77">
        <v>-15</v>
      </c>
    </row>
    <row r="669" spans="1:12" ht="33.75">
      <c r="A669" s="76" t="s">
        <v>1836</v>
      </c>
      <c r="B669" s="76" t="s">
        <v>1837</v>
      </c>
      <c r="C669" s="76" t="s">
        <v>307</v>
      </c>
      <c r="D669" s="76" t="s">
        <v>1838</v>
      </c>
      <c r="E669" s="77">
        <v>1.01</v>
      </c>
      <c r="F669" s="76" t="s">
        <v>155</v>
      </c>
      <c r="G669" s="76"/>
      <c r="H669" s="76" t="s">
        <v>272</v>
      </c>
      <c r="I669" s="78">
        <v>45986</v>
      </c>
      <c r="J669" s="78">
        <v>45975</v>
      </c>
      <c r="K669" s="77">
        <v>-4</v>
      </c>
      <c r="L669" s="77">
        <v>-15</v>
      </c>
    </row>
    <row r="670" spans="1:12" ht="33.75">
      <c r="A670" s="76" t="s">
        <v>1836</v>
      </c>
      <c r="B670" s="76" t="s">
        <v>1837</v>
      </c>
      <c r="C670" s="76" t="s">
        <v>307</v>
      </c>
      <c r="D670" s="76" t="s">
        <v>1839</v>
      </c>
      <c r="E670" s="77">
        <v>1.5</v>
      </c>
      <c r="F670" s="76" t="s">
        <v>155</v>
      </c>
      <c r="G670" s="76"/>
      <c r="H670" s="76" t="s">
        <v>272</v>
      </c>
      <c r="I670" s="78">
        <v>45986</v>
      </c>
      <c r="J670" s="78">
        <v>45975</v>
      </c>
      <c r="K670" s="77">
        <v>-4</v>
      </c>
      <c r="L670" s="77">
        <v>-15</v>
      </c>
    </row>
    <row r="671" spans="1:12" ht="33.75">
      <c r="A671" s="76" t="s">
        <v>1836</v>
      </c>
      <c r="B671" s="76" t="s">
        <v>1837</v>
      </c>
      <c r="C671" s="76" t="s">
        <v>307</v>
      </c>
      <c r="D671" s="76" t="s">
        <v>1840</v>
      </c>
      <c r="E671" s="77">
        <v>1.92</v>
      </c>
      <c r="F671" s="76" t="s">
        <v>155</v>
      </c>
      <c r="G671" s="76"/>
      <c r="H671" s="76" t="s">
        <v>272</v>
      </c>
      <c r="I671" s="78">
        <v>45986</v>
      </c>
      <c r="J671" s="78">
        <v>45975</v>
      </c>
      <c r="K671" s="77">
        <v>-4</v>
      </c>
      <c r="L671" s="77">
        <v>-15</v>
      </c>
    </row>
    <row r="672" spans="1:12" ht="33.75">
      <c r="A672" s="76" t="s">
        <v>1841</v>
      </c>
      <c r="B672" s="76" t="s">
        <v>1842</v>
      </c>
      <c r="C672" s="76" t="s">
        <v>307</v>
      </c>
      <c r="D672" s="76" t="s">
        <v>1843</v>
      </c>
      <c r="E672" s="77">
        <v>20</v>
      </c>
      <c r="F672" s="76" t="s">
        <v>155</v>
      </c>
      <c r="G672" s="76"/>
      <c r="H672" s="76" t="s">
        <v>272</v>
      </c>
      <c r="I672" s="78">
        <v>45986</v>
      </c>
      <c r="J672" s="78">
        <v>45975</v>
      </c>
      <c r="K672" s="77">
        <v>-4</v>
      </c>
      <c r="L672" s="77">
        <v>-15</v>
      </c>
    </row>
    <row r="673" spans="1:12" ht="33.75">
      <c r="A673" s="76" t="s">
        <v>1841</v>
      </c>
      <c r="B673" s="76" t="s">
        <v>1842</v>
      </c>
      <c r="C673" s="76" t="s">
        <v>307</v>
      </c>
      <c r="D673" s="76" t="s">
        <v>1844</v>
      </c>
      <c r="E673" s="77">
        <v>18.829999999999998</v>
      </c>
      <c r="F673" s="76" t="s">
        <v>155</v>
      </c>
      <c r="G673" s="76"/>
      <c r="H673" s="76" t="s">
        <v>272</v>
      </c>
      <c r="I673" s="78">
        <v>45986</v>
      </c>
      <c r="J673" s="78">
        <v>45975</v>
      </c>
      <c r="K673" s="77">
        <v>-4</v>
      </c>
      <c r="L673" s="77">
        <v>-15</v>
      </c>
    </row>
    <row r="674" spans="1:12" ht="22.5">
      <c r="A674" s="76" t="s">
        <v>1786</v>
      </c>
      <c r="B674" s="76" t="s">
        <v>1845</v>
      </c>
      <c r="C674" s="76" t="s">
        <v>1788</v>
      </c>
      <c r="D674" s="76" t="s">
        <v>1846</v>
      </c>
      <c r="E674" s="77">
        <v>2496.65</v>
      </c>
      <c r="F674" s="76" t="s">
        <v>63</v>
      </c>
      <c r="G674" s="76"/>
      <c r="H674" s="76" t="s">
        <v>273</v>
      </c>
      <c r="I674" s="78">
        <v>45986</v>
      </c>
      <c r="J674" s="78">
        <v>45975</v>
      </c>
      <c r="K674" s="77">
        <v>-4</v>
      </c>
      <c r="L674" s="77">
        <v>-15</v>
      </c>
    </row>
    <row r="675" spans="1:12" ht="22.5">
      <c r="A675" s="76" t="s">
        <v>1786</v>
      </c>
      <c r="B675" s="76" t="s">
        <v>1847</v>
      </c>
      <c r="C675" s="76" t="s">
        <v>1788</v>
      </c>
      <c r="D675" s="76" t="s">
        <v>1848</v>
      </c>
      <c r="E675" s="77">
        <v>2496.65</v>
      </c>
      <c r="F675" s="76" t="s">
        <v>63</v>
      </c>
      <c r="G675" s="76"/>
      <c r="H675" s="76" t="s">
        <v>273</v>
      </c>
      <c r="I675" s="78">
        <v>45986</v>
      </c>
      <c r="J675" s="78">
        <v>45975</v>
      </c>
      <c r="K675" s="77">
        <v>-4</v>
      </c>
      <c r="L675" s="77">
        <v>-15</v>
      </c>
    </row>
    <row r="676" spans="1:12" ht="22.5">
      <c r="A676" s="76" t="s">
        <v>1786</v>
      </c>
      <c r="B676" s="76" t="s">
        <v>1849</v>
      </c>
      <c r="C676" s="76" t="s">
        <v>1788</v>
      </c>
      <c r="D676" s="76" t="s">
        <v>1850</v>
      </c>
      <c r="E676" s="77">
        <v>2496.65</v>
      </c>
      <c r="F676" s="76" t="s">
        <v>63</v>
      </c>
      <c r="G676" s="76"/>
      <c r="H676" s="76" t="s">
        <v>273</v>
      </c>
      <c r="I676" s="78">
        <v>45986</v>
      </c>
      <c r="J676" s="78">
        <v>45975</v>
      </c>
      <c r="K676" s="77">
        <v>-4</v>
      </c>
      <c r="L676" s="77">
        <v>-15</v>
      </c>
    </row>
    <row r="677" spans="1:12" ht="22.5">
      <c r="A677" s="76" t="s">
        <v>1786</v>
      </c>
      <c r="B677" s="76" t="s">
        <v>1851</v>
      </c>
      <c r="C677" s="76" t="s">
        <v>1788</v>
      </c>
      <c r="D677" s="76" t="s">
        <v>1852</v>
      </c>
      <c r="E677" s="77">
        <v>2496.65</v>
      </c>
      <c r="F677" s="76" t="s">
        <v>63</v>
      </c>
      <c r="G677" s="76"/>
      <c r="H677" s="76" t="s">
        <v>273</v>
      </c>
      <c r="I677" s="78">
        <v>45986</v>
      </c>
      <c r="J677" s="78">
        <v>45975</v>
      </c>
      <c r="K677" s="77">
        <v>-4</v>
      </c>
      <c r="L677" s="77">
        <v>-15</v>
      </c>
    </row>
    <row r="678" spans="1:12" ht="22.5">
      <c r="A678" s="76" t="s">
        <v>1853</v>
      </c>
      <c r="B678" s="76" t="s">
        <v>1166</v>
      </c>
      <c r="C678" s="76" t="s">
        <v>307</v>
      </c>
      <c r="D678" s="76" t="s">
        <v>1854</v>
      </c>
      <c r="E678" s="77">
        <v>41.25</v>
      </c>
      <c r="F678" s="76" t="s">
        <v>60</v>
      </c>
      <c r="G678" s="76"/>
      <c r="H678" s="76" t="s">
        <v>273</v>
      </c>
      <c r="I678" s="78">
        <v>45976</v>
      </c>
      <c r="J678" s="78">
        <v>45975</v>
      </c>
      <c r="K678" s="77">
        <v>-14</v>
      </c>
      <c r="L678" s="77">
        <v>-15</v>
      </c>
    </row>
    <row r="679" spans="1:12" ht="33.75">
      <c r="A679" s="76" t="s">
        <v>1855</v>
      </c>
      <c r="B679" s="76" t="s">
        <v>1856</v>
      </c>
      <c r="C679" s="76" t="s">
        <v>307</v>
      </c>
      <c r="D679" s="76" t="s">
        <v>1857</v>
      </c>
      <c r="E679" s="79"/>
      <c r="F679" s="76" t="s">
        <v>155</v>
      </c>
      <c r="G679" s="76"/>
      <c r="H679" s="76" t="s">
        <v>272</v>
      </c>
      <c r="I679" s="78">
        <v>45986</v>
      </c>
      <c r="J679" s="78">
        <v>45975</v>
      </c>
      <c r="K679" s="77">
        <v>-4</v>
      </c>
      <c r="L679" s="77">
        <v>-15</v>
      </c>
    </row>
    <row r="680" spans="1:12" ht="45">
      <c r="A680" s="76" t="s">
        <v>1858</v>
      </c>
      <c r="B680" s="76" t="s">
        <v>1859</v>
      </c>
      <c r="C680" s="76" t="s">
        <v>307</v>
      </c>
      <c r="D680" s="76" t="s">
        <v>1860</v>
      </c>
      <c r="E680" s="77">
        <v>52.89</v>
      </c>
      <c r="F680" s="76"/>
      <c r="G680" s="76" t="s">
        <v>222</v>
      </c>
      <c r="H680" s="76" t="s">
        <v>273</v>
      </c>
      <c r="I680" s="78">
        <v>45982</v>
      </c>
      <c r="J680" s="78">
        <v>45975</v>
      </c>
      <c r="K680" s="77">
        <v>-8</v>
      </c>
      <c r="L680" s="77">
        <v>-15</v>
      </c>
    </row>
    <row r="681" spans="1:12" ht="45">
      <c r="A681" s="76" t="s">
        <v>1858</v>
      </c>
      <c r="B681" s="76" t="s">
        <v>1861</v>
      </c>
      <c r="C681" s="76" t="s">
        <v>307</v>
      </c>
      <c r="D681" s="76" t="s">
        <v>1862</v>
      </c>
      <c r="E681" s="77">
        <v>31.89</v>
      </c>
      <c r="F681" s="76"/>
      <c r="G681" s="76" t="s">
        <v>222</v>
      </c>
      <c r="H681" s="76" t="s">
        <v>273</v>
      </c>
      <c r="I681" s="78">
        <v>45982</v>
      </c>
      <c r="J681" s="78">
        <v>45975</v>
      </c>
      <c r="K681" s="77">
        <v>-8</v>
      </c>
      <c r="L681" s="77">
        <v>-15</v>
      </c>
    </row>
    <row r="682" spans="1:12" ht="22.5">
      <c r="A682" s="76" t="s">
        <v>1858</v>
      </c>
      <c r="B682" s="76" t="s">
        <v>1863</v>
      </c>
      <c r="C682" s="76" t="s">
        <v>307</v>
      </c>
      <c r="D682" s="76" t="s">
        <v>1864</v>
      </c>
      <c r="E682" s="77">
        <v>38.94</v>
      </c>
      <c r="F682" s="76" t="s">
        <v>85</v>
      </c>
      <c r="G682" s="76"/>
      <c r="H682" s="76" t="s">
        <v>273</v>
      </c>
      <c r="I682" s="78">
        <v>45982</v>
      </c>
      <c r="J682" s="78">
        <v>45975</v>
      </c>
      <c r="K682" s="77">
        <v>-8</v>
      </c>
      <c r="L682" s="77">
        <v>-15</v>
      </c>
    </row>
    <row r="683" spans="1:12" ht="45">
      <c r="A683" s="76" t="s">
        <v>1865</v>
      </c>
      <c r="B683" s="76" t="s">
        <v>1866</v>
      </c>
      <c r="C683" s="76" t="s">
        <v>307</v>
      </c>
      <c r="D683" s="76" t="s">
        <v>1867</v>
      </c>
      <c r="E683" s="77">
        <v>108.32</v>
      </c>
      <c r="F683" s="76"/>
      <c r="G683" s="76" t="s">
        <v>187</v>
      </c>
      <c r="H683" s="76" t="s">
        <v>273</v>
      </c>
      <c r="I683" s="78">
        <v>45984</v>
      </c>
      <c r="J683" s="78">
        <v>45975</v>
      </c>
      <c r="K683" s="77">
        <v>-6</v>
      </c>
      <c r="L683" s="77">
        <v>-15</v>
      </c>
    </row>
    <row r="684" spans="1:12" ht="33.75">
      <c r="A684" s="76" t="s">
        <v>1868</v>
      </c>
      <c r="B684" s="76" t="s">
        <v>1869</v>
      </c>
      <c r="C684" s="76" t="s">
        <v>307</v>
      </c>
      <c r="D684" s="76" t="s">
        <v>1870</v>
      </c>
      <c r="E684" s="77">
        <v>95.51</v>
      </c>
      <c r="F684" s="76" t="s">
        <v>157</v>
      </c>
      <c r="G684" s="76"/>
      <c r="H684" s="76" t="s">
        <v>273</v>
      </c>
      <c r="I684" s="78">
        <v>45983</v>
      </c>
      <c r="J684" s="78">
        <v>45975</v>
      </c>
      <c r="K684" s="77">
        <v>-7</v>
      </c>
      <c r="L684" s="77">
        <v>-15</v>
      </c>
    </row>
    <row r="685" spans="1:12" ht="33.75">
      <c r="A685" s="76" t="s">
        <v>1871</v>
      </c>
      <c r="B685" s="76" t="s">
        <v>1872</v>
      </c>
      <c r="C685" s="76" t="s">
        <v>307</v>
      </c>
      <c r="D685" s="76" t="s">
        <v>1873</v>
      </c>
      <c r="E685" s="77">
        <v>34.83</v>
      </c>
      <c r="F685" s="76" t="s">
        <v>60</v>
      </c>
      <c r="G685" s="76"/>
      <c r="H685" s="76" t="s">
        <v>272</v>
      </c>
      <c r="I685" s="78">
        <v>45979</v>
      </c>
      <c r="J685" s="78">
        <v>45975</v>
      </c>
      <c r="K685" s="77">
        <v>-11</v>
      </c>
      <c r="L685" s="77">
        <v>-15</v>
      </c>
    </row>
    <row r="686" spans="1:12" ht="22.5">
      <c r="A686" s="76" t="s">
        <v>1874</v>
      </c>
      <c r="B686" s="76" t="s">
        <v>1875</v>
      </c>
      <c r="C686" s="76" t="s">
        <v>307</v>
      </c>
      <c r="D686" s="76" t="s">
        <v>1876</v>
      </c>
      <c r="E686" s="79"/>
      <c r="F686" s="76" t="s">
        <v>223</v>
      </c>
      <c r="G686" s="76"/>
      <c r="H686" s="76" t="s">
        <v>273</v>
      </c>
      <c r="I686" s="78">
        <v>45979</v>
      </c>
      <c r="J686" s="78">
        <v>45975</v>
      </c>
      <c r="K686" s="77">
        <v>-11</v>
      </c>
      <c r="L686" s="77">
        <v>-15</v>
      </c>
    </row>
    <row r="687" spans="1:12" ht="33.75">
      <c r="A687" s="76" t="s">
        <v>1877</v>
      </c>
      <c r="B687" s="76" t="s">
        <v>1878</v>
      </c>
      <c r="C687" s="76" t="s">
        <v>307</v>
      </c>
      <c r="D687" s="76" t="s">
        <v>1879</v>
      </c>
      <c r="E687" s="79"/>
      <c r="F687" s="76" t="s">
        <v>157</v>
      </c>
      <c r="G687" s="76"/>
      <c r="H687" s="76" t="s">
        <v>273</v>
      </c>
      <c r="I687" s="78">
        <v>45982</v>
      </c>
      <c r="J687" s="78">
        <v>45975</v>
      </c>
      <c r="K687" s="77">
        <v>-8</v>
      </c>
      <c r="L687" s="77">
        <v>-15</v>
      </c>
    </row>
    <row r="688" spans="1:12" ht="33.75">
      <c r="A688" s="76" t="s">
        <v>1412</v>
      </c>
      <c r="B688" s="76" t="s">
        <v>1413</v>
      </c>
      <c r="C688" s="76" t="s">
        <v>307</v>
      </c>
      <c r="D688" s="76" t="s">
        <v>1880</v>
      </c>
      <c r="E688" s="77">
        <v>8.9600000000000009</v>
      </c>
      <c r="F688" s="76" t="s">
        <v>58</v>
      </c>
      <c r="G688" s="76"/>
      <c r="H688" s="76" t="s">
        <v>273</v>
      </c>
      <c r="I688" s="78">
        <v>45986</v>
      </c>
      <c r="J688" s="78">
        <v>45975</v>
      </c>
      <c r="K688" s="77">
        <v>-4</v>
      </c>
      <c r="L688" s="77">
        <v>-15</v>
      </c>
    </row>
    <row r="689" spans="1:12" ht="22.5">
      <c r="A689" s="76" t="s">
        <v>1412</v>
      </c>
      <c r="B689" s="76" t="s">
        <v>1882</v>
      </c>
      <c r="C689" s="76" t="s">
        <v>307</v>
      </c>
      <c r="D689" s="76" t="s">
        <v>1883</v>
      </c>
      <c r="E689" s="77">
        <v>1.00001E-2</v>
      </c>
      <c r="F689" s="76" t="s">
        <v>163</v>
      </c>
      <c r="G689" s="76"/>
      <c r="H689" s="76" t="s">
        <v>273</v>
      </c>
      <c r="I689" s="78">
        <v>45986</v>
      </c>
      <c r="J689" s="78">
        <v>45975</v>
      </c>
      <c r="K689" s="77">
        <v>-4</v>
      </c>
      <c r="L689" s="77">
        <v>-15</v>
      </c>
    </row>
    <row r="690" spans="1:12" ht="22.5">
      <c r="A690" s="76" t="s">
        <v>1884</v>
      </c>
      <c r="B690" s="76" t="s">
        <v>1887</v>
      </c>
      <c r="C690" s="76" t="s">
        <v>1886</v>
      </c>
      <c r="D690" s="76" t="s">
        <v>1888</v>
      </c>
      <c r="E690" s="77">
        <v>21.22</v>
      </c>
      <c r="F690" s="76" t="s">
        <v>66</v>
      </c>
      <c r="G690" s="76"/>
      <c r="H690" s="76" t="s">
        <v>273</v>
      </c>
      <c r="I690" s="78">
        <v>45982</v>
      </c>
      <c r="J690" s="78">
        <v>45975</v>
      </c>
      <c r="K690" s="77">
        <v>-8</v>
      </c>
      <c r="L690" s="77">
        <v>-15</v>
      </c>
    </row>
    <row r="691" spans="1:12" ht="22.5">
      <c r="A691" s="76" t="s">
        <v>1884</v>
      </c>
      <c r="B691" s="76" t="s">
        <v>1885</v>
      </c>
      <c r="C691" s="76" t="s">
        <v>1886</v>
      </c>
      <c r="D691" s="76" t="s">
        <v>1889</v>
      </c>
      <c r="E691" s="77">
        <v>21.22</v>
      </c>
      <c r="F691" s="76" t="s">
        <v>66</v>
      </c>
      <c r="G691" s="76"/>
      <c r="H691" s="76" t="s">
        <v>273</v>
      </c>
      <c r="I691" s="78">
        <v>45982</v>
      </c>
      <c r="J691" s="78">
        <v>45975</v>
      </c>
      <c r="K691" s="77">
        <v>-8</v>
      </c>
      <c r="L691" s="77">
        <v>-15</v>
      </c>
    </row>
    <row r="692" spans="1:12" ht="45">
      <c r="A692" s="76" t="s">
        <v>1890</v>
      </c>
      <c r="B692" s="76" t="s">
        <v>1891</v>
      </c>
      <c r="C692" s="76" t="s">
        <v>307</v>
      </c>
      <c r="D692" s="76" t="s">
        <v>1892</v>
      </c>
      <c r="E692" s="77">
        <v>34.25</v>
      </c>
      <c r="F692" s="76"/>
      <c r="G692" s="76" t="s">
        <v>221</v>
      </c>
      <c r="H692" s="76" t="s">
        <v>272</v>
      </c>
      <c r="I692" s="78">
        <v>45986</v>
      </c>
      <c r="J692" s="78">
        <v>45975</v>
      </c>
      <c r="K692" s="77">
        <v>-4</v>
      </c>
      <c r="L692" s="77">
        <v>-15</v>
      </c>
    </row>
    <row r="693" spans="1:12" ht="45">
      <c r="A693" s="76" t="s">
        <v>1890</v>
      </c>
      <c r="B693" s="76" t="s">
        <v>1891</v>
      </c>
      <c r="C693" s="76" t="s">
        <v>307</v>
      </c>
      <c r="D693" s="76" t="s">
        <v>1893</v>
      </c>
      <c r="E693" s="77">
        <v>20.51</v>
      </c>
      <c r="F693" s="76"/>
      <c r="G693" s="76" t="s">
        <v>221</v>
      </c>
      <c r="H693" s="76" t="s">
        <v>272</v>
      </c>
      <c r="I693" s="78">
        <v>45986</v>
      </c>
      <c r="J693" s="78">
        <v>45975</v>
      </c>
      <c r="K693" s="77">
        <v>-4</v>
      </c>
      <c r="L693" s="77">
        <v>-15</v>
      </c>
    </row>
    <row r="694" spans="1:12" ht="33.75">
      <c r="A694" s="76" t="s">
        <v>1894</v>
      </c>
      <c r="B694" s="76" t="s">
        <v>1895</v>
      </c>
      <c r="C694" s="76" t="s">
        <v>307</v>
      </c>
      <c r="D694" s="76" t="s">
        <v>1896</v>
      </c>
      <c r="E694" s="79"/>
      <c r="F694" s="76" t="s">
        <v>155</v>
      </c>
      <c r="G694" s="76"/>
      <c r="H694" s="76" t="s">
        <v>272</v>
      </c>
      <c r="I694" s="78">
        <v>45986</v>
      </c>
      <c r="J694" s="78">
        <v>45975</v>
      </c>
      <c r="K694" s="77">
        <v>-4</v>
      </c>
      <c r="L694" s="77">
        <v>-15</v>
      </c>
    </row>
    <row r="695" spans="1:12" ht="45">
      <c r="A695" s="76" t="s">
        <v>1897</v>
      </c>
      <c r="B695" s="76" t="s">
        <v>1898</v>
      </c>
      <c r="C695" s="76" t="s">
        <v>307</v>
      </c>
      <c r="D695" s="76" t="s">
        <v>1899</v>
      </c>
      <c r="E695" s="79"/>
      <c r="F695" s="76"/>
      <c r="G695" s="76" t="s">
        <v>202</v>
      </c>
      <c r="H695" s="76" t="s">
        <v>273</v>
      </c>
      <c r="I695" s="78">
        <v>45983</v>
      </c>
      <c r="J695" s="78">
        <v>45975</v>
      </c>
      <c r="K695" s="77">
        <v>-7</v>
      </c>
      <c r="L695" s="77">
        <v>-15</v>
      </c>
    </row>
    <row r="696" spans="1:12" ht="33.75">
      <c r="A696" s="76" t="s">
        <v>1900</v>
      </c>
      <c r="B696" s="76" t="s">
        <v>1901</v>
      </c>
      <c r="C696" s="76" t="s">
        <v>307</v>
      </c>
      <c r="D696" s="76" t="s">
        <v>1902</v>
      </c>
      <c r="E696" s="77">
        <v>81.94</v>
      </c>
      <c r="F696" s="76" t="s">
        <v>157</v>
      </c>
      <c r="G696" s="76"/>
      <c r="H696" s="76" t="s">
        <v>273</v>
      </c>
      <c r="I696" s="78">
        <v>45983</v>
      </c>
      <c r="J696" s="78">
        <v>45975</v>
      </c>
      <c r="K696" s="77">
        <v>-7</v>
      </c>
      <c r="L696" s="77">
        <v>-15</v>
      </c>
    </row>
    <row r="697" spans="1:12" ht="33.75">
      <c r="A697" s="76" t="s">
        <v>1903</v>
      </c>
      <c r="B697" s="76" t="s">
        <v>1904</v>
      </c>
      <c r="C697" s="76" t="s">
        <v>1905</v>
      </c>
      <c r="D697" s="76" t="s">
        <v>1906</v>
      </c>
      <c r="E697" s="79"/>
      <c r="F697" s="76" t="s">
        <v>146</v>
      </c>
      <c r="G697" s="76"/>
      <c r="H697" s="76" t="s">
        <v>273</v>
      </c>
      <c r="I697" s="78">
        <v>45985</v>
      </c>
      <c r="J697" s="78">
        <v>45975</v>
      </c>
      <c r="K697" s="77">
        <v>-5</v>
      </c>
      <c r="L697" s="77">
        <v>-15</v>
      </c>
    </row>
    <row r="698" spans="1:12" ht="22.5">
      <c r="A698" s="76" t="s">
        <v>1907</v>
      </c>
      <c r="B698" s="76" t="s">
        <v>1908</v>
      </c>
      <c r="C698" s="76" t="s">
        <v>307</v>
      </c>
      <c r="D698" s="76" t="s">
        <v>1909</v>
      </c>
      <c r="E698" s="77">
        <v>10.14</v>
      </c>
      <c r="F698" s="76" t="s">
        <v>85</v>
      </c>
      <c r="G698" s="76"/>
      <c r="H698" s="76" t="s">
        <v>272</v>
      </c>
      <c r="I698" s="78">
        <v>45986</v>
      </c>
      <c r="J698" s="78">
        <v>45975</v>
      </c>
      <c r="K698" s="77">
        <v>-4</v>
      </c>
      <c r="L698" s="77">
        <v>-15</v>
      </c>
    </row>
    <row r="699" spans="1:12" ht="22.5">
      <c r="A699" s="76" t="s">
        <v>1907</v>
      </c>
      <c r="B699" s="76" t="s">
        <v>1908</v>
      </c>
      <c r="C699" s="76" t="s">
        <v>307</v>
      </c>
      <c r="D699" s="76" t="s">
        <v>1910</v>
      </c>
      <c r="E699" s="77">
        <v>10.210000000000001</v>
      </c>
      <c r="F699" s="76" t="s">
        <v>85</v>
      </c>
      <c r="G699" s="76"/>
      <c r="H699" s="76" t="s">
        <v>272</v>
      </c>
      <c r="I699" s="78">
        <v>45986</v>
      </c>
      <c r="J699" s="78">
        <v>45975</v>
      </c>
      <c r="K699" s="77">
        <v>-4</v>
      </c>
      <c r="L699" s="77">
        <v>-15</v>
      </c>
    </row>
    <row r="700" spans="1:12" ht="22.5">
      <c r="A700" s="76" t="s">
        <v>1907</v>
      </c>
      <c r="B700" s="76" t="s">
        <v>1908</v>
      </c>
      <c r="C700" s="76" t="s">
        <v>307</v>
      </c>
      <c r="D700" s="76" t="s">
        <v>1911</v>
      </c>
      <c r="E700" s="77">
        <v>10.09</v>
      </c>
      <c r="F700" s="76" t="s">
        <v>85</v>
      </c>
      <c r="G700" s="76"/>
      <c r="H700" s="76" t="s">
        <v>272</v>
      </c>
      <c r="I700" s="78">
        <v>45986</v>
      </c>
      <c r="J700" s="78">
        <v>45975</v>
      </c>
      <c r="K700" s="77">
        <v>-4</v>
      </c>
      <c r="L700" s="77">
        <v>-15</v>
      </c>
    </row>
    <row r="701" spans="1:12" ht="33.75">
      <c r="A701" s="76" t="s">
        <v>1912</v>
      </c>
      <c r="B701" s="76" t="s">
        <v>1832</v>
      </c>
      <c r="C701" s="76" t="s">
        <v>307</v>
      </c>
      <c r="D701" s="76" t="s">
        <v>1913</v>
      </c>
      <c r="E701" s="79"/>
      <c r="F701" s="76" t="s">
        <v>155</v>
      </c>
      <c r="G701" s="76"/>
      <c r="H701" s="76" t="s">
        <v>272</v>
      </c>
      <c r="I701" s="78">
        <v>45986</v>
      </c>
      <c r="J701" s="78">
        <v>45975</v>
      </c>
      <c r="K701" s="77">
        <v>-4</v>
      </c>
      <c r="L701" s="77">
        <v>-15</v>
      </c>
    </row>
    <row r="702" spans="1:12" ht="33.75">
      <c r="A702" s="76" t="s">
        <v>1912</v>
      </c>
      <c r="B702" s="76" t="s">
        <v>1832</v>
      </c>
      <c r="C702" s="76" t="s">
        <v>307</v>
      </c>
      <c r="D702" s="76" t="s">
        <v>1914</v>
      </c>
      <c r="E702" s="79"/>
      <c r="F702" s="76" t="s">
        <v>155</v>
      </c>
      <c r="G702" s="76"/>
      <c r="H702" s="76" t="s">
        <v>272</v>
      </c>
      <c r="I702" s="78">
        <v>45986</v>
      </c>
      <c r="J702" s="78">
        <v>45975</v>
      </c>
      <c r="K702" s="77">
        <v>-4</v>
      </c>
      <c r="L702" s="77">
        <v>-15</v>
      </c>
    </row>
    <row r="703" spans="1:12" ht="33.75">
      <c r="A703" s="76" t="s">
        <v>1912</v>
      </c>
      <c r="B703" s="76" t="s">
        <v>1832</v>
      </c>
      <c r="C703" s="76" t="s">
        <v>307</v>
      </c>
      <c r="D703" s="76" t="s">
        <v>1915</v>
      </c>
      <c r="E703" s="79"/>
      <c r="F703" s="76" t="s">
        <v>155</v>
      </c>
      <c r="G703" s="76"/>
      <c r="H703" s="76" t="s">
        <v>272</v>
      </c>
      <c r="I703" s="78">
        <v>45986</v>
      </c>
      <c r="J703" s="78">
        <v>45975</v>
      </c>
      <c r="K703" s="77">
        <v>-4</v>
      </c>
      <c r="L703" s="77">
        <v>-15</v>
      </c>
    </row>
    <row r="704" spans="1:12" ht="33.75">
      <c r="A704" s="76" t="s">
        <v>1912</v>
      </c>
      <c r="B704" s="76" t="s">
        <v>1832</v>
      </c>
      <c r="C704" s="76" t="s">
        <v>307</v>
      </c>
      <c r="D704" s="76" t="s">
        <v>1916</v>
      </c>
      <c r="E704" s="79"/>
      <c r="F704" s="76" t="s">
        <v>155</v>
      </c>
      <c r="G704" s="76"/>
      <c r="H704" s="76" t="s">
        <v>272</v>
      </c>
      <c r="I704" s="78">
        <v>45986</v>
      </c>
      <c r="J704" s="78">
        <v>45975</v>
      </c>
      <c r="K704" s="77">
        <v>-4</v>
      </c>
      <c r="L704" s="77">
        <v>-15</v>
      </c>
    </row>
    <row r="705" spans="1:12" ht="33.75">
      <c r="A705" s="76" t="s">
        <v>1912</v>
      </c>
      <c r="B705" s="76" t="s">
        <v>1832</v>
      </c>
      <c r="C705" s="76" t="s">
        <v>307</v>
      </c>
      <c r="D705" s="76" t="s">
        <v>1917</v>
      </c>
      <c r="E705" s="79"/>
      <c r="F705" s="76" t="s">
        <v>155</v>
      </c>
      <c r="G705" s="76"/>
      <c r="H705" s="76" t="s">
        <v>272</v>
      </c>
      <c r="I705" s="78">
        <v>45986</v>
      </c>
      <c r="J705" s="78">
        <v>45975</v>
      </c>
      <c r="K705" s="77">
        <v>-4</v>
      </c>
      <c r="L705" s="77">
        <v>-15</v>
      </c>
    </row>
    <row r="706" spans="1:12" ht="22.5">
      <c r="A706" s="76" t="s">
        <v>1404</v>
      </c>
      <c r="B706" s="76" t="s">
        <v>1918</v>
      </c>
      <c r="C706" s="76" t="s">
        <v>1919</v>
      </c>
      <c r="D706" s="76" t="s">
        <v>1920</v>
      </c>
      <c r="E706" s="77">
        <v>587.57000000000005</v>
      </c>
      <c r="F706" s="76" t="s">
        <v>63</v>
      </c>
      <c r="G706" s="76"/>
      <c r="H706" s="76" t="s">
        <v>273</v>
      </c>
      <c r="I706" s="78">
        <v>45983</v>
      </c>
      <c r="J706" s="78">
        <v>45975</v>
      </c>
      <c r="K706" s="77">
        <v>-7</v>
      </c>
      <c r="L706" s="77">
        <v>-15</v>
      </c>
    </row>
    <row r="707" spans="1:12" ht="22.5">
      <c r="A707" s="76" t="s">
        <v>1404</v>
      </c>
      <c r="B707" s="76" t="s">
        <v>1921</v>
      </c>
      <c r="C707" s="76" t="s">
        <v>1919</v>
      </c>
      <c r="D707" s="76" t="s">
        <v>1922</v>
      </c>
      <c r="E707" s="77">
        <v>587.57000000000005</v>
      </c>
      <c r="F707" s="76" t="s">
        <v>63</v>
      </c>
      <c r="G707" s="76"/>
      <c r="H707" s="76" t="s">
        <v>273</v>
      </c>
      <c r="I707" s="78">
        <v>45983</v>
      </c>
      <c r="J707" s="78">
        <v>45975</v>
      </c>
      <c r="K707" s="77">
        <v>-7</v>
      </c>
      <c r="L707" s="77">
        <v>-15</v>
      </c>
    </row>
    <row r="708" spans="1:12" ht="33.75">
      <c r="A708" s="76" t="s">
        <v>1404</v>
      </c>
      <c r="B708" s="76" t="s">
        <v>1923</v>
      </c>
      <c r="C708" s="76" t="s">
        <v>1924</v>
      </c>
      <c r="D708" s="76" t="s">
        <v>1925</v>
      </c>
      <c r="E708" s="77">
        <v>131.91999999999999</v>
      </c>
      <c r="F708" s="76" t="s">
        <v>58</v>
      </c>
      <c r="G708" s="76"/>
      <c r="H708" s="76" t="s">
        <v>273</v>
      </c>
      <c r="I708" s="78">
        <v>45983</v>
      </c>
      <c r="J708" s="78">
        <v>45975</v>
      </c>
      <c r="K708" s="77">
        <v>-7</v>
      </c>
      <c r="L708" s="77">
        <v>-15</v>
      </c>
    </row>
    <row r="709" spans="1:12" ht="33.75">
      <c r="A709" s="76" t="s">
        <v>1404</v>
      </c>
      <c r="B709" s="76" t="s">
        <v>1926</v>
      </c>
      <c r="C709" s="76" t="s">
        <v>1924</v>
      </c>
      <c r="D709" s="76" t="s">
        <v>1927</v>
      </c>
      <c r="E709" s="77">
        <v>131.91999999999999</v>
      </c>
      <c r="F709" s="76" t="s">
        <v>58</v>
      </c>
      <c r="G709" s="76"/>
      <c r="H709" s="76" t="s">
        <v>273</v>
      </c>
      <c r="I709" s="78">
        <v>45983</v>
      </c>
      <c r="J709" s="78">
        <v>45975</v>
      </c>
      <c r="K709" s="77">
        <v>-7</v>
      </c>
      <c r="L709" s="77">
        <v>-15</v>
      </c>
    </row>
    <row r="710" spans="1:12" ht="22.5">
      <c r="A710" s="76" t="s">
        <v>1404</v>
      </c>
      <c r="B710" s="76" t="s">
        <v>1928</v>
      </c>
      <c r="C710" s="76" t="s">
        <v>307</v>
      </c>
      <c r="D710" s="76" t="s">
        <v>1929</v>
      </c>
      <c r="E710" s="77">
        <v>23.167999999999999</v>
      </c>
      <c r="F710" s="76" t="s">
        <v>63</v>
      </c>
      <c r="G710" s="76"/>
      <c r="H710" s="76" t="s">
        <v>273</v>
      </c>
      <c r="I710" s="78">
        <v>45983</v>
      </c>
      <c r="J710" s="78">
        <v>45975</v>
      </c>
      <c r="K710" s="77">
        <v>-7</v>
      </c>
      <c r="L710" s="77">
        <v>-15</v>
      </c>
    </row>
    <row r="711" spans="1:12" ht="22.5">
      <c r="A711" s="76" t="s">
        <v>1404</v>
      </c>
      <c r="B711" s="76" t="s">
        <v>1930</v>
      </c>
      <c r="C711" s="76" t="s">
        <v>1919</v>
      </c>
      <c r="D711" s="76" t="s">
        <v>1931</v>
      </c>
      <c r="E711" s="77">
        <v>587.57000000000005</v>
      </c>
      <c r="F711" s="76" t="s">
        <v>63</v>
      </c>
      <c r="G711" s="76"/>
      <c r="H711" s="76" t="s">
        <v>273</v>
      </c>
      <c r="I711" s="78">
        <v>45983</v>
      </c>
      <c r="J711" s="78">
        <v>45975</v>
      </c>
      <c r="K711" s="77">
        <v>-7</v>
      </c>
      <c r="L711" s="77">
        <v>-15</v>
      </c>
    </row>
    <row r="712" spans="1:12" ht="22.5">
      <c r="A712" s="76" t="s">
        <v>1404</v>
      </c>
      <c r="B712" s="76" t="s">
        <v>1932</v>
      </c>
      <c r="C712" s="76" t="s">
        <v>307</v>
      </c>
      <c r="D712" s="76" t="s">
        <v>1933</v>
      </c>
      <c r="E712" s="77">
        <v>24.152999999999999</v>
      </c>
      <c r="F712" s="76" t="s">
        <v>63</v>
      </c>
      <c r="G712" s="76"/>
      <c r="H712" s="76" t="s">
        <v>273</v>
      </c>
      <c r="I712" s="78">
        <v>45983</v>
      </c>
      <c r="J712" s="78">
        <v>45975</v>
      </c>
      <c r="K712" s="77">
        <v>-7</v>
      </c>
      <c r="L712" s="77">
        <v>-15</v>
      </c>
    </row>
    <row r="713" spans="1:12" ht="22.5">
      <c r="A713" s="76" t="s">
        <v>1404</v>
      </c>
      <c r="B713" s="76" t="s">
        <v>1934</v>
      </c>
      <c r="C713" s="76" t="s">
        <v>307</v>
      </c>
      <c r="D713" s="76" t="s">
        <v>1935</v>
      </c>
      <c r="E713" s="77">
        <v>24.738</v>
      </c>
      <c r="F713" s="76" t="s">
        <v>63</v>
      </c>
      <c r="G713" s="76"/>
      <c r="H713" s="76" t="s">
        <v>273</v>
      </c>
      <c r="I713" s="78">
        <v>45983</v>
      </c>
      <c r="J713" s="78">
        <v>45975</v>
      </c>
      <c r="K713" s="77">
        <v>-7</v>
      </c>
      <c r="L713" s="77">
        <v>-15</v>
      </c>
    </row>
    <row r="714" spans="1:12" ht="33.75">
      <c r="A714" s="76" t="s">
        <v>1404</v>
      </c>
      <c r="B714" s="76" t="s">
        <v>1936</v>
      </c>
      <c r="C714" s="76" t="s">
        <v>1924</v>
      </c>
      <c r="D714" s="76" t="s">
        <v>1937</v>
      </c>
      <c r="E714" s="77">
        <v>131.91999999999999</v>
      </c>
      <c r="F714" s="76" t="s">
        <v>58</v>
      </c>
      <c r="G714" s="76"/>
      <c r="H714" s="76" t="s">
        <v>273</v>
      </c>
      <c r="I714" s="78">
        <v>45983</v>
      </c>
      <c r="J714" s="78">
        <v>45975</v>
      </c>
      <c r="K714" s="77">
        <v>-7</v>
      </c>
      <c r="L714" s="77">
        <v>-15</v>
      </c>
    </row>
    <row r="715" spans="1:12" ht="22.5">
      <c r="A715" s="76" t="s">
        <v>1404</v>
      </c>
      <c r="B715" s="76" t="s">
        <v>1938</v>
      </c>
      <c r="C715" s="76" t="s">
        <v>307</v>
      </c>
      <c r="D715" s="76" t="s">
        <v>1939</v>
      </c>
      <c r="E715" s="77">
        <v>29.562999999999999</v>
      </c>
      <c r="F715" s="76" t="s">
        <v>63</v>
      </c>
      <c r="G715" s="76"/>
      <c r="H715" s="76" t="s">
        <v>273</v>
      </c>
      <c r="I715" s="78">
        <v>45983</v>
      </c>
      <c r="J715" s="78">
        <v>45975</v>
      </c>
      <c r="K715" s="77">
        <v>-7</v>
      </c>
      <c r="L715" s="77">
        <v>-15</v>
      </c>
    </row>
    <row r="716" spans="1:12" ht="33.75">
      <c r="A716" s="76" t="s">
        <v>1404</v>
      </c>
      <c r="B716" s="76" t="s">
        <v>1940</v>
      </c>
      <c r="C716" s="76" t="s">
        <v>1924</v>
      </c>
      <c r="D716" s="76" t="s">
        <v>1941</v>
      </c>
      <c r="E716" s="77">
        <v>131.91999999999999</v>
      </c>
      <c r="F716" s="76" t="s">
        <v>58</v>
      </c>
      <c r="G716" s="76"/>
      <c r="H716" s="76" t="s">
        <v>273</v>
      </c>
      <c r="I716" s="78">
        <v>45983</v>
      </c>
      <c r="J716" s="78">
        <v>45975</v>
      </c>
      <c r="K716" s="77">
        <v>-7</v>
      </c>
      <c r="L716" s="77">
        <v>-15</v>
      </c>
    </row>
    <row r="717" spans="1:12" ht="22.5">
      <c r="A717" s="76" t="s">
        <v>1404</v>
      </c>
      <c r="B717" s="76" t="s">
        <v>1942</v>
      </c>
      <c r="C717" s="76" t="s">
        <v>1919</v>
      </c>
      <c r="D717" s="76" t="s">
        <v>1943</v>
      </c>
      <c r="E717" s="77">
        <v>587.57000000000005</v>
      </c>
      <c r="F717" s="76" t="s">
        <v>63</v>
      </c>
      <c r="G717" s="76"/>
      <c r="H717" s="76" t="s">
        <v>273</v>
      </c>
      <c r="I717" s="78">
        <v>45983</v>
      </c>
      <c r="J717" s="78">
        <v>45975</v>
      </c>
      <c r="K717" s="77">
        <v>-7</v>
      </c>
      <c r="L717" s="77">
        <v>-15</v>
      </c>
    </row>
    <row r="718" spans="1:12" ht="22.5">
      <c r="A718" s="76" t="s">
        <v>1404</v>
      </c>
      <c r="B718" s="76" t="s">
        <v>1944</v>
      </c>
      <c r="C718" s="76" t="s">
        <v>1919</v>
      </c>
      <c r="D718" s="76" t="s">
        <v>1945</v>
      </c>
      <c r="E718" s="77">
        <v>587.57000000000005</v>
      </c>
      <c r="F718" s="76" t="s">
        <v>63</v>
      </c>
      <c r="G718" s="76"/>
      <c r="H718" s="76" t="s">
        <v>273</v>
      </c>
      <c r="I718" s="78">
        <v>45983</v>
      </c>
      <c r="J718" s="78">
        <v>45975</v>
      </c>
      <c r="K718" s="77">
        <v>-7</v>
      </c>
      <c r="L718" s="77">
        <v>-15</v>
      </c>
    </row>
    <row r="719" spans="1:12" ht="33.75">
      <c r="A719" s="76" t="s">
        <v>1946</v>
      </c>
      <c r="B719" s="76" t="s">
        <v>1947</v>
      </c>
      <c r="C719" s="76" t="s">
        <v>307</v>
      </c>
      <c r="D719" s="76" t="s">
        <v>1948</v>
      </c>
      <c r="E719" s="77">
        <v>9.57</v>
      </c>
      <c r="F719" s="76" t="s">
        <v>155</v>
      </c>
      <c r="G719" s="76"/>
      <c r="H719" s="76" t="s">
        <v>272</v>
      </c>
      <c r="I719" s="78">
        <v>45986</v>
      </c>
      <c r="J719" s="78">
        <v>45975</v>
      </c>
      <c r="K719" s="77">
        <v>-4</v>
      </c>
      <c r="L719" s="77">
        <v>-15</v>
      </c>
    </row>
    <row r="720" spans="1:12" ht="33.75">
      <c r="A720" s="76" t="s">
        <v>1946</v>
      </c>
      <c r="B720" s="76" t="s">
        <v>1947</v>
      </c>
      <c r="C720" s="76" t="s">
        <v>307</v>
      </c>
      <c r="D720" s="76" t="s">
        <v>1949</v>
      </c>
      <c r="E720" s="77">
        <v>11</v>
      </c>
      <c r="F720" s="76" t="s">
        <v>155</v>
      </c>
      <c r="G720" s="76"/>
      <c r="H720" s="76" t="s">
        <v>272</v>
      </c>
      <c r="I720" s="78">
        <v>45986</v>
      </c>
      <c r="J720" s="78">
        <v>45975</v>
      </c>
      <c r="K720" s="77">
        <v>-4</v>
      </c>
      <c r="L720" s="77">
        <v>-15</v>
      </c>
    </row>
    <row r="721" spans="1:12" ht="33.75">
      <c r="A721" s="76" t="s">
        <v>1946</v>
      </c>
      <c r="B721" s="76" t="s">
        <v>1947</v>
      </c>
      <c r="C721" s="76" t="s">
        <v>307</v>
      </c>
      <c r="D721" s="76" t="s">
        <v>1950</v>
      </c>
      <c r="E721" s="77">
        <v>11.9</v>
      </c>
      <c r="F721" s="76" t="s">
        <v>155</v>
      </c>
      <c r="G721" s="76"/>
      <c r="H721" s="76" t="s">
        <v>272</v>
      </c>
      <c r="I721" s="78">
        <v>45986</v>
      </c>
      <c r="J721" s="78">
        <v>45975</v>
      </c>
      <c r="K721" s="77">
        <v>-4</v>
      </c>
      <c r="L721" s="77">
        <v>-15</v>
      </c>
    </row>
    <row r="722" spans="1:12" ht="22.5">
      <c r="A722" s="76" t="s">
        <v>1964</v>
      </c>
      <c r="B722" s="76" t="s">
        <v>1965</v>
      </c>
      <c r="C722" s="76" t="s">
        <v>1966</v>
      </c>
      <c r="D722" s="76" t="s">
        <v>1967</v>
      </c>
      <c r="E722" s="77">
        <v>1272.6199999999999</v>
      </c>
      <c r="F722" s="76" t="s">
        <v>70</v>
      </c>
      <c r="G722" s="76"/>
      <c r="H722" s="76" t="s">
        <v>282</v>
      </c>
      <c r="I722" s="78">
        <v>45987</v>
      </c>
      <c r="J722" s="78">
        <v>45976</v>
      </c>
      <c r="K722" s="77">
        <v>-3</v>
      </c>
      <c r="L722" s="77">
        <v>-14</v>
      </c>
    </row>
    <row r="723" spans="1:12" ht="22.5">
      <c r="A723" s="76" t="s">
        <v>1964</v>
      </c>
      <c r="B723" s="76" t="s">
        <v>1968</v>
      </c>
      <c r="C723" s="76" t="s">
        <v>1969</v>
      </c>
      <c r="D723" s="76" t="s">
        <v>1970</v>
      </c>
      <c r="E723" s="77">
        <v>624.58000000000004</v>
      </c>
      <c r="F723" s="76" t="s">
        <v>70</v>
      </c>
      <c r="G723" s="76"/>
      <c r="H723" s="76" t="s">
        <v>272</v>
      </c>
      <c r="I723" s="78">
        <v>45987</v>
      </c>
      <c r="J723" s="78">
        <v>45976</v>
      </c>
      <c r="K723" s="77">
        <v>-3</v>
      </c>
      <c r="L723" s="77">
        <v>-14</v>
      </c>
    </row>
    <row r="724" spans="1:12" ht="22.5">
      <c r="A724" s="76" t="s">
        <v>1964</v>
      </c>
      <c r="B724" s="76" t="s">
        <v>1971</v>
      </c>
      <c r="C724" s="76" t="s">
        <v>1972</v>
      </c>
      <c r="D724" s="76" t="s">
        <v>1973</v>
      </c>
      <c r="E724" s="77">
        <v>374.2</v>
      </c>
      <c r="F724" s="76" t="s">
        <v>57</v>
      </c>
      <c r="G724" s="76"/>
      <c r="H724" s="76" t="s">
        <v>282</v>
      </c>
      <c r="I724" s="78">
        <v>45987</v>
      </c>
      <c r="J724" s="78">
        <v>45976</v>
      </c>
      <c r="K724" s="77">
        <v>-3</v>
      </c>
      <c r="L724" s="77">
        <v>-14</v>
      </c>
    </row>
    <row r="725" spans="1:12" ht="22.5">
      <c r="A725" s="76" t="s">
        <v>1964</v>
      </c>
      <c r="B725" s="76" t="s">
        <v>1974</v>
      </c>
      <c r="C725" s="76" t="s">
        <v>1966</v>
      </c>
      <c r="D725" s="76" t="s">
        <v>1975</v>
      </c>
      <c r="E725" s="77">
        <v>1272.6199999999999</v>
      </c>
      <c r="F725" s="76" t="s">
        <v>70</v>
      </c>
      <c r="G725" s="76"/>
      <c r="H725" s="76" t="s">
        <v>282</v>
      </c>
      <c r="I725" s="78">
        <v>45987</v>
      </c>
      <c r="J725" s="78">
        <v>45976</v>
      </c>
      <c r="K725" s="77">
        <v>-3</v>
      </c>
      <c r="L725" s="77">
        <v>-14</v>
      </c>
    </row>
    <row r="726" spans="1:12" ht="22.5">
      <c r="A726" s="76" t="s">
        <v>1964</v>
      </c>
      <c r="B726" s="76" t="s">
        <v>1976</v>
      </c>
      <c r="C726" s="76" t="s">
        <v>1972</v>
      </c>
      <c r="D726" s="76" t="s">
        <v>1977</v>
      </c>
      <c r="E726" s="77">
        <v>374.2</v>
      </c>
      <c r="F726" s="76" t="s">
        <v>57</v>
      </c>
      <c r="G726" s="76"/>
      <c r="H726" s="76" t="s">
        <v>282</v>
      </c>
      <c r="I726" s="78">
        <v>45987</v>
      </c>
      <c r="J726" s="78">
        <v>45976</v>
      </c>
      <c r="K726" s="77">
        <v>-3</v>
      </c>
      <c r="L726" s="77">
        <v>-14</v>
      </c>
    </row>
    <row r="727" spans="1:12" ht="22.5">
      <c r="A727" s="76" t="s">
        <v>1964</v>
      </c>
      <c r="B727" s="76" t="s">
        <v>1978</v>
      </c>
      <c r="C727" s="76" t="s">
        <v>1979</v>
      </c>
      <c r="D727" s="76" t="s">
        <v>1980</v>
      </c>
      <c r="E727" s="77">
        <v>226</v>
      </c>
      <c r="F727" s="76" t="s">
        <v>70</v>
      </c>
      <c r="G727" s="76"/>
      <c r="H727" s="76" t="s">
        <v>272</v>
      </c>
      <c r="I727" s="78">
        <v>45987</v>
      </c>
      <c r="J727" s="78">
        <v>45976</v>
      </c>
      <c r="K727" s="77">
        <v>-3</v>
      </c>
      <c r="L727" s="77">
        <v>-14</v>
      </c>
    </row>
    <row r="728" spans="1:12" ht="22.5">
      <c r="A728" s="76" t="s">
        <v>1964</v>
      </c>
      <c r="B728" s="76" t="s">
        <v>1981</v>
      </c>
      <c r="C728" s="76" t="s">
        <v>1966</v>
      </c>
      <c r="D728" s="76" t="s">
        <v>1982</v>
      </c>
      <c r="E728" s="77">
        <v>1272.6199999999999</v>
      </c>
      <c r="F728" s="76" t="s">
        <v>70</v>
      </c>
      <c r="G728" s="76"/>
      <c r="H728" s="76" t="s">
        <v>282</v>
      </c>
      <c r="I728" s="78">
        <v>45987</v>
      </c>
      <c r="J728" s="78">
        <v>45976</v>
      </c>
      <c r="K728" s="77">
        <v>-3</v>
      </c>
      <c r="L728" s="77">
        <v>-14</v>
      </c>
    </row>
    <row r="729" spans="1:12" ht="22.5">
      <c r="A729" s="76" t="s">
        <v>1964</v>
      </c>
      <c r="B729" s="76" t="s">
        <v>1983</v>
      </c>
      <c r="C729" s="76" t="s">
        <v>1969</v>
      </c>
      <c r="D729" s="76" t="s">
        <v>1984</v>
      </c>
      <c r="E729" s="77">
        <v>624.58000000000004</v>
      </c>
      <c r="F729" s="76" t="s">
        <v>70</v>
      </c>
      <c r="G729" s="76"/>
      <c r="H729" s="76" t="s">
        <v>272</v>
      </c>
      <c r="I729" s="78">
        <v>45987</v>
      </c>
      <c r="J729" s="78">
        <v>45976</v>
      </c>
      <c r="K729" s="77">
        <v>-3</v>
      </c>
      <c r="L729" s="77">
        <v>-14</v>
      </c>
    </row>
    <row r="730" spans="1:12" ht="22.5">
      <c r="A730" s="76" t="s">
        <v>1964</v>
      </c>
      <c r="B730" s="76" t="s">
        <v>1985</v>
      </c>
      <c r="C730" s="76" t="s">
        <v>1969</v>
      </c>
      <c r="D730" s="76" t="s">
        <v>1986</v>
      </c>
      <c r="E730" s="77">
        <v>624.58000000000004</v>
      </c>
      <c r="F730" s="76" t="s">
        <v>70</v>
      </c>
      <c r="G730" s="76"/>
      <c r="H730" s="76" t="s">
        <v>272</v>
      </c>
      <c r="I730" s="78">
        <v>45987</v>
      </c>
      <c r="J730" s="78">
        <v>45976</v>
      </c>
      <c r="K730" s="77">
        <v>-3</v>
      </c>
      <c r="L730" s="77">
        <v>-14</v>
      </c>
    </row>
    <row r="731" spans="1:12" ht="22.5">
      <c r="A731" s="76" t="s">
        <v>1964</v>
      </c>
      <c r="B731" s="76" t="s">
        <v>1987</v>
      </c>
      <c r="C731" s="76" t="s">
        <v>1966</v>
      </c>
      <c r="D731" s="76" t="s">
        <v>1988</v>
      </c>
      <c r="E731" s="77">
        <v>1272.6199999999999</v>
      </c>
      <c r="F731" s="76" t="s">
        <v>70</v>
      </c>
      <c r="G731" s="76"/>
      <c r="H731" s="76" t="s">
        <v>282</v>
      </c>
      <c r="I731" s="78">
        <v>45987</v>
      </c>
      <c r="J731" s="78">
        <v>45976</v>
      </c>
      <c r="K731" s="77">
        <v>-3</v>
      </c>
      <c r="L731" s="77">
        <v>-14</v>
      </c>
    </row>
    <row r="732" spans="1:12" ht="22.5">
      <c r="A732" s="76" t="s">
        <v>1964</v>
      </c>
      <c r="B732" s="76" t="s">
        <v>1989</v>
      </c>
      <c r="C732" s="76" t="s">
        <v>1966</v>
      </c>
      <c r="D732" s="76" t="s">
        <v>1990</v>
      </c>
      <c r="E732" s="77">
        <v>1272.6199999999999</v>
      </c>
      <c r="F732" s="76" t="s">
        <v>70</v>
      </c>
      <c r="G732" s="76"/>
      <c r="H732" s="76" t="s">
        <v>282</v>
      </c>
      <c r="I732" s="78">
        <v>45987</v>
      </c>
      <c r="J732" s="78">
        <v>45976</v>
      </c>
      <c r="K732" s="77">
        <v>-3</v>
      </c>
      <c r="L732" s="77">
        <v>-14</v>
      </c>
    </row>
    <row r="733" spans="1:12" ht="22.5">
      <c r="A733" s="76" t="s">
        <v>1964</v>
      </c>
      <c r="B733" s="76" t="s">
        <v>1991</v>
      </c>
      <c r="C733" s="76" t="s">
        <v>307</v>
      </c>
      <c r="D733" s="76" t="s">
        <v>1992</v>
      </c>
      <c r="E733" s="77">
        <v>2.859</v>
      </c>
      <c r="F733" s="76" t="s">
        <v>70</v>
      </c>
      <c r="G733" s="76"/>
      <c r="H733" s="76" t="s">
        <v>272</v>
      </c>
      <c r="I733" s="78">
        <v>45987</v>
      </c>
      <c r="J733" s="78">
        <v>45976</v>
      </c>
      <c r="K733" s="77">
        <v>-3</v>
      </c>
      <c r="L733" s="77">
        <v>-14</v>
      </c>
    </row>
    <row r="734" spans="1:12" ht="22.5">
      <c r="A734" s="76" t="s">
        <v>1964</v>
      </c>
      <c r="B734" s="76" t="s">
        <v>1993</v>
      </c>
      <c r="C734" s="76" t="s">
        <v>1969</v>
      </c>
      <c r="D734" s="76" t="s">
        <v>1994</v>
      </c>
      <c r="E734" s="77">
        <v>624.58000000000004</v>
      </c>
      <c r="F734" s="76" t="s">
        <v>70</v>
      </c>
      <c r="G734" s="76"/>
      <c r="H734" s="76" t="s">
        <v>272</v>
      </c>
      <c r="I734" s="78">
        <v>45987</v>
      </c>
      <c r="J734" s="78">
        <v>45976</v>
      </c>
      <c r="K734" s="77">
        <v>-3</v>
      </c>
      <c r="L734" s="77">
        <v>-14</v>
      </c>
    </row>
    <row r="735" spans="1:12" ht="22.5">
      <c r="A735" s="76" t="s">
        <v>1964</v>
      </c>
      <c r="B735" s="76" t="s">
        <v>1995</v>
      </c>
      <c r="C735" s="76" t="s">
        <v>1972</v>
      </c>
      <c r="D735" s="76" t="s">
        <v>1996</v>
      </c>
      <c r="E735" s="77">
        <v>374.2</v>
      </c>
      <c r="F735" s="76" t="s">
        <v>57</v>
      </c>
      <c r="G735" s="76"/>
      <c r="H735" s="76" t="s">
        <v>282</v>
      </c>
      <c r="I735" s="78">
        <v>45987</v>
      </c>
      <c r="J735" s="78">
        <v>45976</v>
      </c>
      <c r="K735" s="77">
        <v>-3</v>
      </c>
      <c r="L735" s="77">
        <v>-14</v>
      </c>
    </row>
    <row r="736" spans="1:12" ht="22.5">
      <c r="A736" s="76" t="s">
        <v>1964</v>
      </c>
      <c r="B736" s="76" t="s">
        <v>1997</v>
      </c>
      <c r="C736" s="76" t="s">
        <v>1972</v>
      </c>
      <c r="D736" s="76" t="s">
        <v>1998</v>
      </c>
      <c r="E736" s="77">
        <v>374.2</v>
      </c>
      <c r="F736" s="76" t="s">
        <v>57</v>
      </c>
      <c r="G736" s="76"/>
      <c r="H736" s="76" t="s">
        <v>282</v>
      </c>
      <c r="I736" s="78">
        <v>45987</v>
      </c>
      <c r="J736" s="78">
        <v>45976</v>
      </c>
      <c r="K736" s="77">
        <v>-3</v>
      </c>
      <c r="L736" s="77">
        <v>-14</v>
      </c>
    </row>
    <row r="737" spans="1:12" ht="22.5">
      <c r="A737" s="76" t="s">
        <v>1964</v>
      </c>
      <c r="B737" s="76" t="s">
        <v>1999</v>
      </c>
      <c r="C737" s="76" t="s">
        <v>1966</v>
      </c>
      <c r="D737" s="76" t="s">
        <v>2000</v>
      </c>
      <c r="E737" s="77">
        <v>1272.6199999999999</v>
      </c>
      <c r="F737" s="76" t="s">
        <v>70</v>
      </c>
      <c r="G737" s="76"/>
      <c r="H737" s="76" t="s">
        <v>282</v>
      </c>
      <c r="I737" s="78">
        <v>45987</v>
      </c>
      <c r="J737" s="78">
        <v>45976</v>
      </c>
      <c r="K737" s="77">
        <v>-3</v>
      </c>
      <c r="L737" s="77">
        <v>-14</v>
      </c>
    </row>
    <row r="738" spans="1:12" ht="22.5">
      <c r="A738" s="76" t="s">
        <v>1964</v>
      </c>
      <c r="B738" s="76" t="s">
        <v>2001</v>
      </c>
      <c r="C738" s="76" t="s">
        <v>1969</v>
      </c>
      <c r="D738" s="76" t="s">
        <v>2002</v>
      </c>
      <c r="E738" s="77">
        <v>624.58000000000004</v>
      </c>
      <c r="F738" s="76" t="s">
        <v>70</v>
      </c>
      <c r="G738" s="76"/>
      <c r="H738" s="76" t="s">
        <v>272</v>
      </c>
      <c r="I738" s="78">
        <v>45987</v>
      </c>
      <c r="J738" s="78">
        <v>45976</v>
      </c>
      <c r="K738" s="77">
        <v>-3</v>
      </c>
      <c r="L738" s="77">
        <v>-14</v>
      </c>
    </row>
    <row r="739" spans="1:12" ht="22.5">
      <c r="A739" s="76" t="s">
        <v>1964</v>
      </c>
      <c r="B739" s="76" t="s">
        <v>2003</v>
      </c>
      <c r="C739" s="76" t="s">
        <v>1979</v>
      </c>
      <c r="D739" s="76" t="s">
        <v>2004</v>
      </c>
      <c r="E739" s="77">
        <v>226</v>
      </c>
      <c r="F739" s="76" t="s">
        <v>70</v>
      </c>
      <c r="G739" s="76"/>
      <c r="H739" s="76" t="s">
        <v>272</v>
      </c>
      <c r="I739" s="78">
        <v>45987</v>
      </c>
      <c r="J739" s="78">
        <v>45976</v>
      </c>
      <c r="K739" s="77">
        <v>-3</v>
      </c>
      <c r="L739" s="77">
        <v>-14</v>
      </c>
    </row>
    <row r="740" spans="1:12" ht="22.5">
      <c r="A740" s="76" t="s">
        <v>1964</v>
      </c>
      <c r="B740" s="76" t="s">
        <v>2005</v>
      </c>
      <c r="C740" s="76" t="s">
        <v>1966</v>
      </c>
      <c r="D740" s="76" t="s">
        <v>2006</v>
      </c>
      <c r="E740" s="77">
        <v>1272.6199999999999</v>
      </c>
      <c r="F740" s="76" t="s">
        <v>70</v>
      </c>
      <c r="G740" s="76"/>
      <c r="H740" s="76" t="s">
        <v>282</v>
      </c>
      <c r="I740" s="78">
        <v>45987</v>
      </c>
      <c r="J740" s="78">
        <v>45976</v>
      </c>
      <c r="K740" s="77">
        <v>-3</v>
      </c>
      <c r="L740" s="77">
        <v>-14</v>
      </c>
    </row>
    <row r="741" spans="1:12" ht="22.5">
      <c r="A741" s="76" t="s">
        <v>1964</v>
      </c>
      <c r="B741" s="76" t="s">
        <v>2007</v>
      </c>
      <c r="C741" s="76" t="s">
        <v>1972</v>
      </c>
      <c r="D741" s="76" t="s">
        <v>2008</v>
      </c>
      <c r="E741" s="77">
        <v>374.2</v>
      </c>
      <c r="F741" s="76" t="s">
        <v>57</v>
      </c>
      <c r="G741" s="76"/>
      <c r="H741" s="76" t="s">
        <v>282</v>
      </c>
      <c r="I741" s="78">
        <v>45987</v>
      </c>
      <c r="J741" s="78">
        <v>45976</v>
      </c>
      <c r="K741" s="77">
        <v>-3</v>
      </c>
      <c r="L741" s="77">
        <v>-14</v>
      </c>
    </row>
    <row r="742" spans="1:12" ht="22.5">
      <c r="A742" s="76" t="s">
        <v>1964</v>
      </c>
      <c r="B742" s="76" t="s">
        <v>2009</v>
      </c>
      <c r="C742" s="76" t="s">
        <v>1972</v>
      </c>
      <c r="D742" s="76" t="s">
        <v>2010</v>
      </c>
      <c r="E742" s="77">
        <v>374.2</v>
      </c>
      <c r="F742" s="76" t="s">
        <v>57</v>
      </c>
      <c r="G742" s="76"/>
      <c r="H742" s="76" t="s">
        <v>282</v>
      </c>
      <c r="I742" s="78">
        <v>45987</v>
      </c>
      <c r="J742" s="78">
        <v>45976</v>
      </c>
      <c r="K742" s="77">
        <v>-3</v>
      </c>
      <c r="L742" s="77">
        <v>-14</v>
      </c>
    </row>
    <row r="743" spans="1:12" ht="22.5">
      <c r="A743" s="76" t="s">
        <v>1964</v>
      </c>
      <c r="B743" s="76" t="s">
        <v>2011</v>
      </c>
      <c r="C743" s="76" t="s">
        <v>1969</v>
      </c>
      <c r="D743" s="76" t="s">
        <v>2012</v>
      </c>
      <c r="E743" s="77">
        <v>624.58000000000004</v>
      </c>
      <c r="F743" s="76" t="s">
        <v>70</v>
      </c>
      <c r="G743" s="76"/>
      <c r="H743" s="76" t="s">
        <v>272</v>
      </c>
      <c r="I743" s="78">
        <v>45987</v>
      </c>
      <c r="J743" s="78">
        <v>45976</v>
      </c>
      <c r="K743" s="77">
        <v>-3</v>
      </c>
      <c r="L743" s="77">
        <v>-14</v>
      </c>
    </row>
    <row r="744" spans="1:12" ht="22.5">
      <c r="A744" s="76" t="s">
        <v>1964</v>
      </c>
      <c r="B744" s="76" t="s">
        <v>2013</v>
      </c>
      <c r="C744" s="76" t="s">
        <v>1969</v>
      </c>
      <c r="D744" s="76" t="s">
        <v>2014</v>
      </c>
      <c r="E744" s="77">
        <v>624.58000000000004</v>
      </c>
      <c r="F744" s="76" t="s">
        <v>70</v>
      </c>
      <c r="G744" s="76"/>
      <c r="H744" s="76" t="s">
        <v>272</v>
      </c>
      <c r="I744" s="78">
        <v>45987</v>
      </c>
      <c r="J744" s="78">
        <v>45976</v>
      </c>
      <c r="K744" s="77">
        <v>-3</v>
      </c>
      <c r="L744" s="77">
        <v>-14</v>
      </c>
    </row>
    <row r="745" spans="1:12" ht="22.5">
      <c r="A745" s="76" t="s">
        <v>1964</v>
      </c>
      <c r="B745" s="76" t="s">
        <v>2015</v>
      </c>
      <c r="C745" s="76" t="s">
        <v>1966</v>
      </c>
      <c r="D745" s="76" t="s">
        <v>2016</v>
      </c>
      <c r="E745" s="77">
        <v>1272.6199999999999</v>
      </c>
      <c r="F745" s="76" t="s">
        <v>70</v>
      </c>
      <c r="G745" s="76"/>
      <c r="H745" s="76" t="s">
        <v>282</v>
      </c>
      <c r="I745" s="78">
        <v>45987</v>
      </c>
      <c r="J745" s="78">
        <v>45976</v>
      </c>
      <c r="K745" s="77">
        <v>-3</v>
      </c>
      <c r="L745" s="77">
        <v>-14</v>
      </c>
    </row>
    <row r="746" spans="1:12" ht="22.5">
      <c r="A746" s="76" t="s">
        <v>1964</v>
      </c>
      <c r="B746" s="76" t="s">
        <v>2017</v>
      </c>
      <c r="C746" s="76" t="s">
        <v>1969</v>
      </c>
      <c r="D746" s="76" t="s">
        <v>2018</v>
      </c>
      <c r="E746" s="77">
        <v>624.58000000000004</v>
      </c>
      <c r="F746" s="76" t="s">
        <v>70</v>
      </c>
      <c r="G746" s="76"/>
      <c r="H746" s="76" t="s">
        <v>272</v>
      </c>
      <c r="I746" s="78">
        <v>45987</v>
      </c>
      <c r="J746" s="78">
        <v>45976</v>
      </c>
      <c r="K746" s="77">
        <v>-3</v>
      </c>
      <c r="L746" s="77">
        <v>-14</v>
      </c>
    </row>
    <row r="747" spans="1:12" ht="22.5">
      <c r="A747" s="76" t="s">
        <v>1964</v>
      </c>
      <c r="B747" s="76" t="s">
        <v>2019</v>
      </c>
      <c r="C747" s="76" t="s">
        <v>1979</v>
      </c>
      <c r="D747" s="76" t="s">
        <v>2020</v>
      </c>
      <c r="E747" s="77">
        <v>226</v>
      </c>
      <c r="F747" s="76" t="s">
        <v>70</v>
      </c>
      <c r="G747" s="76"/>
      <c r="H747" s="76" t="s">
        <v>272</v>
      </c>
      <c r="I747" s="78">
        <v>45987</v>
      </c>
      <c r="J747" s="78">
        <v>45976</v>
      </c>
      <c r="K747" s="77">
        <v>-3</v>
      </c>
      <c r="L747" s="77">
        <v>-14</v>
      </c>
    </row>
    <row r="748" spans="1:12" ht="22.5">
      <c r="A748" s="76" t="s">
        <v>1964</v>
      </c>
      <c r="B748" s="76" t="s">
        <v>2021</v>
      </c>
      <c r="C748" s="76" t="s">
        <v>1969</v>
      </c>
      <c r="D748" s="76" t="s">
        <v>2022</v>
      </c>
      <c r="E748" s="77">
        <v>624.58000000000004</v>
      </c>
      <c r="F748" s="76" t="s">
        <v>70</v>
      </c>
      <c r="G748" s="76"/>
      <c r="H748" s="76" t="s">
        <v>272</v>
      </c>
      <c r="I748" s="78">
        <v>45987</v>
      </c>
      <c r="J748" s="78">
        <v>45976</v>
      </c>
      <c r="K748" s="77">
        <v>-3</v>
      </c>
      <c r="L748" s="77">
        <v>-14</v>
      </c>
    </row>
    <row r="749" spans="1:12" ht="22.5">
      <c r="A749" s="76" t="s">
        <v>1964</v>
      </c>
      <c r="B749" s="76" t="s">
        <v>2023</v>
      </c>
      <c r="C749" s="76" t="s">
        <v>1966</v>
      </c>
      <c r="D749" s="76" t="s">
        <v>2024</v>
      </c>
      <c r="E749" s="77">
        <v>1272.6199999999999</v>
      </c>
      <c r="F749" s="76" t="s">
        <v>70</v>
      </c>
      <c r="G749" s="76"/>
      <c r="H749" s="76" t="s">
        <v>282</v>
      </c>
      <c r="I749" s="78">
        <v>45987</v>
      </c>
      <c r="J749" s="78">
        <v>45976</v>
      </c>
      <c r="K749" s="77">
        <v>-3</v>
      </c>
      <c r="L749" s="77">
        <v>-14</v>
      </c>
    </row>
    <row r="750" spans="1:12" ht="22.5">
      <c r="A750" s="76" t="s">
        <v>1964</v>
      </c>
      <c r="B750" s="76" t="s">
        <v>2025</v>
      </c>
      <c r="C750" s="76" t="s">
        <v>1972</v>
      </c>
      <c r="D750" s="76" t="s">
        <v>2026</v>
      </c>
      <c r="E750" s="77">
        <v>374.2</v>
      </c>
      <c r="F750" s="76" t="s">
        <v>57</v>
      </c>
      <c r="G750" s="76"/>
      <c r="H750" s="76" t="s">
        <v>282</v>
      </c>
      <c r="I750" s="78">
        <v>45987</v>
      </c>
      <c r="J750" s="78">
        <v>45976</v>
      </c>
      <c r="K750" s="77">
        <v>-3</v>
      </c>
      <c r="L750" s="77">
        <v>-14</v>
      </c>
    </row>
    <row r="751" spans="1:12" ht="22.5">
      <c r="A751" s="76" t="s">
        <v>1964</v>
      </c>
      <c r="B751" s="76" t="s">
        <v>2027</v>
      </c>
      <c r="C751" s="76" t="s">
        <v>1969</v>
      </c>
      <c r="D751" s="76" t="s">
        <v>2028</v>
      </c>
      <c r="E751" s="77">
        <v>624.58000000000004</v>
      </c>
      <c r="F751" s="76" t="s">
        <v>70</v>
      </c>
      <c r="G751" s="76"/>
      <c r="H751" s="76" t="s">
        <v>272</v>
      </c>
      <c r="I751" s="78">
        <v>45987</v>
      </c>
      <c r="J751" s="78">
        <v>45976</v>
      </c>
      <c r="K751" s="77">
        <v>-3</v>
      </c>
      <c r="L751" s="77">
        <v>-14</v>
      </c>
    </row>
    <row r="752" spans="1:12" ht="22.5">
      <c r="A752" s="76" t="s">
        <v>1964</v>
      </c>
      <c r="B752" s="76" t="s">
        <v>2029</v>
      </c>
      <c r="C752" s="76" t="s">
        <v>1979</v>
      </c>
      <c r="D752" s="76" t="s">
        <v>2030</v>
      </c>
      <c r="E752" s="77">
        <v>226</v>
      </c>
      <c r="F752" s="76" t="s">
        <v>70</v>
      </c>
      <c r="G752" s="76"/>
      <c r="H752" s="76" t="s">
        <v>272</v>
      </c>
      <c r="I752" s="78">
        <v>45987</v>
      </c>
      <c r="J752" s="78">
        <v>45976</v>
      </c>
      <c r="K752" s="77">
        <v>-3</v>
      </c>
      <c r="L752" s="77">
        <v>-14</v>
      </c>
    </row>
    <row r="753" spans="1:12" ht="22.5">
      <c r="A753" s="76" t="s">
        <v>1964</v>
      </c>
      <c r="B753" s="76" t="s">
        <v>2031</v>
      </c>
      <c r="C753" s="76" t="s">
        <v>1972</v>
      </c>
      <c r="D753" s="76" t="s">
        <v>2032</v>
      </c>
      <c r="E753" s="77">
        <v>374.2</v>
      </c>
      <c r="F753" s="76" t="s">
        <v>57</v>
      </c>
      <c r="G753" s="76"/>
      <c r="H753" s="76" t="s">
        <v>282</v>
      </c>
      <c r="I753" s="78">
        <v>45987</v>
      </c>
      <c r="J753" s="78">
        <v>45976</v>
      </c>
      <c r="K753" s="77">
        <v>-3</v>
      </c>
      <c r="L753" s="77">
        <v>-14</v>
      </c>
    </row>
    <row r="754" spans="1:12" ht="22.5">
      <c r="A754" s="76" t="s">
        <v>1964</v>
      </c>
      <c r="B754" s="76" t="s">
        <v>2033</v>
      </c>
      <c r="C754" s="76" t="s">
        <v>1972</v>
      </c>
      <c r="D754" s="76" t="s">
        <v>2034</v>
      </c>
      <c r="E754" s="77">
        <v>374.2</v>
      </c>
      <c r="F754" s="76" t="s">
        <v>57</v>
      </c>
      <c r="G754" s="76"/>
      <c r="H754" s="76" t="s">
        <v>282</v>
      </c>
      <c r="I754" s="78">
        <v>45987</v>
      </c>
      <c r="J754" s="78">
        <v>45976</v>
      </c>
      <c r="K754" s="77">
        <v>-3</v>
      </c>
      <c r="L754" s="77">
        <v>-14</v>
      </c>
    </row>
    <row r="755" spans="1:12" ht="22.5">
      <c r="A755" s="76" t="s">
        <v>1964</v>
      </c>
      <c r="B755" s="76" t="s">
        <v>2035</v>
      </c>
      <c r="C755" s="76" t="s">
        <v>1969</v>
      </c>
      <c r="D755" s="76" t="s">
        <v>2036</v>
      </c>
      <c r="E755" s="77">
        <v>624.58000000000004</v>
      </c>
      <c r="F755" s="76" t="s">
        <v>70</v>
      </c>
      <c r="G755" s="76"/>
      <c r="H755" s="76" t="s">
        <v>272</v>
      </c>
      <c r="I755" s="78">
        <v>45987</v>
      </c>
      <c r="J755" s="78">
        <v>45976</v>
      </c>
      <c r="K755" s="77">
        <v>-3</v>
      </c>
      <c r="L755" s="77">
        <v>-14</v>
      </c>
    </row>
    <row r="756" spans="1:12" ht="22.5">
      <c r="A756" s="76" t="s">
        <v>1964</v>
      </c>
      <c r="B756" s="76" t="s">
        <v>2037</v>
      </c>
      <c r="C756" s="76" t="s">
        <v>1972</v>
      </c>
      <c r="D756" s="76" t="s">
        <v>2038</v>
      </c>
      <c r="E756" s="77">
        <v>374.2</v>
      </c>
      <c r="F756" s="76" t="s">
        <v>57</v>
      </c>
      <c r="G756" s="76"/>
      <c r="H756" s="76" t="s">
        <v>282</v>
      </c>
      <c r="I756" s="78">
        <v>45987</v>
      </c>
      <c r="J756" s="78">
        <v>45976</v>
      </c>
      <c r="K756" s="77">
        <v>-3</v>
      </c>
      <c r="L756" s="77">
        <v>-14</v>
      </c>
    </row>
    <row r="757" spans="1:12" ht="22.5">
      <c r="A757" s="76" t="s">
        <v>1964</v>
      </c>
      <c r="B757" s="76" t="s">
        <v>2039</v>
      </c>
      <c r="C757" s="76" t="s">
        <v>1966</v>
      </c>
      <c r="D757" s="76" t="s">
        <v>2040</v>
      </c>
      <c r="E757" s="77">
        <v>1272.6199999999999</v>
      </c>
      <c r="F757" s="76" t="s">
        <v>70</v>
      </c>
      <c r="G757" s="76"/>
      <c r="H757" s="76" t="s">
        <v>282</v>
      </c>
      <c r="I757" s="78">
        <v>45987</v>
      </c>
      <c r="J757" s="78">
        <v>45976</v>
      </c>
      <c r="K757" s="77">
        <v>-3</v>
      </c>
      <c r="L757" s="77">
        <v>-14</v>
      </c>
    </row>
    <row r="758" spans="1:12" ht="22.5">
      <c r="A758" s="76" t="s">
        <v>1964</v>
      </c>
      <c r="B758" s="76" t="s">
        <v>2041</v>
      </c>
      <c r="C758" s="76" t="s">
        <v>1969</v>
      </c>
      <c r="D758" s="76" t="s">
        <v>2042</v>
      </c>
      <c r="E758" s="77">
        <v>624.58000000000004</v>
      </c>
      <c r="F758" s="76" t="s">
        <v>70</v>
      </c>
      <c r="G758" s="76"/>
      <c r="H758" s="76" t="s">
        <v>272</v>
      </c>
      <c r="I758" s="78">
        <v>45987</v>
      </c>
      <c r="J758" s="78">
        <v>45976</v>
      </c>
      <c r="K758" s="77">
        <v>-3</v>
      </c>
      <c r="L758" s="77">
        <v>-14</v>
      </c>
    </row>
    <row r="759" spans="1:12" ht="22.5">
      <c r="A759" s="76" t="s">
        <v>1964</v>
      </c>
      <c r="B759" s="76" t="s">
        <v>2043</v>
      </c>
      <c r="C759" s="76" t="s">
        <v>1979</v>
      </c>
      <c r="D759" s="76" t="s">
        <v>2044</v>
      </c>
      <c r="E759" s="77">
        <v>226</v>
      </c>
      <c r="F759" s="76" t="s">
        <v>70</v>
      </c>
      <c r="G759" s="76"/>
      <c r="H759" s="76" t="s">
        <v>272</v>
      </c>
      <c r="I759" s="78">
        <v>45987</v>
      </c>
      <c r="J759" s="78">
        <v>45976</v>
      </c>
      <c r="K759" s="77">
        <v>-3</v>
      </c>
      <c r="L759" s="77">
        <v>-14</v>
      </c>
    </row>
    <row r="760" spans="1:12" ht="22.5">
      <c r="A760" s="76" t="s">
        <v>1964</v>
      </c>
      <c r="B760" s="76" t="s">
        <v>2045</v>
      </c>
      <c r="C760" s="76" t="s">
        <v>1966</v>
      </c>
      <c r="D760" s="76" t="s">
        <v>2046</v>
      </c>
      <c r="E760" s="77">
        <v>1272.6199999999999</v>
      </c>
      <c r="F760" s="76" t="s">
        <v>70</v>
      </c>
      <c r="G760" s="76"/>
      <c r="H760" s="76" t="s">
        <v>282</v>
      </c>
      <c r="I760" s="78">
        <v>45987</v>
      </c>
      <c r="J760" s="78">
        <v>45976</v>
      </c>
      <c r="K760" s="77">
        <v>-3</v>
      </c>
      <c r="L760" s="77">
        <v>-14</v>
      </c>
    </row>
    <row r="761" spans="1:12" ht="22.5">
      <c r="A761" s="76" t="s">
        <v>1964</v>
      </c>
      <c r="B761" s="76" t="s">
        <v>2047</v>
      </c>
      <c r="C761" s="76" t="s">
        <v>1969</v>
      </c>
      <c r="D761" s="76" t="s">
        <v>2048</v>
      </c>
      <c r="E761" s="77">
        <v>624.58000000000004</v>
      </c>
      <c r="F761" s="76" t="s">
        <v>70</v>
      </c>
      <c r="G761" s="76"/>
      <c r="H761" s="76" t="s">
        <v>272</v>
      </c>
      <c r="I761" s="78">
        <v>45987</v>
      </c>
      <c r="J761" s="78">
        <v>45976</v>
      </c>
      <c r="K761" s="77">
        <v>-3</v>
      </c>
      <c r="L761" s="77">
        <v>-14</v>
      </c>
    </row>
    <row r="762" spans="1:12" ht="22.5">
      <c r="A762" s="76" t="s">
        <v>1964</v>
      </c>
      <c r="B762" s="76" t="s">
        <v>2049</v>
      </c>
      <c r="C762" s="76" t="s">
        <v>1966</v>
      </c>
      <c r="D762" s="76" t="s">
        <v>2050</v>
      </c>
      <c r="E762" s="77">
        <v>1272.6199999999999</v>
      </c>
      <c r="F762" s="76" t="s">
        <v>70</v>
      </c>
      <c r="G762" s="76"/>
      <c r="H762" s="76" t="s">
        <v>282</v>
      </c>
      <c r="I762" s="78">
        <v>45987</v>
      </c>
      <c r="J762" s="78">
        <v>45976</v>
      </c>
      <c r="K762" s="77">
        <v>-3</v>
      </c>
      <c r="L762" s="77">
        <v>-14</v>
      </c>
    </row>
    <row r="763" spans="1:12" ht="22.5">
      <c r="A763" s="76" t="s">
        <v>1964</v>
      </c>
      <c r="B763" s="76" t="s">
        <v>2051</v>
      </c>
      <c r="C763" s="76" t="s">
        <v>1966</v>
      </c>
      <c r="D763" s="76" t="s">
        <v>2052</v>
      </c>
      <c r="E763" s="77">
        <v>1272.6199999999999</v>
      </c>
      <c r="F763" s="76" t="s">
        <v>70</v>
      </c>
      <c r="G763" s="76"/>
      <c r="H763" s="76" t="s">
        <v>282</v>
      </c>
      <c r="I763" s="78">
        <v>45987</v>
      </c>
      <c r="J763" s="78">
        <v>45976</v>
      </c>
      <c r="K763" s="77">
        <v>-3</v>
      </c>
      <c r="L763" s="77">
        <v>-14</v>
      </c>
    </row>
    <row r="764" spans="1:12" ht="22.5">
      <c r="A764" s="76" t="s">
        <v>1964</v>
      </c>
      <c r="B764" s="76" t="s">
        <v>2053</v>
      </c>
      <c r="C764" s="76" t="s">
        <v>1979</v>
      </c>
      <c r="D764" s="76" t="s">
        <v>2054</v>
      </c>
      <c r="E764" s="77">
        <v>226</v>
      </c>
      <c r="F764" s="76" t="s">
        <v>70</v>
      </c>
      <c r="G764" s="76"/>
      <c r="H764" s="76" t="s">
        <v>272</v>
      </c>
      <c r="I764" s="78">
        <v>45987</v>
      </c>
      <c r="J764" s="78">
        <v>45976</v>
      </c>
      <c r="K764" s="77">
        <v>-3</v>
      </c>
      <c r="L764" s="77">
        <v>-14</v>
      </c>
    </row>
    <row r="765" spans="1:12" ht="22.5">
      <c r="A765" s="76" t="s">
        <v>1964</v>
      </c>
      <c r="B765" s="76" t="s">
        <v>2055</v>
      </c>
      <c r="C765" s="76" t="s">
        <v>1966</v>
      </c>
      <c r="D765" s="76" t="s">
        <v>2056</v>
      </c>
      <c r="E765" s="77">
        <v>1272.6199999999999</v>
      </c>
      <c r="F765" s="76" t="s">
        <v>70</v>
      </c>
      <c r="G765" s="76"/>
      <c r="H765" s="76" t="s">
        <v>282</v>
      </c>
      <c r="I765" s="78">
        <v>45987</v>
      </c>
      <c r="J765" s="78">
        <v>45976</v>
      </c>
      <c r="K765" s="77">
        <v>-3</v>
      </c>
      <c r="L765" s="77">
        <v>-14</v>
      </c>
    </row>
    <row r="766" spans="1:12" ht="22.5">
      <c r="A766" s="76" t="s">
        <v>1964</v>
      </c>
      <c r="B766" s="76" t="s">
        <v>2057</v>
      </c>
      <c r="C766" s="76" t="s">
        <v>1979</v>
      </c>
      <c r="D766" s="76" t="s">
        <v>2058</v>
      </c>
      <c r="E766" s="77">
        <v>226</v>
      </c>
      <c r="F766" s="76" t="s">
        <v>70</v>
      </c>
      <c r="G766" s="76"/>
      <c r="H766" s="76" t="s">
        <v>272</v>
      </c>
      <c r="I766" s="78">
        <v>45987</v>
      </c>
      <c r="J766" s="78">
        <v>45976</v>
      </c>
      <c r="K766" s="77">
        <v>-3</v>
      </c>
      <c r="L766" s="77">
        <v>-14</v>
      </c>
    </row>
    <row r="767" spans="1:12" ht="22.5">
      <c r="A767" s="76" t="s">
        <v>1964</v>
      </c>
      <c r="B767" s="76" t="s">
        <v>2059</v>
      </c>
      <c r="C767" s="76" t="s">
        <v>1966</v>
      </c>
      <c r="D767" s="76" t="s">
        <v>2060</v>
      </c>
      <c r="E767" s="77">
        <v>1272.6199999999999</v>
      </c>
      <c r="F767" s="76" t="s">
        <v>70</v>
      </c>
      <c r="G767" s="76"/>
      <c r="H767" s="76" t="s">
        <v>282</v>
      </c>
      <c r="I767" s="78">
        <v>45987</v>
      </c>
      <c r="J767" s="78">
        <v>45976</v>
      </c>
      <c r="K767" s="77">
        <v>-3</v>
      </c>
      <c r="L767" s="77">
        <v>-14</v>
      </c>
    </row>
    <row r="768" spans="1:12" ht="22.5">
      <c r="A768" s="76" t="s">
        <v>2061</v>
      </c>
      <c r="B768" s="76" t="s">
        <v>2062</v>
      </c>
      <c r="C768" s="76" t="s">
        <v>2063</v>
      </c>
      <c r="D768" s="76" t="s">
        <v>2064</v>
      </c>
      <c r="E768" s="77">
        <v>375.66</v>
      </c>
      <c r="F768" s="76" t="s">
        <v>80</v>
      </c>
      <c r="G768" s="76"/>
      <c r="H768" s="76" t="s">
        <v>272</v>
      </c>
      <c r="I768" s="78">
        <v>45983</v>
      </c>
      <c r="J768" s="78">
        <v>45976</v>
      </c>
      <c r="K768" s="77">
        <v>-7</v>
      </c>
      <c r="L768" s="77">
        <v>-14</v>
      </c>
    </row>
    <row r="769" spans="1:12" ht="22.5">
      <c r="A769" s="76" t="s">
        <v>2061</v>
      </c>
      <c r="B769" s="76" t="s">
        <v>2062</v>
      </c>
      <c r="C769" s="76" t="s">
        <v>2245</v>
      </c>
      <c r="D769" s="76" t="s">
        <v>2246</v>
      </c>
      <c r="E769" s="77">
        <v>143.22999999999999</v>
      </c>
      <c r="F769" s="76" t="s">
        <v>890</v>
      </c>
      <c r="G769" s="76"/>
      <c r="H769" s="76" t="s">
        <v>272</v>
      </c>
      <c r="I769" s="78">
        <v>45983</v>
      </c>
      <c r="J769" s="78">
        <v>45976</v>
      </c>
      <c r="K769" s="77">
        <v>-7</v>
      </c>
      <c r="L769" s="77">
        <v>-14</v>
      </c>
    </row>
    <row r="770" spans="1:12" ht="33.75">
      <c r="A770" s="76" t="s">
        <v>2061</v>
      </c>
      <c r="B770" s="76" t="s">
        <v>2062</v>
      </c>
      <c r="C770" s="76" t="s">
        <v>2471</v>
      </c>
      <c r="D770" s="76" t="s">
        <v>2472</v>
      </c>
      <c r="E770" s="77">
        <v>52.57</v>
      </c>
      <c r="F770" s="76" t="s">
        <v>81</v>
      </c>
      <c r="G770" s="76"/>
      <c r="H770" s="76" t="s">
        <v>272</v>
      </c>
      <c r="I770" s="78">
        <v>45983</v>
      </c>
      <c r="J770" s="78">
        <v>45976</v>
      </c>
      <c r="K770" s="77">
        <v>-7</v>
      </c>
      <c r="L770" s="77">
        <v>-14</v>
      </c>
    </row>
    <row r="771" spans="1:12" ht="33.75">
      <c r="A771" s="76" t="s">
        <v>2061</v>
      </c>
      <c r="B771" s="76" t="s">
        <v>2062</v>
      </c>
      <c r="C771" s="76" t="s">
        <v>2247</v>
      </c>
      <c r="D771" s="76" t="s">
        <v>2065</v>
      </c>
      <c r="E771" s="77">
        <v>1464</v>
      </c>
      <c r="F771" s="76" t="s">
        <v>126</v>
      </c>
      <c r="G771" s="76"/>
      <c r="H771" s="76" t="s">
        <v>272</v>
      </c>
      <c r="I771" s="78">
        <v>45983</v>
      </c>
      <c r="J771" s="78">
        <v>45976</v>
      </c>
      <c r="K771" s="77">
        <v>-7</v>
      </c>
      <c r="L771" s="77">
        <v>-14</v>
      </c>
    </row>
    <row r="772" spans="1:12" ht="33.75">
      <c r="A772" s="76" t="s">
        <v>2066</v>
      </c>
      <c r="B772" s="76" t="s">
        <v>2067</v>
      </c>
      <c r="C772" s="76" t="s">
        <v>307</v>
      </c>
      <c r="D772" s="76" t="s">
        <v>2068</v>
      </c>
      <c r="E772" s="79"/>
      <c r="F772" s="76" t="s">
        <v>157</v>
      </c>
      <c r="G772" s="76"/>
      <c r="H772" s="76" t="s">
        <v>273</v>
      </c>
      <c r="I772" s="78">
        <v>45985</v>
      </c>
      <c r="J772" s="78">
        <v>45976</v>
      </c>
      <c r="K772" s="77">
        <v>-5</v>
      </c>
      <c r="L772" s="77">
        <v>-14</v>
      </c>
    </row>
    <row r="773" spans="1:12" ht="33.75">
      <c r="A773" s="76" t="s">
        <v>2069</v>
      </c>
      <c r="B773" s="76" t="s">
        <v>2070</v>
      </c>
      <c r="C773" s="76" t="s">
        <v>307</v>
      </c>
      <c r="D773" s="76" t="s">
        <v>2071</v>
      </c>
      <c r="E773" s="79"/>
      <c r="F773" s="76" t="s">
        <v>157</v>
      </c>
      <c r="G773" s="76"/>
      <c r="H773" s="76" t="s">
        <v>273</v>
      </c>
      <c r="I773" s="78">
        <v>45985</v>
      </c>
      <c r="J773" s="78">
        <v>45976</v>
      </c>
      <c r="K773" s="77">
        <v>-5</v>
      </c>
      <c r="L773" s="77">
        <v>-14</v>
      </c>
    </row>
    <row r="774" spans="1:12" ht="33.75">
      <c r="A774" s="76" t="s">
        <v>2072</v>
      </c>
      <c r="B774" s="76" t="s">
        <v>2073</v>
      </c>
      <c r="C774" s="76" t="s">
        <v>2224</v>
      </c>
      <c r="D774" s="76" t="s">
        <v>2074</v>
      </c>
      <c r="E774" s="77">
        <v>489.97</v>
      </c>
      <c r="F774" s="76" t="s">
        <v>128</v>
      </c>
      <c r="G774" s="76"/>
      <c r="H774" s="76" t="s">
        <v>272</v>
      </c>
      <c r="I774" s="78">
        <v>45983</v>
      </c>
      <c r="J774" s="78">
        <v>45976</v>
      </c>
      <c r="K774" s="77">
        <v>-7</v>
      </c>
      <c r="L774" s="77">
        <v>-14</v>
      </c>
    </row>
    <row r="775" spans="1:12" ht="33.75">
      <c r="A775" s="76" t="s">
        <v>2072</v>
      </c>
      <c r="B775" s="76" t="s">
        <v>2073</v>
      </c>
      <c r="C775" s="76" t="s">
        <v>2248</v>
      </c>
      <c r="D775" s="76" t="s">
        <v>2249</v>
      </c>
      <c r="E775" s="77">
        <v>274.38</v>
      </c>
      <c r="F775" s="76" t="s">
        <v>85</v>
      </c>
      <c r="G775" s="76"/>
      <c r="H775" s="76" t="s">
        <v>272</v>
      </c>
      <c r="I775" s="78">
        <v>45983</v>
      </c>
      <c r="J775" s="78">
        <v>45976</v>
      </c>
      <c r="K775" s="77">
        <v>-7</v>
      </c>
      <c r="L775" s="77">
        <v>-14</v>
      </c>
    </row>
    <row r="776" spans="1:12" ht="33.75">
      <c r="A776" s="76" t="s">
        <v>2075</v>
      </c>
      <c r="B776" s="76" t="s">
        <v>2076</v>
      </c>
      <c r="C776" s="76" t="s">
        <v>2247</v>
      </c>
      <c r="D776" s="76" t="s">
        <v>2077</v>
      </c>
      <c r="E776" s="77">
        <v>1464</v>
      </c>
      <c r="F776" s="76" t="s">
        <v>126</v>
      </c>
      <c r="G776" s="76"/>
      <c r="H776" s="76" t="s">
        <v>272</v>
      </c>
      <c r="I776" s="78">
        <v>45983</v>
      </c>
      <c r="J776" s="78">
        <v>45976</v>
      </c>
      <c r="K776" s="77">
        <v>-7</v>
      </c>
      <c r="L776" s="77">
        <v>-14</v>
      </c>
    </row>
    <row r="777" spans="1:12" ht="22.5">
      <c r="A777" s="76" t="s">
        <v>2078</v>
      </c>
      <c r="B777" s="76" t="s">
        <v>2079</v>
      </c>
      <c r="C777" s="76" t="s">
        <v>2250</v>
      </c>
      <c r="D777" s="76" t="s">
        <v>2080</v>
      </c>
      <c r="E777" s="77">
        <v>194.1</v>
      </c>
      <c r="F777" s="76" t="s">
        <v>80</v>
      </c>
      <c r="G777" s="76"/>
      <c r="H777" s="76" t="s">
        <v>272</v>
      </c>
      <c r="I777" s="78">
        <v>45983</v>
      </c>
      <c r="J777" s="78">
        <v>45976</v>
      </c>
      <c r="K777" s="77">
        <v>-7</v>
      </c>
      <c r="L777" s="77">
        <v>-14</v>
      </c>
    </row>
    <row r="778" spans="1:12" ht="33.75">
      <c r="A778" s="76" t="s">
        <v>2078</v>
      </c>
      <c r="B778" s="76" t="s">
        <v>2081</v>
      </c>
      <c r="C778" s="76" t="s">
        <v>2247</v>
      </c>
      <c r="D778" s="76" t="s">
        <v>2082</v>
      </c>
      <c r="E778" s="77">
        <v>1464</v>
      </c>
      <c r="F778" s="76" t="s">
        <v>126</v>
      </c>
      <c r="G778" s="76"/>
      <c r="H778" s="76" t="s">
        <v>272</v>
      </c>
      <c r="I778" s="78">
        <v>45983</v>
      </c>
      <c r="J778" s="78">
        <v>45976</v>
      </c>
      <c r="K778" s="77">
        <v>-7</v>
      </c>
      <c r="L778" s="77">
        <v>-14</v>
      </c>
    </row>
    <row r="779" spans="1:12" ht="22.5">
      <c r="A779" s="76" t="s">
        <v>2083</v>
      </c>
      <c r="B779" s="76" t="s">
        <v>2045</v>
      </c>
      <c r="C779" s="76" t="s">
        <v>1966</v>
      </c>
      <c r="D779" s="76" t="s">
        <v>2084</v>
      </c>
      <c r="E779" s="77">
        <v>1272.6199999999999</v>
      </c>
      <c r="F779" s="76" t="s">
        <v>70</v>
      </c>
      <c r="G779" s="76"/>
      <c r="H779" s="76" t="s">
        <v>282</v>
      </c>
      <c r="I779" s="78">
        <v>45987</v>
      </c>
      <c r="J779" s="78">
        <v>45976</v>
      </c>
      <c r="K779" s="77">
        <v>-3</v>
      </c>
      <c r="L779" s="77">
        <v>-14</v>
      </c>
    </row>
    <row r="780" spans="1:12" ht="22.5">
      <c r="A780" s="76" t="s">
        <v>2083</v>
      </c>
      <c r="B780" s="76" t="s">
        <v>1989</v>
      </c>
      <c r="C780" s="76" t="s">
        <v>1966</v>
      </c>
      <c r="D780" s="76" t="s">
        <v>2085</v>
      </c>
      <c r="E780" s="77">
        <v>1272.6199999999999</v>
      </c>
      <c r="F780" s="76" t="s">
        <v>70</v>
      </c>
      <c r="G780" s="76"/>
      <c r="H780" s="76" t="s">
        <v>282</v>
      </c>
      <c r="I780" s="78">
        <v>45987</v>
      </c>
      <c r="J780" s="78">
        <v>45976</v>
      </c>
      <c r="K780" s="77">
        <v>-3</v>
      </c>
      <c r="L780" s="77">
        <v>-14</v>
      </c>
    </row>
    <row r="781" spans="1:12" ht="22.5">
      <c r="A781" s="76" t="s">
        <v>2083</v>
      </c>
      <c r="B781" s="76" t="s">
        <v>2039</v>
      </c>
      <c r="C781" s="76" t="s">
        <v>1966</v>
      </c>
      <c r="D781" s="76" t="s">
        <v>2086</v>
      </c>
      <c r="E781" s="77">
        <v>1272.6199999999999</v>
      </c>
      <c r="F781" s="76" t="s">
        <v>70</v>
      </c>
      <c r="G781" s="76"/>
      <c r="H781" s="76" t="s">
        <v>282</v>
      </c>
      <c r="I781" s="78">
        <v>45987</v>
      </c>
      <c r="J781" s="78">
        <v>45976</v>
      </c>
      <c r="K781" s="77">
        <v>-3</v>
      </c>
      <c r="L781" s="77">
        <v>-14</v>
      </c>
    </row>
    <row r="782" spans="1:12" ht="22.5">
      <c r="A782" s="76" t="s">
        <v>2083</v>
      </c>
      <c r="B782" s="76" t="s">
        <v>1965</v>
      </c>
      <c r="C782" s="76" t="s">
        <v>1966</v>
      </c>
      <c r="D782" s="76" t="s">
        <v>2087</v>
      </c>
      <c r="E782" s="77">
        <v>1272.6199999999999</v>
      </c>
      <c r="F782" s="76" t="s">
        <v>70</v>
      </c>
      <c r="G782" s="76"/>
      <c r="H782" s="76" t="s">
        <v>282</v>
      </c>
      <c r="I782" s="78">
        <v>45987</v>
      </c>
      <c r="J782" s="78">
        <v>45976</v>
      </c>
      <c r="K782" s="77">
        <v>-3</v>
      </c>
      <c r="L782" s="77">
        <v>-14</v>
      </c>
    </row>
    <row r="783" spans="1:12" ht="22.5">
      <c r="A783" s="76" t="s">
        <v>2083</v>
      </c>
      <c r="B783" s="76" t="s">
        <v>2023</v>
      </c>
      <c r="C783" s="76" t="s">
        <v>1966</v>
      </c>
      <c r="D783" s="76" t="s">
        <v>2088</v>
      </c>
      <c r="E783" s="77">
        <v>1272.6199999999999</v>
      </c>
      <c r="F783" s="76" t="s">
        <v>70</v>
      </c>
      <c r="G783" s="76"/>
      <c r="H783" s="76" t="s">
        <v>282</v>
      </c>
      <c r="I783" s="78">
        <v>45987</v>
      </c>
      <c r="J783" s="78">
        <v>45976</v>
      </c>
      <c r="K783" s="77">
        <v>-3</v>
      </c>
      <c r="L783" s="77">
        <v>-14</v>
      </c>
    </row>
    <row r="784" spans="1:12" ht="22.5">
      <c r="A784" s="76" t="s">
        <v>2083</v>
      </c>
      <c r="B784" s="76" t="s">
        <v>1987</v>
      </c>
      <c r="C784" s="76" t="s">
        <v>1966</v>
      </c>
      <c r="D784" s="76" t="s">
        <v>2089</v>
      </c>
      <c r="E784" s="77">
        <v>1272.6199999999999</v>
      </c>
      <c r="F784" s="76" t="s">
        <v>70</v>
      </c>
      <c r="G784" s="76"/>
      <c r="H784" s="76" t="s">
        <v>282</v>
      </c>
      <c r="I784" s="78">
        <v>45987</v>
      </c>
      <c r="J784" s="78">
        <v>45976</v>
      </c>
      <c r="K784" s="77">
        <v>-3</v>
      </c>
      <c r="L784" s="77">
        <v>-14</v>
      </c>
    </row>
    <row r="785" spans="1:12" ht="22.5">
      <c r="A785" s="76" t="s">
        <v>2083</v>
      </c>
      <c r="B785" s="76" t="s">
        <v>1999</v>
      </c>
      <c r="C785" s="76" t="s">
        <v>1966</v>
      </c>
      <c r="D785" s="76" t="s">
        <v>2090</v>
      </c>
      <c r="E785" s="77">
        <v>1272.6199999999999</v>
      </c>
      <c r="F785" s="76" t="s">
        <v>70</v>
      </c>
      <c r="G785" s="76"/>
      <c r="H785" s="76" t="s">
        <v>282</v>
      </c>
      <c r="I785" s="78">
        <v>45987</v>
      </c>
      <c r="J785" s="78">
        <v>45976</v>
      </c>
      <c r="K785" s="77">
        <v>-3</v>
      </c>
      <c r="L785" s="77">
        <v>-14</v>
      </c>
    </row>
    <row r="786" spans="1:12" ht="22.5">
      <c r="A786" s="76" t="s">
        <v>2083</v>
      </c>
      <c r="B786" s="76" t="s">
        <v>1981</v>
      </c>
      <c r="C786" s="76" t="s">
        <v>1966</v>
      </c>
      <c r="D786" s="76" t="s">
        <v>2091</v>
      </c>
      <c r="E786" s="77">
        <v>1272.6199999999999</v>
      </c>
      <c r="F786" s="76" t="s">
        <v>70</v>
      </c>
      <c r="G786" s="76"/>
      <c r="H786" s="76" t="s">
        <v>282</v>
      </c>
      <c r="I786" s="78">
        <v>45987</v>
      </c>
      <c r="J786" s="78">
        <v>45976</v>
      </c>
      <c r="K786" s="77">
        <v>-3</v>
      </c>
      <c r="L786" s="77">
        <v>-14</v>
      </c>
    </row>
    <row r="787" spans="1:12" ht="22.5">
      <c r="A787" s="76" t="s">
        <v>2083</v>
      </c>
      <c r="B787" s="76" t="s">
        <v>1974</v>
      </c>
      <c r="C787" s="76" t="s">
        <v>1966</v>
      </c>
      <c r="D787" s="76" t="s">
        <v>2092</v>
      </c>
      <c r="E787" s="77">
        <v>1272.6199999999999</v>
      </c>
      <c r="F787" s="76" t="s">
        <v>70</v>
      </c>
      <c r="G787" s="76"/>
      <c r="H787" s="76" t="s">
        <v>282</v>
      </c>
      <c r="I787" s="78">
        <v>45987</v>
      </c>
      <c r="J787" s="78">
        <v>45976</v>
      </c>
      <c r="K787" s="77">
        <v>-3</v>
      </c>
      <c r="L787" s="77">
        <v>-14</v>
      </c>
    </row>
    <row r="788" spans="1:12" ht="22.5">
      <c r="A788" s="76" t="s">
        <v>2083</v>
      </c>
      <c r="B788" s="76" t="s">
        <v>2049</v>
      </c>
      <c r="C788" s="76" t="s">
        <v>1966</v>
      </c>
      <c r="D788" s="76" t="s">
        <v>2093</v>
      </c>
      <c r="E788" s="77">
        <v>1272.6199999999999</v>
      </c>
      <c r="F788" s="76" t="s">
        <v>70</v>
      </c>
      <c r="G788" s="76"/>
      <c r="H788" s="76" t="s">
        <v>282</v>
      </c>
      <c r="I788" s="78">
        <v>45987</v>
      </c>
      <c r="J788" s="78">
        <v>45976</v>
      </c>
      <c r="K788" s="77">
        <v>-3</v>
      </c>
      <c r="L788" s="77">
        <v>-14</v>
      </c>
    </row>
    <row r="789" spans="1:12" ht="22.5">
      <c r="A789" s="76" t="s">
        <v>2083</v>
      </c>
      <c r="B789" s="76" t="s">
        <v>2051</v>
      </c>
      <c r="C789" s="76" t="s">
        <v>1966</v>
      </c>
      <c r="D789" s="76" t="s">
        <v>2094</v>
      </c>
      <c r="E789" s="77">
        <v>1272.6199999999999</v>
      </c>
      <c r="F789" s="76" t="s">
        <v>70</v>
      </c>
      <c r="G789" s="76"/>
      <c r="H789" s="76" t="s">
        <v>282</v>
      </c>
      <c r="I789" s="78">
        <v>45987</v>
      </c>
      <c r="J789" s="78">
        <v>45976</v>
      </c>
      <c r="K789" s="77">
        <v>-3</v>
      </c>
      <c r="L789" s="77">
        <v>-14</v>
      </c>
    </row>
    <row r="790" spans="1:12" ht="22.5">
      <c r="A790" s="76" t="s">
        <v>2083</v>
      </c>
      <c r="B790" s="76" t="s">
        <v>2005</v>
      </c>
      <c r="C790" s="76" t="s">
        <v>1966</v>
      </c>
      <c r="D790" s="76" t="s">
        <v>2095</v>
      </c>
      <c r="E790" s="77">
        <v>1272.6199999999999</v>
      </c>
      <c r="F790" s="76" t="s">
        <v>70</v>
      </c>
      <c r="G790" s="76"/>
      <c r="H790" s="76" t="s">
        <v>282</v>
      </c>
      <c r="I790" s="78">
        <v>45987</v>
      </c>
      <c r="J790" s="78">
        <v>45976</v>
      </c>
      <c r="K790" s="77">
        <v>-3</v>
      </c>
      <c r="L790" s="77">
        <v>-14</v>
      </c>
    </row>
    <row r="791" spans="1:12" ht="22.5">
      <c r="A791" s="76" t="s">
        <v>2083</v>
      </c>
      <c r="B791" s="76" t="s">
        <v>2096</v>
      </c>
      <c r="C791" s="76" t="s">
        <v>1966</v>
      </c>
      <c r="D791" s="76" t="s">
        <v>2097</v>
      </c>
      <c r="E791" s="77">
        <v>1272.6199999999999</v>
      </c>
      <c r="F791" s="76" t="s">
        <v>70</v>
      </c>
      <c r="G791" s="76"/>
      <c r="H791" s="76" t="s">
        <v>282</v>
      </c>
      <c r="I791" s="78">
        <v>45987</v>
      </c>
      <c r="J791" s="78">
        <v>45976</v>
      </c>
      <c r="K791" s="77">
        <v>-3</v>
      </c>
      <c r="L791" s="77">
        <v>-14</v>
      </c>
    </row>
    <row r="792" spans="1:12" ht="22.5">
      <c r="A792" s="76" t="s">
        <v>2083</v>
      </c>
      <c r="B792" s="76" t="s">
        <v>2059</v>
      </c>
      <c r="C792" s="76" t="s">
        <v>1966</v>
      </c>
      <c r="D792" s="76" t="s">
        <v>2098</v>
      </c>
      <c r="E792" s="77">
        <v>1272.6199999999999</v>
      </c>
      <c r="F792" s="76" t="s">
        <v>70</v>
      </c>
      <c r="G792" s="76"/>
      <c r="H792" s="76" t="s">
        <v>282</v>
      </c>
      <c r="I792" s="78">
        <v>45987</v>
      </c>
      <c r="J792" s="78">
        <v>45976</v>
      </c>
      <c r="K792" s="77">
        <v>-3</v>
      </c>
      <c r="L792" s="77">
        <v>-14</v>
      </c>
    </row>
    <row r="793" spans="1:12" ht="22.5">
      <c r="A793" s="76" t="s">
        <v>2083</v>
      </c>
      <c r="B793" s="76" t="s">
        <v>2015</v>
      </c>
      <c r="C793" s="76" t="s">
        <v>1966</v>
      </c>
      <c r="D793" s="76" t="s">
        <v>2099</v>
      </c>
      <c r="E793" s="77">
        <v>1272.6199999999999</v>
      </c>
      <c r="F793" s="76" t="s">
        <v>70</v>
      </c>
      <c r="G793" s="76"/>
      <c r="H793" s="76" t="s">
        <v>282</v>
      </c>
      <c r="I793" s="78">
        <v>45987</v>
      </c>
      <c r="J793" s="78">
        <v>45976</v>
      </c>
      <c r="K793" s="77">
        <v>-3</v>
      </c>
      <c r="L793" s="77">
        <v>-14</v>
      </c>
    </row>
    <row r="794" spans="1:12" ht="22.5">
      <c r="A794" s="76" t="s">
        <v>2083</v>
      </c>
      <c r="B794" s="76" t="s">
        <v>2055</v>
      </c>
      <c r="C794" s="76" t="s">
        <v>1966</v>
      </c>
      <c r="D794" s="76" t="s">
        <v>2100</v>
      </c>
      <c r="E794" s="77">
        <v>1272.6199999999999</v>
      </c>
      <c r="F794" s="76" t="s">
        <v>70</v>
      </c>
      <c r="G794" s="76"/>
      <c r="H794" s="76" t="s">
        <v>282</v>
      </c>
      <c r="I794" s="78">
        <v>45987</v>
      </c>
      <c r="J794" s="78">
        <v>45976</v>
      </c>
      <c r="K794" s="77">
        <v>-3</v>
      </c>
      <c r="L794" s="77">
        <v>-14</v>
      </c>
    </row>
    <row r="795" spans="1:12" ht="22.5">
      <c r="A795" s="76" t="s">
        <v>2083</v>
      </c>
      <c r="B795" s="76" t="s">
        <v>2101</v>
      </c>
      <c r="C795" s="76" t="s">
        <v>1966</v>
      </c>
      <c r="D795" s="76" t="s">
        <v>2102</v>
      </c>
      <c r="E795" s="77">
        <v>1272.6199999999999</v>
      </c>
      <c r="F795" s="76" t="s">
        <v>70</v>
      </c>
      <c r="G795" s="76"/>
      <c r="H795" s="76" t="s">
        <v>282</v>
      </c>
      <c r="I795" s="78">
        <v>45987</v>
      </c>
      <c r="J795" s="78">
        <v>45976</v>
      </c>
      <c r="K795" s="77">
        <v>-3</v>
      </c>
      <c r="L795" s="77">
        <v>-14</v>
      </c>
    </row>
    <row r="796" spans="1:12" ht="22.5">
      <c r="A796" s="76" t="s">
        <v>2103</v>
      </c>
      <c r="B796" s="76" t="s">
        <v>1778</v>
      </c>
      <c r="C796" s="76" t="s">
        <v>2225</v>
      </c>
      <c r="D796" s="76" t="s">
        <v>2226</v>
      </c>
      <c r="E796" s="77">
        <v>44.08</v>
      </c>
      <c r="F796" s="76" t="s">
        <v>80</v>
      </c>
      <c r="G796" s="76"/>
      <c r="H796" s="76" t="s">
        <v>272</v>
      </c>
      <c r="I796" s="78">
        <v>45983</v>
      </c>
      <c r="J796" s="78">
        <v>45976</v>
      </c>
      <c r="K796" s="77">
        <v>-7</v>
      </c>
      <c r="L796" s="77">
        <v>-14</v>
      </c>
    </row>
    <row r="797" spans="1:12" ht="22.5">
      <c r="A797" s="76" t="s">
        <v>2103</v>
      </c>
      <c r="B797" s="76" t="s">
        <v>1778</v>
      </c>
      <c r="C797" s="76" t="s">
        <v>2063</v>
      </c>
      <c r="D797" s="76" t="s">
        <v>2104</v>
      </c>
      <c r="E797" s="77">
        <v>375.66</v>
      </c>
      <c r="F797" s="76" t="s">
        <v>80</v>
      </c>
      <c r="G797" s="76"/>
      <c r="H797" s="76" t="s">
        <v>272</v>
      </c>
      <c r="I797" s="78">
        <v>45983</v>
      </c>
      <c r="J797" s="78">
        <v>45976</v>
      </c>
      <c r="K797" s="77">
        <v>-7</v>
      </c>
      <c r="L797" s="77">
        <v>-14</v>
      </c>
    </row>
    <row r="798" spans="1:12" ht="33.75">
      <c r="A798" s="76" t="s">
        <v>2105</v>
      </c>
      <c r="B798" s="76" t="s">
        <v>1778</v>
      </c>
      <c r="C798" s="76" t="s">
        <v>2227</v>
      </c>
      <c r="D798" s="76" t="s">
        <v>2228</v>
      </c>
      <c r="E798" s="77">
        <v>116.47</v>
      </c>
      <c r="F798" s="76" t="s">
        <v>85</v>
      </c>
      <c r="G798" s="76"/>
      <c r="H798" s="76" t="s">
        <v>272</v>
      </c>
      <c r="I798" s="78">
        <v>45983</v>
      </c>
      <c r="J798" s="78">
        <v>45976</v>
      </c>
      <c r="K798" s="77">
        <v>-7</v>
      </c>
      <c r="L798" s="77">
        <v>-14</v>
      </c>
    </row>
    <row r="799" spans="1:12" ht="22.5">
      <c r="A799" s="76" t="s">
        <v>2105</v>
      </c>
      <c r="B799" s="76" t="s">
        <v>1778</v>
      </c>
      <c r="C799" s="76" t="s">
        <v>2106</v>
      </c>
      <c r="D799" s="76" t="s">
        <v>2107</v>
      </c>
      <c r="E799" s="77">
        <v>446.95</v>
      </c>
      <c r="F799" s="76" t="s">
        <v>126</v>
      </c>
      <c r="G799" s="76"/>
      <c r="H799" s="76" t="s">
        <v>272</v>
      </c>
      <c r="I799" s="78">
        <v>45983</v>
      </c>
      <c r="J799" s="78">
        <v>45976</v>
      </c>
      <c r="K799" s="77">
        <v>-7</v>
      </c>
      <c r="L799" s="77">
        <v>-14</v>
      </c>
    </row>
    <row r="800" spans="1:12" ht="33.75">
      <c r="A800" s="76" t="s">
        <v>2105</v>
      </c>
      <c r="B800" s="76" t="s">
        <v>1778</v>
      </c>
      <c r="C800" s="76" t="s">
        <v>2251</v>
      </c>
      <c r="D800" s="76" t="s">
        <v>2252</v>
      </c>
      <c r="E800" s="77">
        <v>242.91</v>
      </c>
      <c r="F800" s="76" t="s">
        <v>126</v>
      </c>
      <c r="G800" s="76"/>
      <c r="H800" s="76" t="s">
        <v>272</v>
      </c>
      <c r="I800" s="78">
        <v>45983</v>
      </c>
      <c r="J800" s="78">
        <v>45976</v>
      </c>
      <c r="K800" s="77">
        <v>-7</v>
      </c>
      <c r="L800" s="77">
        <v>-14</v>
      </c>
    </row>
    <row r="801" spans="1:12" ht="33.75">
      <c r="A801" s="76" t="s">
        <v>2109</v>
      </c>
      <c r="B801" s="76" t="s">
        <v>2110</v>
      </c>
      <c r="C801" s="76" t="s">
        <v>307</v>
      </c>
      <c r="D801" s="76" t="s">
        <v>2111</v>
      </c>
      <c r="E801" s="79"/>
      <c r="F801" s="76" t="s">
        <v>167</v>
      </c>
      <c r="G801" s="76"/>
      <c r="H801" s="76" t="s">
        <v>272</v>
      </c>
      <c r="I801" s="78">
        <v>45983</v>
      </c>
      <c r="J801" s="78">
        <v>45976</v>
      </c>
      <c r="K801" s="77">
        <v>-7</v>
      </c>
      <c r="L801" s="77">
        <v>-14</v>
      </c>
    </row>
    <row r="802" spans="1:12" ht="33.75">
      <c r="A802" s="76" t="s">
        <v>2109</v>
      </c>
      <c r="B802" s="76" t="s">
        <v>2112</v>
      </c>
      <c r="C802" s="76" t="s">
        <v>307</v>
      </c>
      <c r="D802" s="76" t="s">
        <v>2113</v>
      </c>
      <c r="E802" s="79"/>
      <c r="F802" s="76" t="s">
        <v>167</v>
      </c>
      <c r="G802" s="76"/>
      <c r="H802" s="76" t="s">
        <v>272</v>
      </c>
      <c r="I802" s="78">
        <v>45983</v>
      </c>
      <c r="J802" s="78">
        <v>45976</v>
      </c>
      <c r="K802" s="77">
        <v>-7</v>
      </c>
      <c r="L802" s="77">
        <v>-14</v>
      </c>
    </row>
    <row r="803" spans="1:12" ht="33.75">
      <c r="A803" s="76" t="s">
        <v>2109</v>
      </c>
      <c r="B803" s="76" t="s">
        <v>2114</v>
      </c>
      <c r="C803" s="76" t="s">
        <v>307</v>
      </c>
      <c r="D803" s="76" t="s">
        <v>2115</v>
      </c>
      <c r="E803" s="79"/>
      <c r="F803" s="76" t="s">
        <v>167</v>
      </c>
      <c r="G803" s="76"/>
      <c r="H803" s="76" t="s">
        <v>272</v>
      </c>
      <c r="I803" s="78">
        <v>45983</v>
      </c>
      <c r="J803" s="78">
        <v>45976</v>
      </c>
      <c r="K803" s="77">
        <v>-7</v>
      </c>
      <c r="L803" s="77">
        <v>-14</v>
      </c>
    </row>
    <row r="804" spans="1:12" ht="33.75">
      <c r="A804" s="76" t="s">
        <v>2109</v>
      </c>
      <c r="B804" s="76" t="s">
        <v>2116</v>
      </c>
      <c r="C804" s="76" t="s">
        <v>307</v>
      </c>
      <c r="D804" s="76" t="s">
        <v>2117</v>
      </c>
      <c r="E804" s="79"/>
      <c r="F804" s="76" t="s">
        <v>167</v>
      </c>
      <c r="G804" s="76"/>
      <c r="H804" s="76" t="s">
        <v>272</v>
      </c>
      <c r="I804" s="78">
        <v>45983</v>
      </c>
      <c r="J804" s="78">
        <v>45976</v>
      </c>
      <c r="K804" s="77">
        <v>-7</v>
      </c>
      <c r="L804" s="77">
        <v>-14</v>
      </c>
    </row>
    <row r="805" spans="1:12" ht="33.75">
      <c r="A805" s="76" t="s">
        <v>2109</v>
      </c>
      <c r="B805" s="76" t="s">
        <v>2118</v>
      </c>
      <c r="C805" s="76" t="s">
        <v>307</v>
      </c>
      <c r="D805" s="76" t="s">
        <v>2119</v>
      </c>
      <c r="E805" s="79"/>
      <c r="F805" s="76" t="s">
        <v>167</v>
      </c>
      <c r="G805" s="76"/>
      <c r="H805" s="76" t="s">
        <v>272</v>
      </c>
      <c r="I805" s="78">
        <v>45983</v>
      </c>
      <c r="J805" s="78">
        <v>45976</v>
      </c>
      <c r="K805" s="77">
        <v>-7</v>
      </c>
      <c r="L805" s="77">
        <v>-14</v>
      </c>
    </row>
    <row r="806" spans="1:12" ht="33.75">
      <c r="A806" s="76" t="s">
        <v>2109</v>
      </c>
      <c r="B806" s="76" t="s">
        <v>2120</v>
      </c>
      <c r="C806" s="76" t="s">
        <v>307</v>
      </c>
      <c r="D806" s="76" t="s">
        <v>2121</v>
      </c>
      <c r="E806" s="79"/>
      <c r="F806" s="76" t="s">
        <v>167</v>
      </c>
      <c r="G806" s="76"/>
      <c r="H806" s="76" t="s">
        <v>272</v>
      </c>
      <c r="I806" s="78">
        <v>45983</v>
      </c>
      <c r="J806" s="78">
        <v>45976</v>
      </c>
      <c r="K806" s="77">
        <v>-7</v>
      </c>
      <c r="L806" s="77">
        <v>-14</v>
      </c>
    </row>
    <row r="807" spans="1:12" ht="56.25">
      <c r="A807" s="76" t="s">
        <v>2108</v>
      </c>
      <c r="B807" s="76" t="s">
        <v>2122</v>
      </c>
      <c r="C807" s="76" t="s">
        <v>307</v>
      </c>
      <c r="D807" s="76" t="s">
        <v>2123</v>
      </c>
      <c r="E807" s="77">
        <v>151.08000000000001</v>
      </c>
      <c r="F807" s="76" t="s">
        <v>85</v>
      </c>
      <c r="G807" s="76"/>
      <c r="H807" s="76" t="s">
        <v>273</v>
      </c>
      <c r="I807" s="78">
        <v>45983</v>
      </c>
      <c r="J807" s="78">
        <v>45976</v>
      </c>
      <c r="K807" s="77">
        <v>-7</v>
      </c>
      <c r="L807" s="77">
        <v>-14</v>
      </c>
    </row>
    <row r="808" spans="1:12" ht="33.75">
      <c r="A808" s="76" t="s">
        <v>2124</v>
      </c>
      <c r="B808" s="76" t="s">
        <v>1832</v>
      </c>
      <c r="C808" s="76" t="s">
        <v>307</v>
      </c>
      <c r="D808" s="76" t="s">
        <v>2125</v>
      </c>
      <c r="E808" s="79"/>
      <c r="F808" s="76" t="s">
        <v>155</v>
      </c>
      <c r="G808" s="76"/>
      <c r="H808" s="76" t="s">
        <v>272</v>
      </c>
      <c r="I808" s="78">
        <v>45986</v>
      </c>
      <c r="J808" s="78">
        <v>45976</v>
      </c>
      <c r="K808" s="77">
        <v>-4</v>
      </c>
      <c r="L808" s="77">
        <v>-14</v>
      </c>
    </row>
    <row r="809" spans="1:12" ht="33.75">
      <c r="A809" s="76" t="s">
        <v>2126</v>
      </c>
      <c r="B809" s="76" t="s">
        <v>2127</v>
      </c>
      <c r="C809" s="76" t="s">
        <v>2229</v>
      </c>
      <c r="D809" s="76" t="s">
        <v>2128</v>
      </c>
      <c r="E809" s="77">
        <v>22.24</v>
      </c>
      <c r="F809" s="76" t="s">
        <v>184</v>
      </c>
      <c r="G809" s="76"/>
      <c r="H809" s="76" t="s">
        <v>273</v>
      </c>
      <c r="I809" s="78">
        <v>45983</v>
      </c>
      <c r="J809" s="78">
        <v>45976</v>
      </c>
      <c r="K809" s="77">
        <v>-7</v>
      </c>
      <c r="L809" s="77">
        <v>-14</v>
      </c>
    </row>
    <row r="810" spans="1:12" ht="33.75">
      <c r="A810" s="76" t="s">
        <v>2130</v>
      </c>
      <c r="B810" s="76" t="s">
        <v>2131</v>
      </c>
      <c r="C810" s="76" t="s">
        <v>307</v>
      </c>
      <c r="D810" s="76" t="s">
        <v>2132</v>
      </c>
      <c r="E810" s="79"/>
      <c r="F810" s="76" t="s">
        <v>157</v>
      </c>
      <c r="G810" s="76"/>
      <c r="H810" s="76" t="s">
        <v>273</v>
      </c>
      <c r="I810" s="78">
        <v>45986</v>
      </c>
      <c r="J810" s="78">
        <v>45976</v>
      </c>
      <c r="K810" s="77">
        <v>-4</v>
      </c>
      <c r="L810" s="77">
        <v>-14</v>
      </c>
    </row>
    <row r="811" spans="1:12" ht="33.75">
      <c r="A811" s="76" t="s">
        <v>2130</v>
      </c>
      <c r="B811" s="76" t="s">
        <v>2134</v>
      </c>
      <c r="C811" s="76" t="s">
        <v>307</v>
      </c>
      <c r="D811" s="76" t="s">
        <v>2135</v>
      </c>
      <c r="E811" s="79"/>
      <c r="F811" s="76" t="s">
        <v>157</v>
      </c>
      <c r="G811" s="76"/>
      <c r="H811" s="76" t="s">
        <v>273</v>
      </c>
      <c r="I811" s="78">
        <v>45986</v>
      </c>
      <c r="J811" s="78">
        <v>45976</v>
      </c>
      <c r="K811" s="77">
        <v>-4</v>
      </c>
      <c r="L811" s="77">
        <v>-14</v>
      </c>
    </row>
    <row r="812" spans="1:12" ht="33.75">
      <c r="A812" s="76" t="s">
        <v>2130</v>
      </c>
      <c r="B812" s="76" t="s">
        <v>2136</v>
      </c>
      <c r="C812" s="76" t="s">
        <v>307</v>
      </c>
      <c r="D812" s="76" t="s">
        <v>2137</v>
      </c>
      <c r="E812" s="77">
        <v>118.49</v>
      </c>
      <c r="F812" s="76" t="s">
        <v>66</v>
      </c>
      <c r="G812" s="76"/>
      <c r="H812" s="76" t="s">
        <v>273</v>
      </c>
      <c r="I812" s="78">
        <v>45986</v>
      </c>
      <c r="J812" s="78">
        <v>45976</v>
      </c>
      <c r="K812" s="77">
        <v>-4</v>
      </c>
      <c r="L812" s="77">
        <v>-14</v>
      </c>
    </row>
    <row r="813" spans="1:12" ht="45">
      <c r="A813" s="76" t="s">
        <v>2130</v>
      </c>
      <c r="B813" s="76" t="s">
        <v>2138</v>
      </c>
      <c r="C813" s="76" t="s">
        <v>307</v>
      </c>
      <c r="D813" s="76" t="s">
        <v>2139</v>
      </c>
      <c r="E813" s="77">
        <v>47.37</v>
      </c>
      <c r="F813" s="76"/>
      <c r="G813" s="76" t="s">
        <v>187</v>
      </c>
      <c r="H813" s="76" t="s">
        <v>273</v>
      </c>
      <c r="I813" s="78">
        <v>45986</v>
      </c>
      <c r="J813" s="78">
        <v>45976</v>
      </c>
      <c r="K813" s="77">
        <v>-4</v>
      </c>
      <c r="L813" s="77">
        <v>-14</v>
      </c>
    </row>
    <row r="814" spans="1:12" ht="33.75">
      <c r="A814" s="76" t="s">
        <v>2130</v>
      </c>
      <c r="B814" s="76" t="s">
        <v>2140</v>
      </c>
      <c r="C814" s="76" t="s">
        <v>307</v>
      </c>
      <c r="D814" s="76" t="s">
        <v>2141</v>
      </c>
      <c r="E814" s="77">
        <v>125.2</v>
      </c>
      <c r="F814" s="76" t="s">
        <v>126</v>
      </c>
      <c r="G814" s="76"/>
      <c r="H814" s="76" t="s">
        <v>273</v>
      </c>
      <c r="I814" s="78">
        <v>45986</v>
      </c>
      <c r="J814" s="78">
        <v>45976</v>
      </c>
      <c r="K814" s="77">
        <v>-4</v>
      </c>
      <c r="L814" s="77">
        <v>-14</v>
      </c>
    </row>
    <row r="815" spans="1:12" ht="22.5">
      <c r="A815" s="76" t="s">
        <v>2142</v>
      </c>
      <c r="B815" s="76" t="s">
        <v>2133</v>
      </c>
      <c r="C815" s="76" t="s">
        <v>307</v>
      </c>
      <c r="D815" s="76" t="s">
        <v>2143</v>
      </c>
      <c r="E815" s="77">
        <v>5.36</v>
      </c>
      <c r="F815" s="76" t="s">
        <v>184</v>
      </c>
      <c r="G815" s="76"/>
      <c r="H815" s="76" t="s">
        <v>273</v>
      </c>
      <c r="I815" s="78">
        <v>45987</v>
      </c>
      <c r="J815" s="78">
        <v>45976</v>
      </c>
      <c r="K815" s="77">
        <v>-3</v>
      </c>
      <c r="L815" s="77">
        <v>-14</v>
      </c>
    </row>
    <row r="816" spans="1:12" ht="33.75">
      <c r="A816" s="76" t="s">
        <v>2142</v>
      </c>
      <c r="B816" s="76" t="s">
        <v>2131</v>
      </c>
      <c r="C816" s="76" t="s">
        <v>307</v>
      </c>
      <c r="D816" s="76" t="s">
        <v>2144</v>
      </c>
      <c r="E816" s="79"/>
      <c r="F816" s="76" t="s">
        <v>157</v>
      </c>
      <c r="G816" s="76"/>
      <c r="H816" s="76" t="s">
        <v>273</v>
      </c>
      <c r="I816" s="78">
        <v>45987</v>
      </c>
      <c r="J816" s="78">
        <v>45976</v>
      </c>
      <c r="K816" s="77">
        <v>-3</v>
      </c>
      <c r="L816" s="77">
        <v>-14</v>
      </c>
    </row>
    <row r="817" spans="1:12" ht="22.5">
      <c r="A817" s="76" t="s">
        <v>2142</v>
      </c>
      <c r="B817" s="76" t="s">
        <v>2136</v>
      </c>
      <c r="C817" s="76" t="s">
        <v>307</v>
      </c>
      <c r="D817" s="76" t="s">
        <v>2145</v>
      </c>
      <c r="E817" s="77">
        <v>7.42</v>
      </c>
      <c r="F817" s="76" t="s">
        <v>66</v>
      </c>
      <c r="G817" s="76"/>
      <c r="H817" s="76" t="s">
        <v>273</v>
      </c>
      <c r="I817" s="78">
        <v>45987</v>
      </c>
      <c r="J817" s="78">
        <v>45976</v>
      </c>
      <c r="K817" s="77">
        <v>-3</v>
      </c>
      <c r="L817" s="77">
        <v>-14</v>
      </c>
    </row>
    <row r="818" spans="1:12" ht="45">
      <c r="A818" s="76" t="s">
        <v>2142</v>
      </c>
      <c r="B818" s="76" t="s">
        <v>2138</v>
      </c>
      <c r="C818" s="76" t="s">
        <v>307</v>
      </c>
      <c r="D818" s="76" t="s">
        <v>2146</v>
      </c>
      <c r="E818" s="77">
        <v>5.9</v>
      </c>
      <c r="F818" s="76"/>
      <c r="G818" s="76" t="s">
        <v>187</v>
      </c>
      <c r="H818" s="76" t="s">
        <v>273</v>
      </c>
      <c r="I818" s="78">
        <v>45987</v>
      </c>
      <c r="J818" s="78">
        <v>45976</v>
      </c>
      <c r="K818" s="77">
        <v>-3</v>
      </c>
      <c r="L818" s="77">
        <v>-14</v>
      </c>
    </row>
    <row r="819" spans="1:12" ht="33.75">
      <c r="A819" s="76" t="s">
        <v>2142</v>
      </c>
      <c r="B819" s="76" t="s">
        <v>2131</v>
      </c>
      <c r="C819" s="76" t="s">
        <v>307</v>
      </c>
      <c r="D819" s="76" t="s">
        <v>2147</v>
      </c>
      <c r="E819" s="79"/>
      <c r="F819" s="76" t="s">
        <v>157</v>
      </c>
      <c r="G819" s="76"/>
      <c r="H819" s="76" t="s">
        <v>273</v>
      </c>
      <c r="I819" s="78">
        <v>45987</v>
      </c>
      <c r="J819" s="78">
        <v>45976</v>
      </c>
      <c r="K819" s="77">
        <v>-3</v>
      </c>
      <c r="L819" s="77">
        <v>-14</v>
      </c>
    </row>
    <row r="820" spans="1:12" ht="22.5">
      <c r="A820" s="76" t="s">
        <v>2142</v>
      </c>
      <c r="B820" s="76" t="s">
        <v>2140</v>
      </c>
      <c r="C820" s="76" t="s">
        <v>307</v>
      </c>
      <c r="D820" s="76" t="s">
        <v>2148</v>
      </c>
      <c r="E820" s="77">
        <v>6.91</v>
      </c>
      <c r="F820" s="76" t="s">
        <v>85</v>
      </c>
      <c r="G820" s="76"/>
      <c r="H820" s="76" t="s">
        <v>273</v>
      </c>
      <c r="I820" s="78">
        <v>45987</v>
      </c>
      <c r="J820" s="78">
        <v>45976</v>
      </c>
      <c r="K820" s="77">
        <v>-3</v>
      </c>
      <c r="L820" s="77">
        <v>-14</v>
      </c>
    </row>
    <row r="821" spans="1:12" ht="33.75">
      <c r="A821" s="76" t="s">
        <v>2142</v>
      </c>
      <c r="B821" s="76" t="s">
        <v>2134</v>
      </c>
      <c r="C821" s="76" t="s">
        <v>307</v>
      </c>
      <c r="D821" s="76" t="s">
        <v>2149</v>
      </c>
      <c r="E821" s="79"/>
      <c r="F821" s="76" t="s">
        <v>157</v>
      </c>
      <c r="G821" s="76"/>
      <c r="H821" s="76" t="s">
        <v>273</v>
      </c>
      <c r="I821" s="78">
        <v>45987</v>
      </c>
      <c r="J821" s="78">
        <v>45976</v>
      </c>
      <c r="K821" s="77">
        <v>-3</v>
      </c>
      <c r="L821" s="77">
        <v>-14</v>
      </c>
    </row>
    <row r="822" spans="1:12" ht="33.75">
      <c r="A822" s="76" t="s">
        <v>2129</v>
      </c>
      <c r="B822" s="76" t="s">
        <v>2150</v>
      </c>
      <c r="C822" s="76" t="s">
        <v>307</v>
      </c>
      <c r="D822" s="76" t="s">
        <v>2151</v>
      </c>
      <c r="E822" s="77">
        <v>209.04</v>
      </c>
      <c r="F822" s="76" t="s">
        <v>66</v>
      </c>
      <c r="G822" s="76"/>
      <c r="H822" s="76" t="s">
        <v>273</v>
      </c>
      <c r="I822" s="78">
        <v>45985</v>
      </c>
      <c r="J822" s="78">
        <v>45976</v>
      </c>
      <c r="K822" s="77">
        <v>-5</v>
      </c>
      <c r="L822" s="77">
        <v>-14</v>
      </c>
    </row>
    <row r="823" spans="1:12" ht="22.5">
      <c r="A823" s="76" t="s">
        <v>2152</v>
      </c>
      <c r="B823" s="76" t="s">
        <v>2153</v>
      </c>
      <c r="C823" s="76" t="s">
        <v>307</v>
      </c>
      <c r="D823" s="76" t="s">
        <v>2154</v>
      </c>
      <c r="E823" s="77">
        <v>269.97000000000003</v>
      </c>
      <c r="F823" s="76" t="s">
        <v>126</v>
      </c>
      <c r="G823" s="76"/>
      <c r="H823" s="76" t="s">
        <v>273</v>
      </c>
      <c r="I823" s="78">
        <v>45985</v>
      </c>
      <c r="J823" s="78">
        <v>45976</v>
      </c>
      <c r="K823" s="77">
        <v>-5</v>
      </c>
      <c r="L823" s="77">
        <v>-14</v>
      </c>
    </row>
    <row r="824" spans="1:12" ht="22.5">
      <c r="A824" s="76" t="s">
        <v>2152</v>
      </c>
      <c r="B824" s="76" t="s">
        <v>2155</v>
      </c>
      <c r="C824" s="76" t="s">
        <v>307</v>
      </c>
      <c r="D824" s="76" t="s">
        <v>2156</v>
      </c>
      <c r="E824" s="77">
        <v>202.85</v>
      </c>
      <c r="F824" s="76" t="s">
        <v>126</v>
      </c>
      <c r="G824" s="76"/>
      <c r="H824" s="76" t="s">
        <v>273</v>
      </c>
      <c r="I824" s="78">
        <v>45985</v>
      </c>
      <c r="J824" s="78">
        <v>45976</v>
      </c>
      <c r="K824" s="77">
        <v>-5</v>
      </c>
      <c r="L824" s="77">
        <v>-14</v>
      </c>
    </row>
    <row r="825" spans="1:12" ht="22.5">
      <c r="A825" s="76" t="s">
        <v>2152</v>
      </c>
      <c r="B825" s="76" t="s">
        <v>2157</v>
      </c>
      <c r="C825" s="76" t="s">
        <v>307</v>
      </c>
      <c r="D825" s="76" t="s">
        <v>2158</v>
      </c>
      <c r="E825" s="77">
        <v>162.62</v>
      </c>
      <c r="F825" s="76" t="s">
        <v>126</v>
      </c>
      <c r="G825" s="76"/>
      <c r="H825" s="76" t="s">
        <v>273</v>
      </c>
      <c r="I825" s="78">
        <v>45985</v>
      </c>
      <c r="J825" s="78">
        <v>45976</v>
      </c>
      <c r="K825" s="77">
        <v>-5</v>
      </c>
      <c r="L825" s="77">
        <v>-14</v>
      </c>
    </row>
    <row r="826" spans="1:12" ht="22.5">
      <c r="A826" s="76" t="s">
        <v>2152</v>
      </c>
      <c r="B826" s="76" t="s">
        <v>2159</v>
      </c>
      <c r="C826" s="76" t="s">
        <v>307</v>
      </c>
      <c r="D826" s="76" t="s">
        <v>2160</v>
      </c>
      <c r="E826" s="77">
        <v>182.2</v>
      </c>
      <c r="F826" s="76" t="s">
        <v>126</v>
      </c>
      <c r="G826" s="76"/>
      <c r="H826" s="76" t="s">
        <v>273</v>
      </c>
      <c r="I826" s="78">
        <v>45985</v>
      </c>
      <c r="J826" s="78">
        <v>45976</v>
      </c>
      <c r="K826" s="77">
        <v>-5</v>
      </c>
      <c r="L826" s="77">
        <v>-14</v>
      </c>
    </row>
    <row r="827" spans="1:12" ht="33.75">
      <c r="A827" s="76" t="s">
        <v>2152</v>
      </c>
      <c r="B827" s="76" t="s">
        <v>2161</v>
      </c>
      <c r="C827" s="76" t="s">
        <v>307</v>
      </c>
      <c r="D827" s="76" t="s">
        <v>2162</v>
      </c>
      <c r="E827" s="77">
        <v>56.76</v>
      </c>
      <c r="F827" s="76" t="s">
        <v>126</v>
      </c>
      <c r="G827" s="76"/>
      <c r="H827" s="76" t="s">
        <v>273</v>
      </c>
      <c r="I827" s="78">
        <v>45985</v>
      </c>
      <c r="J827" s="78">
        <v>45976</v>
      </c>
      <c r="K827" s="77">
        <v>-5</v>
      </c>
      <c r="L827" s="77">
        <v>-14</v>
      </c>
    </row>
    <row r="828" spans="1:12" ht="22.5">
      <c r="A828" s="76" t="s">
        <v>2163</v>
      </c>
      <c r="B828" s="76" t="s">
        <v>2164</v>
      </c>
      <c r="C828" s="76" t="s">
        <v>2250</v>
      </c>
      <c r="D828" s="76" t="s">
        <v>2165</v>
      </c>
      <c r="E828" s="77">
        <v>194.1</v>
      </c>
      <c r="F828" s="76" t="s">
        <v>80</v>
      </c>
      <c r="G828" s="76"/>
      <c r="H828" s="76" t="s">
        <v>272</v>
      </c>
      <c r="I828" s="78">
        <v>45983</v>
      </c>
      <c r="J828" s="78">
        <v>45976</v>
      </c>
      <c r="K828" s="77">
        <v>-7</v>
      </c>
      <c r="L828" s="77">
        <v>-14</v>
      </c>
    </row>
    <row r="829" spans="1:12" ht="33.75">
      <c r="A829" s="76" t="s">
        <v>2163</v>
      </c>
      <c r="B829" s="76" t="s">
        <v>2164</v>
      </c>
      <c r="C829" s="76" t="s">
        <v>2247</v>
      </c>
      <c r="D829" s="76" t="s">
        <v>2166</v>
      </c>
      <c r="E829" s="77">
        <v>1464</v>
      </c>
      <c r="F829" s="76" t="s">
        <v>126</v>
      </c>
      <c r="G829" s="76"/>
      <c r="H829" s="76" t="s">
        <v>272</v>
      </c>
      <c r="I829" s="78">
        <v>45983</v>
      </c>
      <c r="J829" s="78">
        <v>45976</v>
      </c>
      <c r="K829" s="77">
        <v>-7</v>
      </c>
      <c r="L829" s="77">
        <v>-14</v>
      </c>
    </row>
    <row r="830" spans="1:12" ht="33.75">
      <c r="A830" s="76" t="s">
        <v>1777</v>
      </c>
      <c r="B830" s="76" t="s">
        <v>2167</v>
      </c>
      <c r="C830" s="76" t="s">
        <v>2230</v>
      </c>
      <c r="D830" s="76" t="s">
        <v>2168</v>
      </c>
      <c r="E830" s="77">
        <v>20.91</v>
      </c>
      <c r="F830" s="76" t="s">
        <v>2475</v>
      </c>
      <c r="G830" s="76"/>
      <c r="H830" s="76" t="s">
        <v>273</v>
      </c>
      <c r="I830" s="78">
        <v>45985</v>
      </c>
      <c r="J830" s="78">
        <v>45976</v>
      </c>
      <c r="K830" s="77">
        <v>-5</v>
      </c>
      <c r="L830" s="77">
        <v>-14</v>
      </c>
    </row>
    <row r="831" spans="1:12" ht="33.75">
      <c r="A831" s="76" t="s">
        <v>1777</v>
      </c>
      <c r="B831" s="76" t="s">
        <v>2167</v>
      </c>
      <c r="C831" s="76" t="s">
        <v>2351</v>
      </c>
      <c r="D831" s="76" t="s">
        <v>2352</v>
      </c>
      <c r="E831" s="77">
        <v>12.26</v>
      </c>
      <c r="F831" s="76" t="s">
        <v>85</v>
      </c>
      <c r="G831" s="76"/>
      <c r="H831" s="76" t="s">
        <v>273</v>
      </c>
      <c r="I831" s="78">
        <v>45985</v>
      </c>
      <c r="J831" s="78">
        <v>45976</v>
      </c>
      <c r="K831" s="77">
        <v>-5</v>
      </c>
      <c r="L831" s="77">
        <v>-14</v>
      </c>
    </row>
    <row r="832" spans="1:12" ht="33.75">
      <c r="A832" s="76" t="s">
        <v>1953</v>
      </c>
      <c r="B832" s="76" t="s">
        <v>2169</v>
      </c>
      <c r="C832" s="76" t="s">
        <v>307</v>
      </c>
      <c r="D832" s="76" t="s">
        <v>2170</v>
      </c>
      <c r="E832" s="77">
        <v>43.09</v>
      </c>
      <c r="F832" s="76" t="s">
        <v>85</v>
      </c>
      <c r="G832" s="76"/>
      <c r="H832" s="76" t="s">
        <v>273</v>
      </c>
      <c r="I832" s="78">
        <v>45986</v>
      </c>
      <c r="J832" s="78">
        <v>45976</v>
      </c>
      <c r="K832" s="77">
        <v>-4</v>
      </c>
      <c r="L832" s="77">
        <v>-14</v>
      </c>
    </row>
    <row r="833" spans="1:12" ht="33.75">
      <c r="A833" s="76" t="s">
        <v>1953</v>
      </c>
      <c r="B833" s="76" t="s">
        <v>2171</v>
      </c>
      <c r="C833" s="76" t="s">
        <v>307</v>
      </c>
      <c r="D833" s="76" t="s">
        <v>2172</v>
      </c>
      <c r="E833" s="79"/>
      <c r="F833" s="76" t="s">
        <v>157</v>
      </c>
      <c r="G833" s="76"/>
      <c r="H833" s="76" t="s">
        <v>273</v>
      </c>
      <c r="I833" s="78">
        <v>45986</v>
      </c>
      <c r="J833" s="78">
        <v>45976</v>
      </c>
      <c r="K833" s="77">
        <v>-4</v>
      </c>
      <c r="L833" s="77">
        <v>-14</v>
      </c>
    </row>
    <row r="834" spans="1:12" ht="33.75">
      <c r="A834" s="76" t="s">
        <v>1953</v>
      </c>
      <c r="B834" s="76" t="s">
        <v>2173</v>
      </c>
      <c r="C834" s="76" t="s">
        <v>307</v>
      </c>
      <c r="D834" s="76" t="s">
        <v>2174</v>
      </c>
      <c r="E834" s="79"/>
      <c r="F834" s="76" t="s">
        <v>157</v>
      </c>
      <c r="G834" s="76"/>
      <c r="H834" s="76" t="s">
        <v>273</v>
      </c>
      <c r="I834" s="78">
        <v>45986</v>
      </c>
      <c r="J834" s="78">
        <v>45976</v>
      </c>
      <c r="K834" s="77">
        <v>-4</v>
      </c>
      <c r="L834" s="77">
        <v>-14</v>
      </c>
    </row>
    <row r="835" spans="1:12" ht="33.75">
      <c r="A835" s="76" t="s">
        <v>2175</v>
      </c>
      <c r="B835" s="76" t="s">
        <v>2176</v>
      </c>
      <c r="C835" s="76" t="s">
        <v>307</v>
      </c>
      <c r="D835" s="76" t="s">
        <v>2177</v>
      </c>
      <c r="E835" s="77">
        <v>27.6</v>
      </c>
      <c r="F835" s="76" t="s">
        <v>57</v>
      </c>
      <c r="G835" s="76"/>
      <c r="H835" s="76" t="s">
        <v>273</v>
      </c>
      <c r="I835" s="78">
        <v>45979</v>
      </c>
      <c r="J835" s="78">
        <v>45976</v>
      </c>
      <c r="K835" s="77">
        <v>-11</v>
      </c>
      <c r="L835" s="77">
        <v>-14</v>
      </c>
    </row>
    <row r="836" spans="1:12" ht="33.75">
      <c r="A836" s="76" t="s">
        <v>2178</v>
      </c>
      <c r="B836" s="76" t="s">
        <v>2179</v>
      </c>
      <c r="C836" s="76" t="s">
        <v>307</v>
      </c>
      <c r="D836" s="76" t="s">
        <v>2180</v>
      </c>
      <c r="E836" s="79"/>
      <c r="F836" s="76" t="s">
        <v>155</v>
      </c>
      <c r="G836" s="76"/>
      <c r="H836" s="76" t="s">
        <v>272</v>
      </c>
      <c r="I836" s="78">
        <v>45985</v>
      </c>
      <c r="J836" s="78">
        <v>45976</v>
      </c>
      <c r="K836" s="77">
        <v>-5</v>
      </c>
      <c r="L836" s="77">
        <v>-14</v>
      </c>
    </row>
    <row r="837" spans="1:12" ht="33.75">
      <c r="A837" s="76" t="s">
        <v>2178</v>
      </c>
      <c r="B837" s="76" t="s">
        <v>2179</v>
      </c>
      <c r="C837" s="76" t="s">
        <v>307</v>
      </c>
      <c r="D837" s="76" t="s">
        <v>2181</v>
      </c>
      <c r="E837" s="79"/>
      <c r="F837" s="76" t="s">
        <v>155</v>
      </c>
      <c r="G837" s="76"/>
      <c r="H837" s="76" t="s">
        <v>272</v>
      </c>
      <c r="I837" s="78">
        <v>45985</v>
      </c>
      <c r="J837" s="78">
        <v>45976</v>
      </c>
      <c r="K837" s="77">
        <v>-5</v>
      </c>
      <c r="L837" s="77">
        <v>-14</v>
      </c>
    </row>
    <row r="838" spans="1:12" ht="56.25">
      <c r="A838" s="76" t="s">
        <v>2182</v>
      </c>
      <c r="B838" s="76" t="s">
        <v>2183</v>
      </c>
      <c r="C838" s="76" t="s">
        <v>307</v>
      </c>
      <c r="D838" s="76" t="s">
        <v>2184</v>
      </c>
      <c r="E838" s="77">
        <v>219.78</v>
      </c>
      <c r="F838" s="76" t="s">
        <v>126</v>
      </c>
      <c r="G838" s="76"/>
      <c r="H838" s="76" t="s">
        <v>272</v>
      </c>
      <c r="I838" s="78">
        <v>45985</v>
      </c>
      <c r="J838" s="78">
        <v>45976</v>
      </c>
      <c r="K838" s="77">
        <v>-5</v>
      </c>
      <c r="L838" s="77">
        <v>-14</v>
      </c>
    </row>
    <row r="839" spans="1:12" ht="56.25">
      <c r="A839" s="76" t="s">
        <v>2182</v>
      </c>
      <c r="B839" s="76" t="s">
        <v>2185</v>
      </c>
      <c r="C839" s="76" t="s">
        <v>307</v>
      </c>
      <c r="D839" s="76" t="s">
        <v>2186</v>
      </c>
      <c r="E839" s="77">
        <v>156.41</v>
      </c>
      <c r="F839" s="76"/>
      <c r="G839" s="76" t="s">
        <v>186</v>
      </c>
      <c r="H839" s="76" t="s">
        <v>282</v>
      </c>
      <c r="I839" s="78">
        <v>45985</v>
      </c>
      <c r="J839" s="78">
        <v>45976</v>
      </c>
      <c r="K839" s="77">
        <v>-5</v>
      </c>
      <c r="L839" s="77">
        <v>-14</v>
      </c>
    </row>
    <row r="840" spans="1:12" ht="33.75">
      <c r="A840" s="76" t="s">
        <v>2182</v>
      </c>
      <c r="B840" s="76" t="s">
        <v>2187</v>
      </c>
      <c r="C840" s="76" t="s">
        <v>307</v>
      </c>
      <c r="D840" s="76" t="s">
        <v>2188</v>
      </c>
      <c r="E840" s="79"/>
      <c r="F840" s="76" t="s">
        <v>167</v>
      </c>
      <c r="G840" s="76"/>
      <c r="H840" s="76" t="s">
        <v>288</v>
      </c>
      <c r="I840" s="78">
        <v>45985</v>
      </c>
      <c r="J840" s="78">
        <v>45976</v>
      </c>
      <c r="K840" s="77">
        <v>-5</v>
      </c>
      <c r="L840" s="77">
        <v>-14</v>
      </c>
    </row>
    <row r="841" spans="1:12" ht="56.25">
      <c r="A841" s="76" t="s">
        <v>2189</v>
      </c>
      <c r="B841" s="76" t="s">
        <v>2190</v>
      </c>
      <c r="C841" s="76" t="s">
        <v>2191</v>
      </c>
      <c r="D841" s="76" t="s">
        <v>2192</v>
      </c>
      <c r="E841" s="77">
        <v>217.47</v>
      </c>
      <c r="F841" s="76" t="s">
        <v>72</v>
      </c>
      <c r="G841" s="76"/>
      <c r="H841" s="76" t="s">
        <v>272</v>
      </c>
      <c r="I841" s="78">
        <v>45976</v>
      </c>
      <c r="J841" s="78">
        <v>45976</v>
      </c>
      <c r="K841" s="77">
        <v>-14</v>
      </c>
      <c r="L841" s="77">
        <v>-14</v>
      </c>
    </row>
    <row r="842" spans="1:12" ht="56.25">
      <c r="A842" s="76" t="s">
        <v>2193</v>
      </c>
      <c r="B842" s="76" t="s">
        <v>2194</v>
      </c>
      <c r="C842" s="76" t="s">
        <v>2231</v>
      </c>
      <c r="D842" s="76" t="s">
        <v>2195</v>
      </c>
      <c r="E842" s="77">
        <v>871.02</v>
      </c>
      <c r="F842" s="76" t="s">
        <v>1168</v>
      </c>
      <c r="G842" s="76"/>
      <c r="H842" s="76" t="s">
        <v>272</v>
      </c>
      <c r="I842" s="78">
        <v>45976</v>
      </c>
      <c r="J842" s="78">
        <v>45976</v>
      </c>
      <c r="K842" s="77">
        <v>-14</v>
      </c>
      <c r="L842" s="77">
        <v>-14</v>
      </c>
    </row>
    <row r="843" spans="1:12" ht="56.25">
      <c r="A843" s="76" t="s">
        <v>2196</v>
      </c>
      <c r="B843" s="76" t="s">
        <v>2197</v>
      </c>
      <c r="C843" s="76" t="s">
        <v>2450</v>
      </c>
      <c r="D843" s="76" t="s">
        <v>2198</v>
      </c>
      <c r="E843" s="77">
        <v>294.45</v>
      </c>
      <c r="F843" s="76" t="s">
        <v>51</v>
      </c>
      <c r="G843" s="76"/>
      <c r="H843" s="76" t="s">
        <v>272</v>
      </c>
      <c r="I843" s="78">
        <v>45976</v>
      </c>
      <c r="J843" s="78">
        <v>45976</v>
      </c>
      <c r="K843" s="77">
        <v>-14</v>
      </c>
      <c r="L843" s="77">
        <v>-14</v>
      </c>
    </row>
    <row r="844" spans="1:12" ht="22.5">
      <c r="A844" s="76" t="s">
        <v>1964</v>
      </c>
      <c r="B844" s="76" t="s">
        <v>2199</v>
      </c>
      <c r="C844" s="76" t="s">
        <v>1969</v>
      </c>
      <c r="D844" s="76" t="s">
        <v>2200</v>
      </c>
      <c r="E844" s="77">
        <v>624.58000000000004</v>
      </c>
      <c r="F844" s="76" t="s">
        <v>70</v>
      </c>
      <c r="G844" s="76"/>
      <c r="H844" s="76" t="s">
        <v>272</v>
      </c>
      <c r="I844" s="78">
        <v>45987</v>
      </c>
      <c r="J844" s="78">
        <v>45976</v>
      </c>
      <c r="K844" s="77">
        <v>-3</v>
      </c>
      <c r="L844" s="77">
        <v>-14</v>
      </c>
    </row>
    <row r="845" spans="1:12" ht="22.5">
      <c r="A845" s="76" t="s">
        <v>1964</v>
      </c>
      <c r="B845" s="76" t="s">
        <v>2201</v>
      </c>
      <c r="C845" s="76" t="s">
        <v>1979</v>
      </c>
      <c r="D845" s="76" t="s">
        <v>2202</v>
      </c>
      <c r="E845" s="77">
        <v>226</v>
      </c>
      <c r="F845" s="76" t="s">
        <v>70</v>
      </c>
      <c r="G845" s="76"/>
      <c r="H845" s="76" t="s">
        <v>272</v>
      </c>
      <c r="I845" s="78">
        <v>45987</v>
      </c>
      <c r="J845" s="78">
        <v>45976</v>
      </c>
      <c r="K845" s="77">
        <v>-3</v>
      </c>
      <c r="L845" s="77">
        <v>-14</v>
      </c>
    </row>
    <row r="846" spans="1:12" ht="22.5">
      <c r="A846" s="76" t="s">
        <v>1964</v>
      </c>
      <c r="B846" s="76" t="s">
        <v>2101</v>
      </c>
      <c r="C846" s="76" t="s">
        <v>1966</v>
      </c>
      <c r="D846" s="76" t="s">
        <v>2203</v>
      </c>
      <c r="E846" s="77">
        <v>1272.6199999999999</v>
      </c>
      <c r="F846" s="76" t="s">
        <v>70</v>
      </c>
      <c r="G846" s="76"/>
      <c r="H846" s="76" t="s">
        <v>282</v>
      </c>
      <c r="I846" s="78">
        <v>45987</v>
      </c>
      <c r="J846" s="78">
        <v>45976</v>
      </c>
      <c r="K846" s="77">
        <v>-3</v>
      </c>
      <c r="L846" s="77">
        <v>-14</v>
      </c>
    </row>
    <row r="847" spans="1:12" ht="22.5">
      <c r="A847" s="76" t="s">
        <v>1964</v>
      </c>
      <c r="B847" s="76" t="s">
        <v>2204</v>
      </c>
      <c r="C847" s="76" t="s">
        <v>1969</v>
      </c>
      <c r="D847" s="76" t="s">
        <v>2205</v>
      </c>
      <c r="E847" s="77">
        <v>624.58000000000004</v>
      </c>
      <c r="F847" s="76" t="s">
        <v>70</v>
      </c>
      <c r="G847" s="76"/>
      <c r="H847" s="76" t="s">
        <v>272</v>
      </c>
      <c r="I847" s="78">
        <v>45987</v>
      </c>
      <c r="J847" s="78">
        <v>45976</v>
      </c>
      <c r="K847" s="77">
        <v>-3</v>
      </c>
      <c r="L847" s="77">
        <v>-14</v>
      </c>
    </row>
    <row r="848" spans="1:12" ht="22.5">
      <c r="A848" s="76" t="s">
        <v>1964</v>
      </c>
      <c r="B848" s="76" t="s">
        <v>2206</v>
      </c>
      <c r="C848" s="76" t="s">
        <v>1979</v>
      </c>
      <c r="D848" s="76" t="s">
        <v>2207</v>
      </c>
      <c r="E848" s="77">
        <v>226</v>
      </c>
      <c r="F848" s="76" t="s">
        <v>70</v>
      </c>
      <c r="G848" s="76"/>
      <c r="H848" s="76" t="s">
        <v>272</v>
      </c>
      <c r="I848" s="78">
        <v>45987</v>
      </c>
      <c r="J848" s="78">
        <v>45976</v>
      </c>
      <c r="K848" s="77">
        <v>-3</v>
      </c>
      <c r="L848" s="77">
        <v>-14</v>
      </c>
    </row>
    <row r="849" spans="1:12" ht="22.5">
      <c r="A849" s="76" t="s">
        <v>1964</v>
      </c>
      <c r="B849" s="76" t="s">
        <v>2208</v>
      </c>
      <c r="C849" s="76" t="s">
        <v>1969</v>
      </c>
      <c r="D849" s="76" t="s">
        <v>2209</v>
      </c>
      <c r="E849" s="77">
        <v>624.58000000000004</v>
      </c>
      <c r="F849" s="76" t="s">
        <v>70</v>
      </c>
      <c r="G849" s="76"/>
      <c r="H849" s="76" t="s">
        <v>272</v>
      </c>
      <c r="I849" s="78">
        <v>45987</v>
      </c>
      <c r="J849" s="78">
        <v>45976</v>
      </c>
      <c r="K849" s="77">
        <v>-3</v>
      </c>
      <c r="L849" s="77">
        <v>-14</v>
      </c>
    </row>
    <row r="850" spans="1:12" ht="22.5">
      <c r="A850" s="76" t="s">
        <v>1964</v>
      </c>
      <c r="B850" s="76" t="s">
        <v>2096</v>
      </c>
      <c r="C850" s="76" t="s">
        <v>1966</v>
      </c>
      <c r="D850" s="76" t="s">
        <v>2210</v>
      </c>
      <c r="E850" s="77">
        <v>1272.6199999999999</v>
      </c>
      <c r="F850" s="76" t="s">
        <v>70</v>
      </c>
      <c r="G850" s="76"/>
      <c r="H850" s="76" t="s">
        <v>282</v>
      </c>
      <c r="I850" s="78">
        <v>45987</v>
      </c>
      <c r="J850" s="78">
        <v>45976</v>
      </c>
      <c r="K850" s="77">
        <v>-3</v>
      </c>
      <c r="L850" s="77">
        <v>-14</v>
      </c>
    </row>
    <row r="851" spans="1:12" ht="22.5">
      <c r="A851" s="76" t="s">
        <v>1964</v>
      </c>
      <c r="B851" s="76" t="s">
        <v>2211</v>
      </c>
      <c r="C851" s="76" t="s">
        <v>1979</v>
      </c>
      <c r="D851" s="76" t="s">
        <v>2212</v>
      </c>
      <c r="E851" s="77">
        <v>226</v>
      </c>
      <c r="F851" s="76" t="s">
        <v>70</v>
      </c>
      <c r="G851" s="76"/>
      <c r="H851" s="76" t="s">
        <v>272</v>
      </c>
      <c r="I851" s="78">
        <v>45987</v>
      </c>
      <c r="J851" s="78">
        <v>45976</v>
      </c>
      <c r="K851" s="77">
        <v>-3</v>
      </c>
      <c r="L851" s="77">
        <v>-14</v>
      </c>
    </row>
    <row r="852" spans="1:12" ht="22.5">
      <c r="A852" s="76" t="s">
        <v>1964</v>
      </c>
      <c r="B852" s="76" t="s">
        <v>2213</v>
      </c>
      <c r="C852" s="76" t="s">
        <v>1969</v>
      </c>
      <c r="D852" s="76" t="s">
        <v>2214</v>
      </c>
      <c r="E852" s="77">
        <v>624.58000000000004</v>
      </c>
      <c r="F852" s="76" t="s">
        <v>70</v>
      </c>
      <c r="G852" s="76"/>
      <c r="H852" s="76" t="s">
        <v>272</v>
      </c>
      <c r="I852" s="78">
        <v>45987</v>
      </c>
      <c r="J852" s="78">
        <v>45976</v>
      </c>
      <c r="K852" s="77">
        <v>-3</v>
      </c>
      <c r="L852" s="77">
        <v>-14</v>
      </c>
    </row>
    <row r="853" spans="1:12" ht="56.25">
      <c r="A853" s="76" t="s">
        <v>2253</v>
      </c>
      <c r="B853" s="76" t="s">
        <v>2254</v>
      </c>
      <c r="C853" s="76" t="s">
        <v>307</v>
      </c>
      <c r="D853" s="76" t="s">
        <v>2255</v>
      </c>
      <c r="E853" s="79"/>
      <c r="F853" s="76" t="s">
        <v>155</v>
      </c>
      <c r="G853" s="76"/>
      <c r="H853" s="76" t="s">
        <v>272</v>
      </c>
      <c r="I853" s="78">
        <v>45986</v>
      </c>
      <c r="J853" s="78">
        <v>45978</v>
      </c>
      <c r="K853" s="77">
        <v>-4</v>
      </c>
      <c r="L853" s="77">
        <v>-12</v>
      </c>
    </row>
    <row r="854" spans="1:12" ht="33.75">
      <c r="A854" s="76" t="s">
        <v>2256</v>
      </c>
      <c r="B854" s="76" t="s">
        <v>2257</v>
      </c>
      <c r="C854" s="76" t="s">
        <v>2258</v>
      </c>
      <c r="D854" s="76" t="s">
        <v>2259</v>
      </c>
      <c r="E854" s="77">
        <v>3489.4360000000001</v>
      </c>
      <c r="F854" s="76" t="s">
        <v>184</v>
      </c>
      <c r="G854" s="76"/>
      <c r="H854" s="76" t="s">
        <v>273</v>
      </c>
      <c r="I854" s="78">
        <v>45990</v>
      </c>
      <c r="J854" s="78">
        <v>45978</v>
      </c>
      <c r="K854" s="77">
        <v>0</v>
      </c>
      <c r="L854" s="77">
        <v>-12</v>
      </c>
    </row>
    <row r="855" spans="1:12" ht="33.75">
      <c r="A855" s="76" t="s">
        <v>2256</v>
      </c>
      <c r="B855" s="76" t="s">
        <v>2260</v>
      </c>
      <c r="C855" s="76" t="s">
        <v>2258</v>
      </c>
      <c r="D855" s="76" t="s">
        <v>2261</v>
      </c>
      <c r="E855" s="77">
        <v>3489.4360000000001</v>
      </c>
      <c r="F855" s="76" t="s">
        <v>184</v>
      </c>
      <c r="G855" s="76"/>
      <c r="H855" s="76" t="s">
        <v>273</v>
      </c>
      <c r="I855" s="78">
        <v>45990</v>
      </c>
      <c r="J855" s="78">
        <v>45978</v>
      </c>
      <c r="K855" s="77">
        <v>0</v>
      </c>
      <c r="L855" s="77">
        <v>-12</v>
      </c>
    </row>
    <row r="856" spans="1:12" ht="33.75">
      <c r="A856" s="76" t="s">
        <v>2256</v>
      </c>
      <c r="B856" s="76" t="s">
        <v>2262</v>
      </c>
      <c r="C856" s="76" t="s">
        <v>2258</v>
      </c>
      <c r="D856" s="76" t="s">
        <v>2263</v>
      </c>
      <c r="E856" s="77">
        <v>3489.4360000000001</v>
      </c>
      <c r="F856" s="76" t="s">
        <v>184</v>
      </c>
      <c r="G856" s="76"/>
      <c r="H856" s="76" t="s">
        <v>273</v>
      </c>
      <c r="I856" s="78">
        <v>45990</v>
      </c>
      <c r="J856" s="78">
        <v>45978</v>
      </c>
      <c r="K856" s="77">
        <v>0</v>
      </c>
      <c r="L856" s="77">
        <v>-12</v>
      </c>
    </row>
    <row r="857" spans="1:12" ht="33.75">
      <c r="A857" s="76" t="s">
        <v>2256</v>
      </c>
      <c r="B857" s="76" t="s">
        <v>2264</v>
      </c>
      <c r="C857" s="76" t="s">
        <v>2258</v>
      </c>
      <c r="D857" s="76" t="s">
        <v>2265</v>
      </c>
      <c r="E857" s="77">
        <v>3489.4360000000001</v>
      </c>
      <c r="F857" s="76" t="s">
        <v>184</v>
      </c>
      <c r="G857" s="76"/>
      <c r="H857" s="76" t="s">
        <v>273</v>
      </c>
      <c r="I857" s="78">
        <v>45990</v>
      </c>
      <c r="J857" s="78">
        <v>45978</v>
      </c>
      <c r="K857" s="77">
        <v>0</v>
      </c>
      <c r="L857" s="77">
        <v>-12</v>
      </c>
    </row>
    <row r="858" spans="1:12" ht="33.75">
      <c r="A858" s="76" t="s">
        <v>2256</v>
      </c>
      <c r="B858" s="76" t="s">
        <v>2266</v>
      </c>
      <c r="C858" s="76" t="s">
        <v>2258</v>
      </c>
      <c r="D858" s="76" t="s">
        <v>2267</v>
      </c>
      <c r="E858" s="77">
        <v>3489.4360000000001</v>
      </c>
      <c r="F858" s="76" t="s">
        <v>184</v>
      </c>
      <c r="G858" s="76"/>
      <c r="H858" s="76" t="s">
        <v>273</v>
      </c>
      <c r="I858" s="78">
        <v>45990</v>
      </c>
      <c r="J858" s="78">
        <v>45978</v>
      </c>
      <c r="K858" s="77">
        <v>0</v>
      </c>
      <c r="L858" s="77">
        <v>-12</v>
      </c>
    </row>
    <row r="859" spans="1:12" ht="33.75">
      <c r="A859" s="76" t="s">
        <v>2256</v>
      </c>
      <c r="B859" s="76" t="s">
        <v>2268</v>
      </c>
      <c r="C859" s="76" t="s">
        <v>2258</v>
      </c>
      <c r="D859" s="76" t="s">
        <v>2269</v>
      </c>
      <c r="E859" s="77">
        <v>3489.4360000000001</v>
      </c>
      <c r="F859" s="76" t="s">
        <v>184</v>
      </c>
      <c r="G859" s="76"/>
      <c r="H859" s="76" t="s">
        <v>273</v>
      </c>
      <c r="I859" s="78">
        <v>45990</v>
      </c>
      <c r="J859" s="78">
        <v>45978</v>
      </c>
      <c r="K859" s="77">
        <v>0</v>
      </c>
      <c r="L859" s="77">
        <v>-12</v>
      </c>
    </row>
    <row r="860" spans="1:12" ht="33.75">
      <c r="A860" s="76" t="s">
        <v>2256</v>
      </c>
      <c r="B860" s="76" t="s">
        <v>2270</v>
      </c>
      <c r="C860" s="76" t="s">
        <v>2258</v>
      </c>
      <c r="D860" s="76" t="s">
        <v>2271</v>
      </c>
      <c r="E860" s="77">
        <v>3489.4360000000001</v>
      </c>
      <c r="F860" s="76" t="s">
        <v>184</v>
      </c>
      <c r="G860" s="76"/>
      <c r="H860" s="76" t="s">
        <v>273</v>
      </c>
      <c r="I860" s="78">
        <v>45990</v>
      </c>
      <c r="J860" s="78">
        <v>45978</v>
      </c>
      <c r="K860" s="77">
        <v>0</v>
      </c>
      <c r="L860" s="77">
        <v>-12</v>
      </c>
    </row>
    <row r="861" spans="1:12" ht="33.75">
      <c r="A861" s="76" t="s">
        <v>2256</v>
      </c>
      <c r="B861" s="76" t="s">
        <v>2272</v>
      </c>
      <c r="C861" s="76" t="s">
        <v>2258</v>
      </c>
      <c r="D861" s="76" t="s">
        <v>2273</v>
      </c>
      <c r="E861" s="77">
        <v>3489.4360000000001</v>
      </c>
      <c r="F861" s="76" t="s">
        <v>184</v>
      </c>
      <c r="G861" s="76"/>
      <c r="H861" s="76" t="s">
        <v>273</v>
      </c>
      <c r="I861" s="78">
        <v>45990</v>
      </c>
      <c r="J861" s="78">
        <v>45978</v>
      </c>
      <c r="K861" s="77">
        <v>0</v>
      </c>
      <c r="L861" s="77">
        <v>-12</v>
      </c>
    </row>
    <row r="862" spans="1:12" ht="33.75">
      <c r="A862" s="76" t="s">
        <v>2256</v>
      </c>
      <c r="B862" s="76" t="s">
        <v>2274</v>
      </c>
      <c r="C862" s="76" t="s">
        <v>2258</v>
      </c>
      <c r="D862" s="76" t="s">
        <v>2275</v>
      </c>
      <c r="E862" s="77">
        <v>3489.4360000000001</v>
      </c>
      <c r="F862" s="76" t="s">
        <v>184</v>
      </c>
      <c r="G862" s="76"/>
      <c r="H862" s="76" t="s">
        <v>273</v>
      </c>
      <c r="I862" s="78">
        <v>45990</v>
      </c>
      <c r="J862" s="78">
        <v>45978</v>
      </c>
      <c r="K862" s="77">
        <v>0</v>
      </c>
      <c r="L862" s="77">
        <v>-12</v>
      </c>
    </row>
    <row r="863" spans="1:12" ht="33.75">
      <c r="A863" s="76" t="s">
        <v>2256</v>
      </c>
      <c r="B863" s="76" t="s">
        <v>2276</v>
      </c>
      <c r="C863" s="76" t="s">
        <v>2258</v>
      </c>
      <c r="D863" s="76" t="s">
        <v>2277</v>
      </c>
      <c r="E863" s="77">
        <v>3489.4360000000001</v>
      </c>
      <c r="F863" s="76" t="s">
        <v>184</v>
      </c>
      <c r="G863" s="76"/>
      <c r="H863" s="76" t="s">
        <v>273</v>
      </c>
      <c r="I863" s="78">
        <v>45990</v>
      </c>
      <c r="J863" s="78">
        <v>45978</v>
      </c>
      <c r="K863" s="77">
        <v>0</v>
      </c>
      <c r="L863" s="77">
        <v>-12</v>
      </c>
    </row>
    <row r="864" spans="1:12" ht="33.75">
      <c r="A864" s="76" t="s">
        <v>2256</v>
      </c>
      <c r="B864" s="76" t="s">
        <v>2278</v>
      </c>
      <c r="C864" s="76" t="s">
        <v>2258</v>
      </c>
      <c r="D864" s="76" t="s">
        <v>2279</v>
      </c>
      <c r="E864" s="77">
        <v>3489.4360000000001</v>
      </c>
      <c r="F864" s="76" t="s">
        <v>184</v>
      </c>
      <c r="G864" s="76"/>
      <c r="H864" s="76" t="s">
        <v>273</v>
      </c>
      <c r="I864" s="78">
        <v>45990</v>
      </c>
      <c r="J864" s="78">
        <v>45978</v>
      </c>
      <c r="K864" s="77">
        <v>0</v>
      </c>
      <c r="L864" s="77">
        <v>-12</v>
      </c>
    </row>
    <row r="865" spans="1:12" ht="33.75">
      <c r="A865" s="76" t="s">
        <v>2256</v>
      </c>
      <c r="B865" s="76" t="s">
        <v>2280</v>
      </c>
      <c r="C865" s="76" t="s">
        <v>2258</v>
      </c>
      <c r="D865" s="76" t="s">
        <v>2281</v>
      </c>
      <c r="E865" s="77">
        <v>3489.4360000000001</v>
      </c>
      <c r="F865" s="76" t="s">
        <v>184</v>
      </c>
      <c r="G865" s="76"/>
      <c r="H865" s="76" t="s">
        <v>273</v>
      </c>
      <c r="I865" s="78">
        <v>45990</v>
      </c>
      <c r="J865" s="78">
        <v>45978</v>
      </c>
      <c r="K865" s="77">
        <v>0</v>
      </c>
      <c r="L865" s="77">
        <v>-12</v>
      </c>
    </row>
    <row r="866" spans="1:12" ht="33.75">
      <c r="A866" s="76" t="s">
        <v>2256</v>
      </c>
      <c r="B866" s="76" t="s">
        <v>2282</v>
      </c>
      <c r="C866" s="76" t="s">
        <v>2258</v>
      </c>
      <c r="D866" s="76" t="s">
        <v>2283</v>
      </c>
      <c r="E866" s="77">
        <v>3489.4360000000001</v>
      </c>
      <c r="F866" s="76" t="s">
        <v>184</v>
      </c>
      <c r="G866" s="76"/>
      <c r="H866" s="76" t="s">
        <v>273</v>
      </c>
      <c r="I866" s="78">
        <v>45990</v>
      </c>
      <c r="J866" s="78">
        <v>45978</v>
      </c>
      <c r="K866" s="77">
        <v>0</v>
      </c>
      <c r="L866" s="77">
        <v>-12</v>
      </c>
    </row>
    <row r="867" spans="1:12" ht="33.75">
      <c r="A867" s="76" t="s">
        <v>2256</v>
      </c>
      <c r="B867" s="76" t="s">
        <v>2284</v>
      </c>
      <c r="C867" s="76" t="s">
        <v>2258</v>
      </c>
      <c r="D867" s="76" t="s">
        <v>2285</v>
      </c>
      <c r="E867" s="77">
        <v>3489.4360000000001</v>
      </c>
      <c r="F867" s="76" t="s">
        <v>184</v>
      </c>
      <c r="G867" s="76"/>
      <c r="H867" s="76" t="s">
        <v>273</v>
      </c>
      <c r="I867" s="78">
        <v>45990</v>
      </c>
      <c r="J867" s="78">
        <v>45978</v>
      </c>
      <c r="K867" s="77">
        <v>0</v>
      </c>
      <c r="L867" s="77">
        <v>-12</v>
      </c>
    </row>
    <row r="868" spans="1:12" ht="33.75">
      <c r="A868" s="76" t="s">
        <v>2256</v>
      </c>
      <c r="B868" s="76" t="s">
        <v>2286</v>
      </c>
      <c r="C868" s="76" t="s">
        <v>2258</v>
      </c>
      <c r="D868" s="76" t="s">
        <v>2287</v>
      </c>
      <c r="E868" s="77">
        <v>3489.4360000000001</v>
      </c>
      <c r="F868" s="76" t="s">
        <v>184</v>
      </c>
      <c r="G868" s="76"/>
      <c r="H868" s="76" t="s">
        <v>273</v>
      </c>
      <c r="I868" s="78">
        <v>45990</v>
      </c>
      <c r="J868" s="78">
        <v>45978</v>
      </c>
      <c r="K868" s="77">
        <v>0</v>
      </c>
      <c r="L868" s="77">
        <v>-12</v>
      </c>
    </row>
    <row r="869" spans="1:12" ht="33.75">
      <c r="A869" s="76" t="s">
        <v>2256</v>
      </c>
      <c r="B869" s="76" t="s">
        <v>2288</v>
      </c>
      <c r="C869" s="76" t="s">
        <v>2258</v>
      </c>
      <c r="D869" s="76" t="s">
        <v>2289</v>
      </c>
      <c r="E869" s="77">
        <v>3489.4360000000001</v>
      </c>
      <c r="F869" s="76" t="s">
        <v>184</v>
      </c>
      <c r="G869" s="76"/>
      <c r="H869" s="76" t="s">
        <v>273</v>
      </c>
      <c r="I869" s="78">
        <v>45990</v>
      </c>
      <c r="J869" s="78">
        <v>45978</v>
      </c>
      <c r="K869" s="77">
        <v>0</v>
      </c>
      <c r="L869" s="77">
        <v>-12</v>
      </c>
    </row>
    <row r="870" spans="1:12" ht="33.75">
      <c r="A870" s="76" t="s">
        <v>2256</v>
      </c>
      <c r="B870" s="76" t="s">
        <v>2290</v>
      </c>
      <c r="C870" s="76" t="s">
        <v>2258</v>
      </c>
      <c r="D870" s="76" t="s">
        <v>2291</v>
      </c>
      <c r="E870" s="77">
        <v>3489.4360000000001</v>
      </c>
      <c r="F870" s="76" t="s">
        <v>184</v>
      </c>
      <c r="G870" s="76"/>
      <c r="H870" s="76" t="s">
        <v>273</v>
      </c>
      <c r="I870" s="78">
        <v>45990</v>
      </c>
      <c r="J870" s="78">
        <v>45978</v>
      </c>
      <c r="K870" s="77">
        <v>0</v>
      </c>
      <c r="L870" s="77">
        <v>-12</v>
      </c>
    </row>
    <row r="871" spans="1:12" ht="33.75">
      <c r="A871" s="76" t="s">
        <v>2256</v>
      </c>
      <c r="B871" s="76" t="s">
        <v>2292</v>
      </c>
      <c r="C871" s="76" t="s">
        <v>2258</v>
      </c>
      <c r="D871" s="76" t="s">
        <v>2293</v>
      </c>
      <c r="E871" s="77">
        <v>3489.4360000000001</v>
      </c>
      <c r="F871" s="76" t="s">
        <v>184</v>
      </c>
      <c r="G871" s="76"/>
      <c r="H871" s="76" t="s">
        <v>273</v>
      </c>
      <c r="I871" s="78">
        <v>45990</v>
      </c>
      <c r="J871" s="78">
        <v>45978</v>
      </c>
      <c r="K871" s="77">
        <v>0</v>
      </c>
      <c r="L871" s="77">
        <v>-12</v>
      </c>
    </row>
    <row r="872" spans="1:12" ht="33.75">
      <c r="A872" s="76" t="s">
        <v>2256</v>
      </c>
      <c r="B872" s="76" t="s">
        <v>2294</v>
      </c>
      <c r="C872" s="76" t="s">
        <v>2258</v>
      </c>
      <c r="D872" s="76" t="s">
        <v>2295</v>
      </c>
      <c r="E872" s="77">
        <v>3489.4360000000001</v>
      </c>
      <c r="F872" s="76" t="s">
        <v>184</v>
      </c>
      <c r="G872" s="76"/>
      <c r="H872" s="76" t="s">
        <v>273</v>
      </c>
      <c r="I872" s="78">
        <v>45990</v>
      </c>
      <c r="J872" s="78">
        <v>45978</v>
      </c>
      <c r="K872" s="77">
        <v>0</v>
      </c>
      <c r="L872" s="77">
        <v>-12</v>
      </c>
    </row>
    <row r="873" spans="1:12" ht="33.75">
      <c r="A873" s="76" t="s">
        <v>2256</v>
      </c>
      <c r="B873" s="76" t="s">
        <v>2296</v>
      </c>
      <c r="C873" s="76" t="s">
        <v>2258</v>
      </c>
      <c r="D873" s="76" t="s">
        <v>2297</v>
      </c>
      <c r="E873" s="77">
        <v>3489.4360000000001</v>
      </c>
      <c r="F873" s="76" t="s">
        <v>184</v>
      </c>
      <c r="G873" s="76"/>
      <c r="H873" s="76" t="s">
        <v>273</v>
      </c>
      <c r="I873" s="78">
        <v>45990</v>
      </c>
      <c r="J873" s="78">
        <v>45978</v>
      </c>
      <c r="K873" s="77">
        <v>0</v>
      </c>
      <c r="L873" s="77">
        <v>-12</v>
      </c>
    </row>
    <row r="874" spans="1:12" ht="45">
      <c r="A874" s="76" t="s">
        <v>2298</v>
      </c>
      <c r="B874" s="76" t="s">
        <v>2299</v>
      </c>
      <c r="C874" s="76" t="s">
        <v>307</v>
      </c>
      <c r="D874" s="76" t="s">
        <v>2300</v>
      </c>
      <c r="E874" s="79"/>
      <c r="F874" s="76" t="s">
        <v>155</v>
      </c>
      <c r="G874" s="76"/>
      <c r="H874" s="76" t="s">
        <v>272</v>
      </c>
      <c r="I874" s="78">
        <v>45986</v>
      </c>
      <c r="J874" s="78">
        <v>45978</v>
      </c>
      <c r="K874" s="77">
        <v>-4</v>
      </c>
      <c r="L874" s="77">
        <v>-12</v>
      </c>
    </row>
    <row r="875" spans="1:12" ht="33.75">
      <c r="A875" s="76" t="s">
        <v>2301</v>
      </c>
      <c r="B875" s="76" t="s">
        <v>338</v>
      </c>
      <c r="C875" s="76" t="s">
        <v>307</v>
      </c>
      <c r="D875" s="76" t="s">
        <v>2302</v>
      </c>
      <c r="E875" s="77">
        <v>11.8</v>
      </c>
      <c r="F875" s="76" t="s">
        <v>63</v>
      </c>
      <c r="G875" s="76"/>
      <c r="H875" s="76" t="s">
        <v>272</v>
      </c>
      <c r="I875" s="78">
        <v>45982</v>
      </c>
      <c r="J875" s="78">
        <v>45978</v>
      </c>
      <c r="K875" s="77">
        <v>-8</v>
      </c>
      <c r="L875" s="77">
        <v>-12</v>
      </c>
    </row>
    <row r="876" spans="1:12" ht="33.75">
      <c r="A876" s="76" t="s">
        <v>2303</v>
      </c>
      <c r="B876" s="76" t="s">
        <v>2304</v>
      </c>
      <c r="C876" s="76" t="s">
        <v>307</v>
      </c>
      <c r="D876" s="76" t="s">
        <v>2305</v>
      </c>
      <c r="E876" s="77">
        <v>35.511000000000003</v>
      </c>
      <c r="F876" s="76" t="s">
        <v>57</v>
      </c>
      <c r="G876" s="76"/>
      <c r="H876" s="76" t="s">
        <v>273</v>
      </c>
      <c r="I876" s="78">
        <v>45982</v>
      </c>
      <c r="J876" s="78">
        <v>45978</v>
      </c>
      <c r="K876" s="77">
        <v>-8</v>
      </c>
      <c r="L876" s="77">
        <v>-12</v>
      </c>
    </row>
    <row r="877" spans="1:12" ht="33.75">
      <c r="A877" s="76" t="s">
        <v>2306</v>
      </c>
      <c r="B877" s="76" t="s">
        <v>2307</v>
      </c>
      <c r="C877" s="76" t="s">
        <v>307</v>
      </c>
      <c r="D877" s="76" t="s">
        <v>2308</v>
      </c>
      <c r="E877" s="79"/>
      <c r="F877" s="76" t="s">
        <v>157</v>
      </c>
      <c r="G877" s="76"/>
      <c r="H877" s="76" t="s">
        <v>273</v>
      </c>
      <c r="I877" s="78">
        <v>45986</v>
      </c>
      <c r="J877" s="78">
        <v>45978</v>
      </c>
      <c r="K877" s="77">
        <v>-4</v>
      </c>
      <c r="L877" s="77">
        <v>-12</v>
      </c>
    </row>
    <row r="878" spans="1:12" ht="33.75">
      <c r="A878" s="76" t="s">
        <v>2306</v>
      </c>
      <c r="B878" s="76" t="s">
        <v>2309</v>
      </c>
      <c r="C878" s="76" t="s">
        <v>307</v>
      </c>
      <c r="D878" s="76" t="s">
        <v>2310</v>
      </c>
      <c r="E878" s="79"/>
      <c r="F878" s="76" t="s">
        <v>157</v>
      </c>
      <c r="G878" s="76"/>
      <c r="H878" s="76" t="s">
        <v>273</v>
      </c>
      <c r="I878" s="78">
        <v>45986</v>
      </c>
      <c r="J878" s="78">
        <v>45978</v>
      </c>
      <c r="K878" s="77">
        <v>-4</v>
      </c>
      <c r="L878" s="77">
        <v>-12</v>
      </c>
    </row>
    <row r="879" spans="1:12" ht="33.75">
      <c r="A879" s="76" t="s">
        <v>2306</v>
      </c>
      <c r="B879" s="76" t="s">
        <v>2311</v>
      </c>
      <c r="C879" s="76" t="s">
        <v>307</v>
      </c>
      <c r="D879" s="76" t="s">
        <v>2312</v>
      </c>
      <c r="E879" s="79"/>
      <c r="F879" s="76" t="s">
        <v>157</v>
      </c>
      <c r="G879" s="76"/>
      <c r="H879" s="76" t="s">
        <v>273</v>
      </c>
      <c r="I879" s="78">
        <v>45986</v>
      </c>
      <c r="J879" s="78">
        <v>45978</v>
      </c>
      <c r="K879" s="77">
        <v>-4</v>
      </c>
      <c r="L879" s="77">
        <v>-12</v>
      </c>
    </row>
    <row r="880" spans="1:12" ht="33.75">
      <c r="A880" s="76" t="s">
        <v>2306</v>
      </c>
      <c r="B880" s="76" t="s">
        <v>2313</v>
      </c>
      <c r="C880" s="76" t="s">
        <v>307</v>
      </c>
      <c r="D880" s="76" t="s">
        <v>2314</v>
      </c>
      <c r="E880" s="79"/>
      <c r="F880" s="76" t="s">
        <v>157</v>
      </c>
      <c r="G880" s="76"/>
      <c r="H880" s="76" t="s">
        <v>273</v>
      </c>
      <c r="I880" s="78">
        <v>45986</v>
      </c>
      <c r="J880" s="78">
        <v>45978</v>
      </c>
      <c r="K880" s="77">
        <v>-4</v>
      </c>
      <c r="L880" s="77">
        <v>-12</v>
      </c>
    </row>
    <row r="881" spans="1:12" ht="33.75">
      <c r="A881" s="76" t="s">
        <v>2306</v>
      </c>
      <c r="B881" s="76" t="s">
        <v>2315</v>
      </c>
      <c r="C881" s="76" t="s">
        <v>307</v>
      </c>
      <c r="D881" s="76" t="s">
        <v>2316</v>
      </c>
      <c r="E881" s="79"/>
      <c r="F881" s="76" t="s">
        <v>157</v>
      </c>
      <c r="G881" s="76"/>
      <c r="H881" s="76" t="s">
        <v>273</v>
      </c>
      <c r="I881" s="78">
        <v>45986</v>
      </c>
      <c r="J881" s="78">
        <v>45978</v>
      </c>
      <c r="K881" s="77">
        <v>-4</v>
      </c>
      <c r="L881" s="77">
        <v>-12</v>
      </c>
    </row>
    <row r="882" spans="1:12" ht="33.75">
      <c r="A882" s="76" t="s">
        <v>2306</v>
      </c>
      <c r="B882" s="76" t="s">
        <v>2317</v>
      </c>
      <c r="C882" s="76" t="s">
        <v>307</v>
      </c>
      <c r="D882" s="76" t="s">
        <v>2318</v>
      </c>
      <c r="E882" s="79"/>
      <c r="F882" s="76" t="s">
        <v>157</v>
      </c>
      <c r="G882" s="76"/>
      <c r="H882" s="76" t="s">
        <v>273</v>
      </c>
      <c r="I882" s="78">
        <v>45986</v>
      </c>
      <c r="J882" s="78">
        <v>45978</v>
      </c>
      <c r="K882" s="77">
        <v>-4</v>
      </c>
      <c r="L882" s="77">
        <v>-12</v>
      </c>
    </row>
    <row r="883" spans="1:12" ht="33.75">
      <c r="A883" s="76" t="s">
        <v>2306</v>
      </c>
      <c r="B883" s="76" t="s">
        <v>2319</v>
      </c>
      <c r="C883" s="76" t="s">
        <v>307</v>
      </c>
      <c r="D883" s="76" t="s">
        <v>2320</v>
      </c>
      <c r="E883" s="79"/>
      <c r="F883" s="76" t="s">
        <v>157</v>
      </c>
      <c r="G883" s="76"/>
      <c r="H883" s="76" t="s">
        <v>273</v>
      </c>
      <c r="I883" s="78">
        <v>45986</v>
      </c>
      <c r="J883" s="78">
        <v>45978</v>
      </c>
      <c r="K883" s="77">
        <v>-4</v>
      </c>
      <c r="L883" s="77">
        <v>-12</v>
      </c>
    </row>
    <row r="884" spans="1:12" ht="33.75">
      <c r="A884" s="76" t="s">
        <v>2306</v>
      </c>
      <c r="B884" s="76" t="s">
        <v>2321</v>
      </c>
      <c r="C884" s="76" t="s">
        <v>307</v>
      </c>
      <c r="D884" s="76" t="s">
        <v>2322</v>
      </c>
      <c r="E884" s="79"/>
      <c r="F884" s="76" t="s">
        <v>157</v>
      </c>
      <c r="G884" s="76"/>
      <c r="H884" s="76" t="s">
        <v>273</v>
      </c>
      <c r="I884" s="78">
        <v>45986</v>
      </c>
      <c r="J884" s="78">
        <v>45978</v>
      </c>
      <c r="K884" s="77">
        <v>-4</v>
      </c>
      <c r="L884" s="77">
        <v>-12</v>
      </c>
    </row>
    <row r="885" spans="1:12" ht="33.75">
      <c r="A885" s="76" t="s">
        <v>2306</v>
      </c>
      <c r="B885" s="76" t="s">
        <v>2323</v>
      </c>
      <c r="C885" s="76" t="s">
        <v>307</v>
      </c>
      <c r="D885" s="76" t="s">
        <v>2324</v>
      </c>
      <c r="E885" s="79"/>
      <c r="F885" s="76" t="s">
        <v>157</v>
      </c>
      <c r="G885" s="76"/>
      <c r="H885" s="76" t="s">
        <v>273</v>
      </c>
      <c r="I885" s="78">
        <v>45986</v>
      </c>
      <c r="J885" s="78">
        <v>45978</v>
      </c>
      <c r="K885" s="77">
        <v>-4</v>
      </c>
      <c r="L885" s="77">
        <v>-12</v>
      </c>
    </row>
    <row r="886" spans="1:12" ht="33.75">
      <c r="A886" s="76" t="s">
        <v>2217</v>
      </c>
      <c r="B886" s="76" t="s">
        <v>2325</v>
      </c>
      <c r="C886" s="76" t="s">
        <v>307</v>
      </c>
      <c r="D886" s="76" t="s">
        <v>2326</v>
      </c>
      <c r="E886" s="79"/>
      <c r="F886" s="76" t="s">
        <v>157</v>
      </c>
      <c r="G886" s="76"/>
      <c r="H886" s="76" t="s">
        <v>273</v>
      </c>
      <c r="I886" s="78">
        <v>45989</v>
      </c>
      <c r="J886" s="78">
        <v>45978</v>
      </c>
      <c r="K886" s="77">
        <v>-1</v>
      </c>
      <c r="L886" s="77">
        <v>-12</v>
      </c>
    </row>
    <row r="887" spans="1:12" ht="33.75">
      <c r="A887" s="76" t="s">
        <v>2217</v>
      </c>
      <c r="B887" s="76" t="s">
        <v>2327</v>
      </c>
      <c r="C887" s="76" t="s">
        <v>307</v>
      </c>
      <c r="D887" s="76" t="s">
        <v>2328</v>
      </c>
      <c r="E887" s="77">
        <v>91.09</v>
      </c>
      <c r="F887" s="76" t="s">
        <v>157</v>
      </c>
      <c r="G887" s="76"/>
      <c r="H887" s="76" t="s">
        <v>273</v>
      </c>
      <c r="I887" s="78">
        <v>45989</v>
      </c>
      <c r="J887" s="78">
        <v>45978</v>
      </c>
      <c r="K887" s="77">
        <v>-1</v>
      </c>
      <c r="L887" s="77">
        <v>-12</v>
      </c>
    </row>
    <row r="888" spans="1:12" ht="45">
      <c r="A888" s="76" t="s">
        <v>2217</v>
      </c>
      <c r="B888" s="76" t="s">
        <v>2329</v>
      </c>
      <c r="C888" s="76" t="s">
        <v>307</v>
      </c>
      <c r="D888" s="76" t="s">
        <v>2330</v>
      </c>
      <c r="E888" s="77">
        <v>116.45</v>
      </c>
      <c r="F888" s="76"/>
      <c r="G888" s="76" t="s">
        <v>187</v>
      </c>
      <c r="H888" s="76" t="s">
        <v>273</v>
      </c>
      <c r="I888" s="78">
        <v>45989</v>
      </c>
      <c r="J888" s="78">
        <v>45978</v>
      </c>
      <c r="K888" s="77">
        <v>-1</v>
      </c>
      <c r="L888" s="77">
        <v>-12</v>
      </c>
    </row>
    <row r="889" spans="1:12" ht="33.75">
      <c r="A889" s="76" t="s">
        <v>2217</v>
      </c>
      <c r="B889" s="76" t="s">
        <v>2331</v>
      </c>
      <c r="C889" s="76" t="s">
        <v>307</v>
      </c>
      <c r="D889" s="76" t="s">
        <v>2332</v>
      </c>
      <c r="E889" s="77">
        <v>117.15</v>
      </c>
      <c r="F889" s="76" t="s">
        <v>85</v>
      </c>
      <c r="G889" s="76"/>
      <c r="H889" s="76" t="s">
        <v>273</v>
      </c>
      <c r="I889" s="78">
        <v>45989</v>
      </c>
      <c r="J889" s="78">
        <v>45978</v>
      </c>
      <c r="K889" s="77">
        <v>-1</v>
      </c>
      <c r="L889" s="77">
        <v>-12</v>
      </c>
    </row>
    <row r="890" spans="1:12" ht="33.75">
      <c r="A890" s="76" t="s">
        <v>2217</v>
      </c>
      <c r="B890" s="76" t="s">
        <v>2333</v>
      </c>
      <c r="C890" s="76" t="s">
        <v>307</v>
      </c>
      <c r="D890" s="76" t="s">
        <v>2334</v>
      </c>
      <c r="E890" s="77">
        <v>102.13</v>
      </c>
      <c r="F890" s="76" t="s">
        <v>157</v>
      </c>
      <c r="G890" s="76"/>
      <c r="H890" s="76" t="s">
        <v>273</v>
      </c>
      <c r="I890" s="78">
        <v>45989</v>
      </c>
      <c r="J890" s="78">
        <v>45978</v>
      </c>
      <c r="K890" s="77">
        <v>-1</v>
      </c>
      <c r="L890" s="77">
        <v>-12</v>
      </c>
    </row>
    <row r="891" spans="1:12" ht="33.75">
      <c r="A891" s="76" t="s">
        <v>2217</v>
      </c>
      <c r="B891" s="76" t="s">
        <v>2335</v>
      </c>
      <c r="C891" s="76" t="s">
        <v>307</v>
      </c>
      <c r="D891" s="76" t="s">
        <v>2336</v>
      </c>
      <c r="E891" s="79"/>
      <c r="F891" s="76" t="s">
        <v>157</v>
      </c>
      <c r="G891" s="76"/>
      <c r="H891" s="76" t="s">
        <v>273</v>
      </c>
      <c r="I891" s="78">
        <v>45989</v>
      </c>
      <c r="J891" s="78">
        <v>45978</v>
      </c>
      <c r="K891" s="77">
        <v>-1</v>
      </c>
      <c r="L891" s="77">
        <v>-12</v>
      </c>
    </row>
    <row r="892" spans="1:12" ht="33.75">
      <c r="A892" s="76" t="s">
        <v>2217</v>
      </c>
      <c r="B892" s="76" t="s">
        <v>1629</v>
      </c>
      <c r="C892" s="76" t="s">
        <v>307</v>
      </c>
      <c r="D892" s="76" t="s">
        <v>2337</v>
      </c>
      <c r="E892" s="77">
        <v>73.92</v>
      </c>
      <c r="F892" s="76" t="s">
        <v>85</v>
      </c>
      <c r="G892" s="76"/>
      <c r="H892" s="76" t="s">
        <v>273</v>
      </c>
      <c r="I892" s="78">
        <v>45989</v>
      </c>
      <c r="J892" s="78">
        <v>45978</v>
      </c>
      <c r="K892" s="77">
        <v>-1</v>
      </c>
      <c r="L892" s="77">
        <v>-12</v>
      </c>
    </row>
    <row r="893" spans="1:12" ht="45">
      <c r="A893" s="76" t="s">
        <v>2217</v>
      </c>
      <c r="B893" s="76" t="s">
        <v>2338</v>
      </c>
      <c r="C893" s="76" t="s">
        <v>307</v>
      </c>
      <c r="D893" s="76" t="s">
        <v>2339</v>
      </c>
      <c r="E893" s="77">
        <v>140.65</v>
      </c>
      <c r="F893" s="76"/>
      <c r="G893" s="76" t="s">
        <v>187</v>
      </c>
      <c r="H893" s="76" t="s">
        <v>273</v>
      </c>
      <c r="I893" s="78">
        <v>45989</v>
      </c>
      <c r="J893" s="78">
        <v>45978</v>
      </c>
      <c r="K893" s="77">
        <v>-1</v>
      </c>
      <c r="L893" s="77">
        <v>-12</v>
      </c>
    </row>
    <row r="894" spans="1:12" ht="33.75">
      <c r="A894" s="76" t="s">
        <v>2340</v>
      </c>
      <c r="B894" s="76" t="s">
        <v>2341</v>
      </c>
      <c r="C894" s="76" t="s">
        <v>2342</v>
      </c>
      <c r="D894" s="76" t="s">
        <v>2343</v>
      </c>
      <c r="E894" s="77">
        <v>230.32</v>
      </c>
      <c r="F894" s="76" t="s">
        <v>184</v>
      </c>
      <c r="G894" s="76"/>
      <c r="H894" s="76" t="s">
        <v>273</v>
      </c>
      <c r="I894" s="78">
        <v>45986</v>
      </c>
      <c r="J894" s="78">
        <v>45978</v>
      </c>
      <c r="K894" s="77">
        <v>-4</v>
      </c>
      <c r="L894" s="77">
        <v>-12</v>
      </c>
    </row>
    <row r="895" spans="1:12" ht="33.75">
      <c r="A895" s="76" t="s">
        <v>2340</v>
      </c>
      <c r="B895" s="76" t="s">
        <v>2341</v>
      </c>
      <c r="C895" s="76" t="s">
        <v>2473</v>
      </c>
      <c r="D895" s="76" t="s">
        <v>2474</v>
      </c>
      <c r="E895" s="77">
        <v>104.27</v>
      </c>
      <c r="F895" s="76" t="s">
        <v>66</v>
      </c>
      <c r="G895" s="76"/>
      <c r="H895" s="76" t="s">
        <v>273</v>
      </c>
      <c r="I895" s="78">
        <v>45986</v>
      </c>
      <c r="J895" s="78">
        <v>45978</v>
      </c>
      <c r="K895" s="77">
        <v>-4</v>
      </c>
      <c r="L895" s="77">
        <v>-12</v>
      </c>
    </row>
    <row r="896" spans="1:12" ht="33.75">
      <c r="A896" s="76" t="s">
        <v>2344</v>
      </c>
      <c r="B896" s="76" t="s">
        <v>2232</v>
      </c>
      <c r="C896" s="76" t="s">
        <v>307</v>
      </c>
      <c r="D896" s="76" t="s">
        <v>2345</v>
      </c>
      <c r="E896" s="77">
        <v>0.01</v>
      </c>
      <c r="F896" s="76" t="s">
        <v>71</v>
      </c>
      <c r="G896" s="76"/>
      <c r="H896" s="76" t="s">
        <v>273</v>
      </c>
      <c r="I896" s="78">
        <v>45982</v>
      </c>
      <c r="J896" s="78">
        <v>45978</v>
      </c>
      <c r="K896" s="77">
        <v>-8</v>
      </c>
      <c r="L896" s="77">
        <v>-12</v>
      </c>
    </row>
    <row r="897" spans="1:12" ht="33.75">
      <c r="A897" s="76" t="s">
        <v>2346</v>
      </c>
      <c r="B897" s="76" t="s">
        <v>2347</v>
      </c>
      <c r="C897" s="76" t="s">
        <v>307</v>
      </c>
      <c r="D897" s="76" t="s">
        <v>2348</v>
      </c>
      <c r="E897" s="77">
        <v>103.56</v>
      </c>
      <c r="F897" s="76" t="s">
        <v>66</v>
      </c>
      <c r="G897" s="76"/>
      <c r="H897" s="76" t="s">
        <v>273</v>
      </c>
      <c r="I897" s="78">
        <v>45987</v>
      </c>
      <c r="J897" s="78">
        <v>45978</v>
      </c>
      <c r="K897" s="77">
        <v>-3</v>
      </c>
      <c r="L897" s="77">
        <v>-12</v>
      </c>
    </row>
    <row r="898" spans="1:12" ht="33.75">
      <c r="A898" s="76" t="s">
        <v>2216</v>
      </c>
      <c r="B898" s="76" t="s">
        <v>2349</v>
      </c>
      <c r="C898" s="76" t="s">
        <v>307</v>
      </c>
      <c r="D898" s="76" t="s">
        <v>2350</v>
      </c>
      <c r="E898" s="77">
        <v>117.75</v>
      </c>
      <c r="F898" s="76" t="s">
        <v>176</v>
      </c>
      <c r="G898" s="76"/>
      <c r="H898" s="76" t="s">
        <v>273</v>
      </c>
      <c r="I898" s="78">
        <v>45982</v>
      </c>
      <c r="J898" s="78">
        <v>45978</v>
      </c>
      <c r="K898" s="77">
        <v>-8</v>
      </c>
      <c r="L898" s="77">
        <v>-12</v>
      </c>
    </row>
    <row r="899" spans="1:12" ht="33.75">
      <c r="A899" s="76" t="s">
        <v>2353</v>
      </c>
      <c r="B899" s="76" t="s">
        <v>2354</v>
      </c>
      <c r="C899" s="76" t="s">
        <v>307</v>
      </c>
      <c r="D899" s="76" t="s">
        <v>2355</v>
      </c>
      <c r="E899" s="77">
        <v>89.61</v>
      </c>
      <c r="F899" s="76" t="s">
        <v>155</v>
      </c>
      <c r="G899" s="76"/>
      <c r="H899" s="76" t="s">
        <v>272</v>
      </c>
      <c r="I899" s="78">
        <v>45983</v>
      </c>
      <c r="J899" s="78">
        <v>45978</v>
      </c>
      <c r="K899" s="77">
        <v>-7</v>
      </c>
      <c r="L899" s="77">
        <v>-12</v>
      </c>
    </row>
    <row r="900" spans="1:12" ht="33.75">
      <c r="A900" s="76" t="s">
        <v>2356</v>
      </c>
      <c r="B900" s="76" t="s">
        <v>2354</v>
      </c>
      <c r="C900" s="76" t="s">
        <v>307</v>
      </c>
      <c r="D900" s="76" t="s">
        <v>2357</v>
      </c>
      <c r="E900" s="77">
        <v>101</v>
      </c>
      <c r="F900" s="76" t="s">
        <v>155</v>
      </c>
      <c r="G900" s="76"/>
      <c r="H900" s="76" t="s">
        <v>272</v>
      </c>
      <c r="I900" s="78">
        <v>45983</v>
      </c>
      <c r="J900" s="78">
        <v>45978</v>
      </c>
      <c r="K900" s="77">
        <v>-7</v>
      </c>
      <c r="L900" s="77">
        <v>-12</v>
      </c>
    </row>
    <row r="901" spans="1:12" ht="45">
      <c r="A901" s="76" t="s">
        <v>2358</v>
      </c>
      <c r="B901" s="76" t="s">
        <v>863</v>
      </c>
      <c r="C901" s="76" t="s">
        <v>307</v>
      </c>
      <c r="D901" s="76" t="s">
        <v>2359</v>
      </c>
      <c r="E901" s="79"/>
      <c r="F901" s="76"/>
      <c r="G901" s="76" t="s">
        <v>201</v>
      </c>
      <c r="H901" s="76" t="s">
        <v>272</v>
      </c>
      <c r="I901" s="78">
        <v>45986</v>
      </c>
      <c r="J901" s="78">
        <v>45978</v>
      </c>
      <c r="K901" s="77">
        <v>-4</v>
      </c>
      <c r="L901" s="77">
        <v>-12</v>
      </c>
    </row>
    <row r="902" spans="1:12" ht="45">
      <c r="A902" s="76" t="s">
        <v>2358</v>
      </c>
      <c r="B902" s="76" t="s">
        <v>863</v>
      </c>
      <c r="C902" s="76" t="s">
        <v>307</v>
      </c>
      <c r="D902" s="76" t="s">
        <v>2360</v>
      </c>
      <c r="E902" s="79"/>
      <c r="F902" s="76"/>
      <c r="G902" s="76" t="s">
        <v>201</v>
      </c>
      <c r="H902" s="76" t="s">
        <v>272</v>
      </c>
      <c r="I902" s="78">
        <v>45986</v>
      </c>
      <c r="J902" s="78">
        <v>45978</v>
      </c>
      <c r="K902" s="77">
        <v>-4</v>
      </c>
      <c r="L902" s="77">
        <v>-12</v>
      </c>
    </row>
    <row r="903" spans="1:12" ht="22.5">
      <c r="A903" s="76" t="s">
        <v>2361</v>
      </c>
      <c r="B903" s="76" t="s">
        <v>2362</v>
      </c>
      <c r="C903" s="76" t="s">
        <v>307</v>
      </c>
      <c r="D903" s="76" t="s">
        <v>2363</v>
      </c>
      <c r="E903" s="77">
        <v>136.01</v>
      </c>
      <c r="F903" s="76" t="s">
        <v>85</v>
      </c>
      <c r="G903" s="76"/>
      <c r="H903" s="76" t="s">
        <v>273</v>
      </c>
      <c r="I903" s="78">
        <v>45986</v>
      </c>
      <c r="J903" s="78">
        <v>45978</v>
      </c>
      <c r="K903" s="77">
        <v>-4</v>
      </c>
      <c r="L903" s="77">
        <v>-12</v>
      </c>
    </row>
    <row r="904" spans="1:12" ht="33.75">
      <c r="A904" s="76" t="s">
        <v>2364</v>
      </c>
      <c r="B904" s="76" t="s">
        <v>2365</v>
      </c>
      <c r="C904" s="76" t="s">
        <v>307</v>
      </c>
      <c r="D904" s="76" t="s">
        <v>2366</v>
      </c>
      <c r="E904" s="79"/>
      <c r="F904" s="76" t="s">
        <v>157</v>
      </c>
      <c r="G904" s="76"/>
      <c r="H904" s="76" t="s">
        <v>273</v>
      </c>
      <c r="I904" s="78">
        <v>45987</v>
      </c>
      <c r="J904" s="78">
        <v>45978</v>
      </c>
      <c r="K904" s="77">
        <v>-3</v>
      </c>
      <c r="L904" s="77">
        <v>-12</v>
      </c>
    </row>
    <row r="905" spans="1:12" ht="45">
      <c r="A905" s="76" t="s">
        <v>2367</v>
      </c>
      <c r="B905" s="76" t="s">
        <v>2368</v>
      </c>
      <c r="C905" s="76" t="s">
        <v>307</v>
      </c>
      <c r="D905" s="76" t="s">
        <v>2369</v>
      </c>
      <c r="E905" s="79"/>
      <c r="F905" s="76"/>
      <c r="G905" s="76" t="s">
        <v>201</v>
      </c>
      <c r="H905" s="76" t="s">
        <v>282</v>
      </c>
      <c r="I905" s="78">
        <v>45986</v>
      </c>
      <c r="J905" s="78">
        <v>45978</v>
      </c>
      <c r="K905" s="77">
        <v>-4</v>
      </c>
      <c r="L905" s="77">
        <v>-12</v>
      </c>
    </row>
    <row r="906" spans="1:12" ht="45">
      <c r="A906" s="76" t="s">
        <v>2367</v>
      </c>
      <c r="B906" s="76" t="s">
        <v>2368</v>
      </c>
      <c r="C906" s="76" t="s">
        <v>307</v>
      </c>
      <c r="D906" s="76" t="s">
        <v>2370</v>
      </c>
      <c r="E906" s="79"/>
      <c r="F906" s="76"/>
      <c r="G906" s="76" t="s">
        <v>201</v>
      </c>
      <c r="H906" s="76" t="s">
        <v>282</v>
      </c>
      <c r="I906" s="78">
        <v>45986</v>
      </c>
      <c r="J906" s="78">
        <v>45978</v>
      </c>
      <c r="K906" s="77">
        <v>-4</v>
      </c>
      <c r="L906" s="77">
        <v>-12</v>
      </c>
    </row>
    <row r="907" spans="1:12" ht="22.5">
      <c r="A907" s="76" t="s">
        <v>2371</v>
      </c>
      <c r="B907" s="76" t="s">
        <v>2372</v>
      </c>
      <c r="C907" s="76" t="s">
        <v>2373</v>
      </c>
      <c r="D907" s="76" t="s">
        <v>2374</v>
      </c>
      <c r="E907" s="77">
        <v>173.131</v>
      </c>
      <c r="F907" s="76" t="s">
        <v>894</v>
      </c>
      <c r="G907" s="76"/>
      <c r="H907" s="76" t="s">
        <v>273</v>
      </c>
      <c r="I907" s="78">
        <v>45990</v>
      </c>
      <c r="J907" s="78">
        <v>45978</v>
      </c>
      <c r="K907" s="77">
        <v>0</v>
      </c>
      <c r="L907" s="77">
        <v>-12</v>
      </c>
    </row>
    <row r="908" spans="1:12" ht="45">
      <c r="A908" s="76" t="s">
        <v>2371</v>
      </c>
      <c r="B908" s="76" t="s">
        <v>2375</v>
      </c>
      <c r="C908" s="76" t="s">
        <v>307</v>
      </c>
      <c r="D908" s="76" t="s">
        <v>2376</v>
      </c>
      <c r="E908" s="77">
        <v>0.68</v>
      </c>
      <c r="F908" s="76"/>
      <c r="G908" s="76" t="s">
        <v>187</v>
      </c>
      <c r="H908" s="76" t="s">
        <v>273</v>
      </c>
      <c r="I908" s="78">
        <v>45990</v>
      </c>
      <c r="J908" s="78">
        <v>45978</v>
      </c>
      <c r="K908" s="77">
        <v>0</v>
      </c>
      <c r="L908" s="77">
        <v>-12</v>
      </c>
    </row>
    <row r="909" spans="1:12" ht="22.5">
      <c r="A909" s="76" t="s">
        <v>2371</v>
      </c>
      <c r="B909" s="76" t="s">
        <v>2377</v>
      </c>
      <c r="C909" s="76" t="s">
        <v>2373</v>
      </c>
      <c r="D909" s="76" t="s">
        <v>2378</v>
      </c>
      <c r="E909" s="77">
        <v>173.131</v>
      </c>
      <c r="F909" s="76" t="s">
        <v>894</v>
      </c>
      <c r="G909" s="76"/>
      <c r="H909" s="76" t="s">
        <v>273</v>
      </c>
      <c r="I909" s="78">
        <v>45990</v>
      </c>
      <c r="J909" s="78">
        <v>45978</v>
      </c>
      <c r="K909" s="77">
        <v>0</v>
      </c>
      <c r="L909" s="77">
        <v>-12</v>
      </c>
    </row>
    <row r="910" spans="1:12" ht="22.5">
      <c r="A910" s="76" t="s">
        <v>2371</v>
      </c>
      <c r="B910" s="76" t="s">
        <v>2379</v>
      </c>
      <c r="C910" s="76" t="s">
        <v>2373</v>
      </c>
      <c r="D910" s="76" t="s">
        <v>2380</v>
      </c>
      <c r="E910" s="77">
        <v>173.131</v>
      </c>
      <c r="F910" s="76" t="s">
        <v>894</v>
      </c>
      <c r="G910" s="76"/>
      <c r="H910" s="76" t="s">
        <v>273</v>
      </c>
      <c r="I910" s="78">
        <v>45990</v>
      </c>
      <c r="J910" s="78">
        <v>45978</v>
      </c>
      <c r="K910" s="77">
        <v>0</v>
      </c>
      <c r="L910" s="77">
        <v>-12</v>
      </c>
    </row>
    <row r="911" spans="1:12" ht="22.5">
      <c r="A911" s="76" t="s">
        <v>2371</v>
      </c>
      <c r="B911" s="76" t="s">
        <v>2381</v>
      </c>
      <c r="C911" s="76" t="s">
        <v>2373</v>
      </c>
      <c r="D911" s="76" t="s">
        <v>2382</v>
      </c>
      <c r="E911" s="77">
        <v>173.131</v>
      </c>
      <c r="F911" s="76" t="s">
        <v>894</v>
      </c>
      <c r="G911" s="76"/>
      <c r="H911" s="76" t="s">
        <v>273</v>
      </c>
      <c r="I911" s="78">
        <v>45990</v>
      </c>
      <c r="J911" s="78">
        <v>45978</v>
      </c>
      <c r="K911" s="77">
        <v>0</v>
      </c>
      <c r="L911" s="77">
        <v>-12</v>
      </c>
    </row>
    <row r="912" spans="1:12" ht="22.5">
      <c r="A912" s="76" t="s">
        <v>2371</v>
      </c>
      <c r="B912" s="76" t="s">
        <v>1415</v>
      </c>
      <c r="C912" s="76" t="s">
        <v>2373</v>
      </c>
      <c r="D912" s="76" t="s">
        <v>2383</v>
      </c>
      <c r="E912" s="77">
        <v>173.131</v>
      </c>
      <c r="F912" s="76" t="s">
        <v>894</v>
      </c>
      <c r="G912" s="76"/>
      <c r="H912" s="76" t="s">
        <v>273</v>
      </c>
      <c r="I912" s="78">
        <v>45990</v>
      </c>
      <c r="J912" s="78">
        <v>45978</v>
      </c>
      <c r="K912" s="77">
        <v>0</v>
      </c>
      <c r="L912" s="77">
        <v>-12</v>
      </c>
    </row>
    <row r="913" spans="1:12" ht="22.5">
      <c r="A913" s="76" t="s">
        <v>2371</v>
      </c>
      <c r="B913" s="76" t="s">
        <v>2384</v>
      </c>
      <c r="C913" s="76" t="s">
        <v>307</v>
      </c>
      <c r="D913" s="76" t="s">
        <v>2385</v>
      </c>
      <c r="E913" s="77">
        <v>9.4</v>
      </c>
      <c r="F913" s="76" t="s">
        <v>85</v>
      </c>
      <c r="G913" s="76"/>
      <c r="H913" s="76" t="s">
        <v>273</v>
      </c>
      <c r="I913" s="78">
        <v>45990</v>
      </c>
      <c r="J913" s="78">
        <v>45978</v>
      </c>
      <c r="K913" s="77">
        <v>0</v>
      </c>
      <c r="L913" s="77">
        <v>-12</v>
      </c>
    </row>
    <row r="914" spans="1:12" ht="22.5">
      <c r="A914" s="76" t="s">
        <v>2371</v>
      </c>
      <c r="B914" s="76" t="s">
        <v>2386</v>
      </c>
      <c r="C914" s="76" t="s">
        <v>2373</v>
      </c>
      <c r="D914" s="76" t="s">
        <v>2387</v>
      </c>
      <c r="E914" s="77">
        <v>173.131</v>
      </c>
      <c r="F914" s="76" t="s">
        <v>894</v>
      </c>
      <c r="G914" s="76"/>
      <c r="H914" s="76" t="s">
        <v>273</v>
      </c>
      <c r="I914" s="78">
        <v>45990</v>
      </c>
      <c r="J914" s="78">
        <v>45978</v>
      </c>
      <c r="K914" s="77">
        <v>0</v>
      </c>
      <c r="L914" s="77">
        <v>-12</v>
      </c>
    </row>
    <row r="915" spans="1:12" ht="22.5">
      <c r="A915" s="76" t="s">
        <v>2371</v>
      </c>
      <c r="B915" s="76" t="s">
        <v>2388</v>
      </c>
      <c r="C915" s="76" t="s">
        <v>2373</v>
      </c>
      <c r="D915" s="76" t="s">
        <v>2389</v>
      </c>
      <c r="E915" s="77">
        <v>173.131</v>
      </c>
      <c r="F915" s="76" t="s">
        <v>894</v>
      </c>
      <c r="G915" s="76"/>
      <c r="H915" s="76" t="s">
        <v>273</v>
      </c>
      <c r="I915" s="78">
        <v>45990</v>
      </c>
      <c r="J915" s="78">
        <v>45978</v>
      </c>
      <c r="K915" s="77">
        <v>0</v>
      </c>
      <c r="L915" s="77">
        <v>-12</v>
      </c>
    </row>
    <row r="916" spans="1:12" ht="45">
      <c r="A916" s="76" t="s">
        <v>2371</v>
      </c>
      <c r="B916" s="76" t="s">
        <v>2390</v>
      </c>
      <c r="C916" s="76" t="s">
        <v>307</v>
      </c>
      <c r="D916" s="76" t="s">
        <v>2391</v>
      </c>
      <c r="E916" s="77">
        <v>4.82</v>
      </c>
      <c r="F916" s="76"/>
      <c r="G916" s="76" t="s">
        <v>222</v>
      </c>
      <c r="H916" s="76" t="s">
        <v>273</v>
      </c>
      <c r="I916" s="78">
        <v>45990</v>
      </c>
      <c r="J916" s="78">
        <v>45978</v>
      </c>
      <c r="K916" s="77">
        <v>0</v>
      </c>
      <c r="L916" s="77">
        <v>-12</v>
      </c>
    </row>
    <row r="917" spans="1:12" ht="45">
      <c r="A917" s="76" t="s">
        <v>2371</v>
      </c>
      <c r="B917" s="76" t="s">
        <v>2392</v>
      </c>
      <c r="C917" s="76" t="s">
        <v>307</v>
      </c>
      <c r="D917" s="76" t="s">
        <v>2393</v>
      </c>
      <c r="E917" s="77">
        <v>6.02</v>
      </c>
      <c r="F917" s="76"/>
      <c r="G917" s="76" t="s">
        <v>222</v>
      </c>
      <c r="H917" s="76" t="s">
        <v>273</v>
      </c>
      <c r="I917" s="78">
        <v>45990</v>
      </c>
      <c r="J917" s="78">
        <v>45978</v>
      </c>
      <c r="K917" s="77">
        <v>0</v>
      </c>
      <c r="L917" s="77">
        <v>-12</v>
      </c>
    </row>
    <row r="918" spans="1:12" ht="22.5">
      <c r="A918" s="76" t="s">
        <v>2371</v>
      </c>
      <c r="B918" s="76" t="s">
        <v>2394</v>
      </c>
      <c r="C918" s="76" t="s">
        <v>2395</v>
      </c>
      <c r="D918" s="76" t="s">
        <v>2396</v>
      </c>
      <c r="E918" s="77">
        <v>144.62700000000001</v>
      </c>
      <c r="F918" s="76" t="s">
        <v>894</v>
      </c>
      <c r="G918" s="76"/>
      <c r="H918" s="76" t="s">
        <v>273</v>
      </c>
      <c r="I918" s="78">
        <v>45990</v>
      </c>
      <c r="J918" s="78">
        <v>45978</v>
      </c>
      <c r="K918" s="77">
        <v>0</v>
      </c>
      <c r="L918" s="77">
        <v>-12</v>
      </c>
    </row>
    <row r="919" spans="1:12" ht="22.5">
      <c r="A919" s="76" t="s">
        <v>2371</v>
      </c>
      <c r="B919" s="76" t="s">
        <v>2397</v>
      </c>
      <c r="C919" s="76" t="s">
        <v>2395</v>
      </c>
      <c r="D919" s="76" t="s">
        <v>2398</v>
      </c>
      <c r="E919" s="77">
        <v>144.62700000000001</v>
      </c>
      <c r="F919" s="76" t="s">
        <v>894</v>
      </c>
      <c r="G919" s="76"/>
      <c r="H919" s="76" t="s">
        <v>273</v>
      </c>
      <c r="I919" s="78">
        <v>45990</v>
      </c>
      <c r="J919" s="78">
        <v>45978</v>
      </c>
      <c r="K919" s="77">
        <v>0</v>
      </c>
      <c r="L919" s="77">
        <v>-12</v>
      </c>
    </row>
    <row r="920" spans="1:12" ht="45">
      <c r="A920" s="76" t="s">
        <v>2371</v>
      </c>
      <c r="B920" s="76" t="s">
        <v>2399</v>
      </c>
      <c r="C920" s="76" t="s">
        <v>307</v>
      </c>
      <c r="D920" s="76" t="s">
        <v>2400</v>
      </c>
      <c r="E920" s="77">
        <v>0.57999999999999996</v>
      </c>
      <c r="F920" s="76"/>
      <c r="G920" s="76" t="s">
        <v>187</v>
      </c>
      <c r="H920" s="76" t="s">
        <v>273</v>
      </c>
      <c r="I920" s="78">
        <v>45990</v>
      </c>
      <c r="J920" s="78">
        <v>45978</v>
      </c>
      <c r="K920" s="77">
        <v>0</v>
      </c>
      <c r="L920" s="77">
        <v>-12</v>
      </c>
    </row>
    <row r="921" spans="1:12" ht="22.5">
      <c r="A921" s="76" t="s">
        <v>2371</v>
      </c>
      <c r="B921" s="76" t="s">
        <v>2401</v>
      </c>
      <c r="C921" s="76" t="s">
        <v>2395</v>
      </c>
      <c r="D921" s="76" t="s">
        <v>2402</v>
      </c>
      <c r="E921" s="77">
        <v>144.62700000000001</v>
      </c>
      <c r="F921" s="76" t="s">
        <v>894</v>
      </c>
      <c r="G921" s="76"/>
      <c r="H921" s="76" t="s">
        <v>273</v>
      </c>
      <c r="I921" s="78">
        <v>45990</v>
      </c>
      <c r="J921" s="78">
        <v>45978</v>
      </c>
      <c r="K921" s="77">
        <v>0</v>
      </c>
      <c r="L921" s="77">
        <v>-12</v>
      </c>
    </row>
    <row r="922" spans="1:12" ht="22.5">
      <c r="A922" s="76" t="s">
        <v>2371</v>
      </c>
      <c r="B922" s="76" t="s">
        <v>2403</v>
      </c>
      <c r="C922" s="76" t="s">
        <v>2395</v>
      </c>
      <c r="D922" s="76" t="s">
        <v>2404</v>
      </c>
      <c r="E922" s="77">
        <v>144.62700000000001</v>
      </c>
      <c r="F922" s="76" t="s">
        <v>894</v>
      </c>
      <c r="G922" s="76"/>
      <c r="H922" s="76" t="s">
        <v>273</v>
      </c>
      <c r="I922" s="78">
        <v>45990</v>
      </c>
      <c r="J922" s="78">
        <v>45978</v>
      </c>
      <c r="K922" s="77">
        <v>0</v>
      </c>
      <c r="L922" s="77">
        <v>-12</v>
      </c>
    </row>
    <row r="923" spans="1:12" ht="22.5">
      <c r="A923" s="76" t="s">
        <v>2371</v>
      </c>
      <c r="B923" s="76" t="s">
        <v>2405</v>
      </c>
      <c r="C923" s="76" t="s">
        <v>2395</v>
      </c>
      <c r="D923" s="76" t="s">
        <v>2406</v>
      </c>
      <c r="E923" s="77">
        <v>144.62700000000001</v>
      </c>
      <c r="F923" s="76" t="s">
        <v>894</v>
      </c>
      <c r="G923" s="76"/>
      <c r="H923" s="76" t="s">
        <v>273</v>
      </c>
      <c r="I923" s="78">
        <v>45990</v>
      </c>
      <c r="J923" s="78">
        <v>45978</v>
      </c>
      <c r="K923" s="77">
        <v>0</v>
      </c>
      <c r="L923" s="77">
        <v>-12</v>
      </c>
    </row>
    <row r="924" spans="1:12" ht="22.5">
      <c r="A924" s="76" t="s">
        <v>2371</v>
      </c>
      <c r="B924" s="76" t="s">
        <v>2407</v>
      </c>
      <c r="C924" s="76" t="s">
        <v>2395</v>
      </c>
      <c r="D924" s="76" t="s">
        <v>2408</v>
      </c>
      <c r="E924" s="77">
        <v>144.62700000000001</v>
      </c>
      <c r="F924" s="76" t="s">
        <v>894</v>
      </c>
      <c r="G924" s="76"/>
      <c r="H924" s="76" t="s">
        <v>273</v>
      </c>
      <c r="I924" s="78">
        <v>45990</v>
      </c>
      <c r="J924" s="78">
        <v>45978</v>
      </c>
      <c r="K924" s="77">
        <v>0</v>
      </c>
      <c r="L924" s="77">
        <v>-12</v>
      </c>
    </row>
    <row r="925" spans="1:12" ht="22.5">
      <c r="A925" s="76" t="s">
        <v>2371</v>
      </c>
      <c r="B925" s="76" t="s">
        <v>2409</v>
      </c>
      <c r="C925" s="76" t="s">
        <v>2395</v>
      </c>
      <c r="D925" s="76" t="s">
        <v>2410</v>
      </c>
      <c r="E925" s="77">
        <v>144.62700000000001</v>
      </c>
      <c r="F925" s="76" t="s">
        <v>894</v>
      </c>
      <c r="G925" s="76"/>
      <c r="H925" s="76" t="s">
        <v>273</v>
      </c>
      <c r="I925" s="78">
        <v>45990</v>
      </c>
      <c r="J925" s="78">
        <v>45978</v>
      </c>
      <c r="K925" s="77">
        <v>0</v>
      </c>
      <c r="L925" s="77">
        <v>-12</v>
      </c>
    </row>
    <row r="926" spans="1:12" ht="45">
      <c r="A926" s="76" t="s">
        <v>2371</v>
      </c>
      <c r="B926" s="76" t="s">
        <v>2411</v>
      </c>
      <c r="C926" s="76" t="s">
        <v>307</v>
      </c>
      <c r="D926" s="76" t="s">
        <v>2412</v>
      </c>
      <c r="E926" s="77">
        <v>6.09</v>
      </c>
      <c r="F926" s="76"/>
      <c r="G926" s="76" t="s">
        <v>222</v>
      </c>
      <c r="H926" s="76" t="s">
        <v>273</v>
      </c>
      <c r="I926" s="78">
        <v>45990</v>
      </c>
      <c r="J926" s="78">
        <v>45978</v>
      </c>
      <c r="K926" s="77">
        <v>0</v>
      </c>
      <c r="L926" s="77">
        <v>-12</v>
      </c>
    </row>
    <row r="927" spans="1:12" ht="45">
      <c r="A927" s="76" t="s">
        <v>2371</v>
      </c>
      <c r="B927" s="76" t="s">
        <v>2413</v>
      </c>
      <c r="C927" s="76" t="s">
        <v>307</v>
      </c>
      <c r="D927" s="76" t="s">
        <v>2414</v>
      </c>
      <c r="E927" s="77">
        <v>8.83</v>
      </c>
      <c r="F927" s="76"/>
      <c r="G927" s="76" t="s">
        <v>222</v>
      </c>
      <c r="H927" s="76" t="s">
        <v>273</v>
      </c>
      <c r="I927" s="78">
        <v>45990</v>
      </c>
      <c r="J927" s="78">
        <v>45978</v>
      </c>
      <c r="K927" s="77">
        <v>0</v>
      </c>
      <c r="L927" s="77">
        <v>-12</v>
      </c>
    </row>
    <row r="928" spans="1:12" ht="33.75">
      <c r="A928" s="76" t="s">
        <v>2415</v>
      </c>
      <c r="B928" s="76" t="s">
        <v>2416</v>
      </c>
      <c r="C928" s="76" t="s">
        <v>307</v>
      </c>
      <c r="D928" s="76" t="s">
        <v>2417</v>
      </c>
      <c r="E928" s="77">
        <v>35</v>
      </c>
      <c r="F928" s="76" t="s">
        <v>157</v>
      </c>
      <c r="G928" s="76"/>
      <c r="H928" s="76" t="s">
        <v>273</v>
      </c>
      <c r="I928" s="78">
        <v>45986</v>
      </c>
      <c r="J928" s="78">
        <v>45978</v>
      </c>
      <c r="K928" s="77">
        <v>-4</v>
      </c>
      <c r="L928" s="77">
        <v>-12</v>
      </c>
    </row>
    <row r="929" spans="1:12" ht="45">
      <c r="A929" s="76" t="s">
        <v>2415</v>
      </c>
      <c r="B929" s="76" t="s">
        <v>2136</v>
      </c>
      <c r="C929" s="76" t="s">
        <v>307</v>
      </c>
      <c r="D929" s="76" t="s">
        <v>2418</v>
      </c>
      <c r="E929" s="77">
        <v>98.52</v>
      </c>
      <c r="F929" s="76"/>
      <c r="G929" s="76" t="s">
        <v>187</v>
      </c>
      <c r="H929" s="76" t="s">
        <v>273</v>
      </c>
      <c r="I929" s="78">
        <v>45986</v>
      </c>
      <c r="J929" s="78">
        <v>45978</v>
      </c>
      <c r="K929" s="77">
        <v>-4</v>
      </c>
      <c r="L929" s="77">
        <v>-12</v>
      </c>
    </row>
    <row r="930" spans="1:12" ht="45">
      <c r="A930" s="76" t="s">
        <v>2415</v>
      </c>
      <c r="B930" s="76" t="s">
        <v>2419</v>
      </c>
      <c r="C930" s="76" t="s">
        <v>307</v>
      </c>
      <c r="D930" s="76" t="s">
        <v>2420</v>
      </c>
      <c r="E930" s="77">
        <v>61.34</v>
      </c>
      <c r="F930" s="76"/>
      <c r="G930" s="76" t="s">
        <v>187</v>
      </c>
      <c r="H930" s="76" t="s">
        <v>273</v>
      </c>
      <c r="I930" s="78">
        <v>45986</v>
      </c>
      <c r="J930" s="78">
        <v>45978</v>
      </c>
      <c r="K930" s="77">
        <v>-4</v>
      </c>
      <c r="L930" s="77">
        <v>-12</v>
      </c>
    </row>
    <row r="931" spans="1:12" ht="45">
      <c r="A931" s="76" t="s">
        <v>2421</v>
      </c>
      <c r="B931" s="76" t="s">
        <v>2422</v>
      </c>
      <c r="C931" s="76" t="s">
        <v>2423</v>
      </c>
      <c r="D931" s="76" t="s">
        <v>2424</v>
      </c>
      <c r="E931" s="77">
        <v>594.9</v>
      </c>
      <c r="F931" s="76"/>
      <c r="G931" s="76" t="s">
        <v>192</v>
      </c>
      <c r="H931" s="76" t="s">
        <v>273</v>
      </c>
      <c r="I931" s="78">
        <v>45985</v>
      </c>
      <c r="J931" s="78">
        <v>45978</v>
      </c>
      <c r="K931" s="77">
        <v>-5</v>
      </c>
      <c r="L931" s="77">
        <v>-12</v>
      </c>
    </row>
    <row r="932" spans="1:12" ht="45">
      <c r="A932" s="76" t="s">
        <v>2421</v>
      </c>
      <c r="B932" s="76" t="s">
        <v>2425</v>
      </c>
      <c r="C932" s="76" t="s">
        <v>2423</v>
      </c>
      <c r="D932" s="76" t="s">
        <v>2426</v>
      </c>
      <c r="E932" s="77">
        <v>594.9</v>
      </c>
      <c r="F932" s="76"/>
      <c r="G932" s="76" t="s">
        <v>192</v>
      </c>
      <c r="H932" s="76" t="s">
        <v>273</v>
      </c>
      <c r="I932" s="78">
        <v>45985</v>
      </c>
      <c r="J932" s="78">
        <v>45978</v>
      </c>
      <c r="K932" s="77">
        <v>-5</v>
      </c>
      <c r="L932" s="77">
        <v>-12</v>
      </c>
    </row>
    <row r="933" spans="1:12" ht="45">
      <c r="A933" s="76" t="s">
        <v>2421</v>
      </c>
      <c r="B933" s="76" t="s">
        <v>2427</v>
      </c>
      <c r="C933" s="76" t="s">
        <v>2423</v>
      </c>
      <c r="D933" s="76" t="s">
        <v>2428</v>
      </c>
      <c r="E933" s="77">
        <v>594.9</v>
      </c>
      <c r="F933" s="76"/>
      <c r="G933" s="76" t="s">
        <v>192</v>
      </c>
      <c r="H933" s="76" t="s">
        <v>273</v>
      </c>
      <c r="I933" s="78">
        <v>45985</v>
      </c>
      <c r="J933" s="78">
        <v>45978</v>
      </c>
      <c r="K933" s="77">
        <v>-5</v>
      </c>
      <c r="L933" s="77">
        <v>-12</v>
      </c>
    </row>
    <row r="934" spans="1:12" ht="45">
      <c r="A934" s="76" t="s">
        <v>2421</v>
      </c>
      <c r="B934" s="76" t="s">
        <v>2429</v>
      </c>
      <c r="C934" s="76" t="s">
        <v>2423</v>
      </c>
      <c r="D934" s="76" t="s">
        <v>2430</v>
      </c>
      <c r="E934" s="77">
        <v>594.9</v>
      </c>
      <c r="F934" s="76"/>
      <c r="G934" s="76" t="s">
        <v>192</v>
      </c>
      <c r="H934" s="76" t="s">
        <v>273</v>
      </c>
      <c r="I934" s="78">
        <v>45985</v>
      </c>
      <c r="J934" s="78">
        <v>45978</v>
      </c>
      <c r="K934" s="77">
        <v>-5</v>
      </c>
      <c r="L934" s="77">
        <v>-12</v>
      </c>
    </row>
    <row r="935" spans="1:12" ht="45">
      <c r="A935" s="76" t="s">
        <v>2421</v>
      </c>
      <c r="B935" s="76" t="s">
        <v>2431</v>
      </c>
      <c r="C935" s="76" t="s">
        <v>2423</v>
      </c>
      <c r="D935" s="76" t="s">
        <v>2432</v>
      </c>
      <c r="E935" s="77">
        <v>594.9</v>
      </c>
      <c r="F935" s="76"/>
      <c r="G935" s="76" t="s">
        <v>192</v>
      </c>
      <c r="H935" s="76" t="s">
        <v>273</v>
      </c>
      <c r="I935" s="78">
        <v>45985</v>
      </c>
      <c r="J935" s="78">
        <v>45978</v>
      </c>
      <c r="K935" s="77">
        <v>-5</v>
      </c>
      <c r="L935" s="77">
        <v>-12</v>
      </c>
    </row>
    <row r="936" spans="1:12" ht="45">
      <c r="A936" s="76" t="s">
        <v>2421</v>
      </c>
      <c r="B936" s="76" t="s">
        <v>2433</v>
      </c>
      <c r="C936" s="76" t="s">
        <v>2423</v>
      </c>
      <c r="D936" s="76" t="s">
        <v>2434</v>
      </c>
      <c r="E936" s="77">
        <v>594.9</v>
      </c>
      <c r="F936" s="76"/>
      <c r="G936" s="76" t="s">
        <v>192</v>
      </c>
      <c r="H936" s="76" t="s">
        <v>273</v>
      </c>
      <c r="I936" s="78">
        <v>45985</v>
      </c>
      <c r="J936" s="78">
        <v>45978</v>
      </c>
      <c r="K936" s="77">
        <v>-5</v>
      </c>
      <c r="L936" s="77">
        <v>-12</v>
      </c>
    </row>
    <row r="937" spans="1:12" ht="33.75">
      <c r="A937" s="76" t="s">
        <v>2435</v>
      </c>
      <c r="B937" s="76" t="s">
        <v>2416</v>
      </c>
      <c r="C937" s="76" t="s">
        <v>307</v>
      </c>
      <c r="D937" s="76" t="s">
        <v>2436</v>
      </c>
      <c r="E937" s="77">
        <v>8.67</v>
      </c>
      <c r="F937" s="76" t="s">
        <v>157</v>
      </c>
      <c r="G937" s="76"/>
      <c r="H937" s="76" t="s">
        <v>273</v>
      </c>
      <c r="I937" s="78">
        <v>45986</v>
      </c>
      <c r="J937" s="78">
        <v>45978</v>
      </c>
      <c r="K937" s="77">
        <v>-4</v>
      </c>
      <c r="L937" s="77">
        <v>-12</v>
      </c>
    </row>
    <row r="938" spans="1:12" ht="33.75">
      <c r="A938" s="76" t="s">
        <v>2437</v>
      </c>
      <c r="B938" s="76" t="s">
        <v>274</v>
      </c>
      <c r="C938" s="76" t="s">
        <v>2438</v>
      </c>
      <c r="D938" s="76" t="s">
        <v>2439</v>
      </c>
      <c r="E938" s="77">
        <v>1251.55</v>
      </c>
      <c r="F938" s="76" t="s">
        <v>79</v>
      </c>
      <c r="G938" s="76"/>
      <c r="H938" s="76" t="s">
        <v>273</v>
      </c>
      <c r="I938" s="78">
        <v>45985</v>
      </c>
      <c r="J938" s="78">
        <v>45978</v>
      </c>
      <c r="K938" s="77">
        <v>-5</v>
      </c>
      <c r="L938" s="77">
        <v>-12</v>
      </c>
    </row>
    <row r="939" spans="1:12" ht="33.75">
      <c r="A939" s="76" t="s">
        <v>2440</v>
      </c>
      <c r="B939" s="76" t="s">
        <v>2441</v>
      </c>
      <c r="C939" s="76" t="s">
        <v>307</v>
      </c>
      <c r="D939" s="76" t="s">
        <v>2442</v>
      </c>
      <c r="E939" s="77">
        <v>551.29999999999995</v>
      </c>
      <c r="F939" s="76" t="s">
        <v>2475</v>
      </c>
      <c r="G939" s="76"/>
      <c r="H939" s="76" t="s">
        <v>273</v>
      </c>
      <c r="I939" s="78">
        <v>45988</v>
      </c>
      <c r="J939" s="78">
        <v>45978</v>
      </c>
      <c r="K939" s="77">
        <v>-2</v>
      </c>
      <c r="L939" s="77">
        <v>-12</v>
      </c>
    </row>
    <row r="940" spans="1:12" ht="33.75">
      <c r="A940" s="76" t="s">
        <v>2234</v>
      </c>
      <c r="B940" s="76" t="s">
        <v>2444</v>
      </c>
      <c r="C940" s="76" t="s">
        <v>307</v>
      </c>
      <c r="D940" s="76" t="s">
        <v>2445</v>
      </c>
      <c r="E940" s="79"/>
      <c r="F940" s="76" t="s">
        <v>155</v>
      </c>
      <c r="G940" s="76"/>
      <c r="H940" s="76" t="s">
        <v>282</v>
      </c>
      <c r="I940" s="78">
        <v>45987</v>
      </c>
      <c r="J940" s="78">
        <v>45978</v>
      </c>
      <c r="K940" s="77">
        <v>-3</v>
      </c>
      <c r="L940" s="77">
        <v>-12</v>
      </c>
    </row>
    <row r="941" spans="1:12" ht="45">
      <c r="A941" s="76" t="s">
        <v>2234</v>
      </c>
      <c r="B941" s="76" t="s">
        <v>2446</v>
      </c>
      <c r="C941" s="76" t="s">
        <v>307</v>
      </c>
      <c r="D941" s="76" t="s">
        <v>2447</v>
      </c>
      <c r="E941" s="79"/>
      <c r="F941" s="76" t="s">
        <v>155</v>
      </c>
      <c r="G941" s="76"/>
      <c r="H941" s="76" t="s">
        <v>282</v>
      </c>
      <c r="I941" s="78">
        <v>45987</v>
      </c>
      <c r="J941" s="78">
        <v>45978</v>
      </c>
      <c r="K941" s="77">
        <v>-3</v>
      </c>
      <c r="L941" s="77">
        <v>-12</v>
      </c>
    </row>
    <row r="942" spans="1:12" ht="45">
      <c r="A942" s="76" t="s">
        <v>2234</v>
      </c>
      <c r="B942" s="76" t="s">
        <v>2448</v>
      </c>
      <c r="C942" s="76" t="s">
        <v>307</v>
      </c>
      <c r="D942" s="76" t="s">
        <v>2449</v>
      </c>
      <c r="E942" s="77">
        <v>196.72</v>
      </c>
      <c r="F942" s="76"/>
      <c r="G942" s="76" t="s">
        <v>186</v>
      </c>
      <c r="H942" s="76" t="s">
        <v>282</v>
      </c>
      <c r="I942" s="78">
        <v>45987</v>
      </c>
      <c r="J942" s="78">
        <v>45978</v>
      </c>
      <c r="K942" s="77">
        <v>-3</v>
      </c>
      <c r="L942" s="77">
        <v>-12</v>
      </c>
    </row>
    <row r="943" spans="1:12" ht="33.75">
      <c r="A943" s="76" t="s">
        <v>2443</v>
      </c>
      <c r="B943" s="76" t="s">
        <v>2451</v>
      </c>
      <c r="C943" s="76" t="s">
        <v>307</v>
      </c>
      <c r="D943" s="76" t="s">
        <v>2452</v>
      </c>
      <c r="E943" s="79"/>
      <c r="F943" s="76" t="s">
        <v>155</v>
      </c>
      <c r="G943" s="76"/>
      <c r="H943" s="76" t="s">
        <v>282</v>
      </c>
      <c r="I943" s="78">
        <v>45987</v>
      </c>
      <c r="J943" s="78">
        <v>45978</v>
      </c>
      <c r="K943" s="77">
        <v>-3</v>
      </c>
      <c r="L943" s="77">
        <v>-12</v>
      </c>
    </row>
    <row r="944" spans="1:12" ht="33.75">
      <c r="A944" s="76" t="s">
        <v>2234</v>
      </c>
      <c r="B944" s="76" t="s">
        <v>2235</v>
      </c>
      <c r="C944" s="76" t="s">
        <v>307</v>
      </c>
      <c r="D944" s="76" t="s">
        <v>2236</v>
      </c>
      <c r="E944" s="79"/>
      <c r="F944" s="76" t="s">
        <v>155</v>
      </c>
      <c r="G944" s="76"/>
      <c r="H944" s="76" t="s">
        <v>282</v>
      </c>
      <c r="I944" s="78">
        <v>45987</v>
      </c>
      <c r="J944" s="78">
        <v>45978</v>
      </c>
      <c r="K944" s="77">
        <v>-3</v>
      </c>
      <c r="L944" s="77">
        <v>-12</v>
      </c>
    </row>
    <row r="945" spans="1:12" ht="33.75">
      <c r="A945" s="76" t="s">
        <v>2476</v>
      </c>
      <c r="B945" s="76" t="s">
        <v>1477</v>
      </c>
      <c r="C945" s="76" t="s">
        <v>307</v>
      </c>
      <c r="D945" s="76" t="s">
        <v>2477</v>
      </c>
      <c r="E945" s="79"/>
      <c r="F945" s="76" t="s">
        <v>157</v>
      </c>
      <c r="G945" s="76"/>
      <c r="H945" s="76" t="s">
        <v>273</v>
      </c>
      <c r="I945" s="78">
        <v>45987</v>
      </c>
      <c r="J945" s="78">
        <v>45979</v>
      </c>
      <c r="K945" s="77">
        <v>-3</v>
      </c>
      <c r="L945" s="77">
        <v>-11</v>
      </c>
    </row>
    <row r="946" spans="1:12" ht="33.75">
      <c r="A946" s="76" t="s">
        <v>2478</v>
      </c>
      <c r="B946" s="76" t="s">
        <v>2479</v>
      </c>
      <c r="C946" s="76" t="s">
        <v>307</v>
      </c>
      <c r="D946" s="76" t="s">
        <v>2480</v>
      </c>
      <c r="E946" s="77">
        <v>126.59</v>
      </c>
      <c r="F946" s="76" t="s">
        <v>126</v>
      </c>
      <c r="G946" s="76"/>
      <c r="H946" s="76" t="s">
        <v>273</v>
      </c>
      <c r="I946" s="78">
        <v>45987</v>
      </c>
      <c r="J946" s="78">
        <v>45979</v>
      </c>
      <c r="K946" s="77">
        <v>-3</v>
      </c>
      <c r="L946" s="77">
        <v>-11</v>
      </c>
    </row>
    <row r="947" spans="1:12" ht="33.75">
      <c r="A947" s="76" t="s">
        <v>2481</v>
      </c>
      <c r="B947" s="76" t="s">
        <v>2482</v>
      </c>
      <c r="C947" s="76" t="s">
        <v>307</v>
      </c>
      <c r="D947" s="76" t="s">
        <v>2483</v>
      </c>
      <c r="E947" s="79"/>
      <c r="F947" s="76" t="s">
        <v>157</v>
      </c>
      <c r="G947" s="76"/>
      <c r="H947" s="76" t="s">
        <v>273</v>
      </c>
      <c r="I947" s="78">
        <v>45987</v>
      </c>
      <c r="J947" s="78">
        <v>45979</v>
      </c>
      <c r="K947" s="77">
        <v>-3</v>
      </c>
      <c r="L947" s="77">
        <v>-11</v>
      </c>
    </row>
    <row r="948" spans="1:12" ht="33.75">
      <c r="A948" s="76" t="s">
        <v>2481</v>
      </c>
      <c r="B948" s="76" t="s">
        <v>2484</v>
      </c>
      <c r="C948" s="76" t="s">
        <v>307</v>
      </c>
      <c r="D948" s="76" t="s">
        <v>2485</v>
      </c>
      <c r="E948" s="77">
        <v>381.29</v>
      </c>
      <c r="F948" s="76" t="s">
        <v>126</v>
      </c>
      <c r="G948" s="76"/>
      <c r="H948" s="76" t="s">
        <v>273</v>
      </c>
      <c r="I948" s="78">
        <v>45987</v>
      </c>
      <c r="J948" s="78">
        <v>45979</v>
      </c>
      <c r="K948" s="77">
        <v>-3</v>
      </c>
      <c r="L948" s="77">
        <v>-11</v>
      </c>
    </row>
    <row r="949" spans="1:12" ht="45">
      <c r="A949" s="76" t="s">
        <v>2481</v>
      </c>
      <c r="B949" s="76" t="s">
        <v>2486</v>
      </c>
      <c r="C949" s="76" t="s">
        <v>307</v>
      </c>
      <c r="D949" s="76" t="s">
        <v>2487</v>
      </c>
      <c r="E949" s="77">
        <v>372.16</v>
      </c>
      <c r="F949" s="76" t="s">
        <v>184</v>
      </c>
      <c r="G949" s="76"/>
      <c r="H949" s="76" t="s">
        <v>273</v>
      </c>
      <c r="I949" s="78">
        <v>45987</v>
      </c>
      <c r="J949" s="78">
        <v>45979</v>
      </c>
      <c r="K949" s="77">
        <v>-3</v>
      </c>
      <c r="L949" s="77">
        <v>-11</v>
      </c>
    </row>
    <row r="950" spans="1:12" ht="45">
      <c r="A950" s="76" t="s">
        <v>2481</v>
      </c>
      <c r="B950" s="76" t="s">
        <v>2488</v>
      </c>
      <c r="C950" s="76" t="s">
        <v>307</v>
      </c>
      <c r="D950" s="76" t="s">
        <v>2489</v>
      </c>
      <c r="E950" s="79"/>
      <c r="F950" s="76" t="s">
        <v>157</v>
      </c>
      <c r="G950" s="76"/>
      <c r="H950" s="76" t="s">
        <v>273</v>
      </c>
      <c r="I950" s="78">
        <v>45987</v>
      </c>
      <c r="J950" s="78">
        <v>45979</v>
      </c>
      <c r="K950" s="77">
        <v>-3</v>
      </c>
      <c r="L950" s="77">
        <v>-11</v>
      </c>
    </row>
    <row r="951" spans="1:12" ht="45">
      <c r="A951" s="76" t="s">
        <v>2481</v>
      </c>
      <c r="B951" s="76" t="s">
        <v>2490</v>
      </c>
      <c r="C951" s="76" t="s">
        <v>307</v>
      </c>
      <c r="D951" s="76" t="s">
        <v>2491</v>
      </c>
      <c r="E951" s="77">
        <v>246.89</v>
      </c>
      <c r="F951" s="76" t="s">
        <v>184</v>
      </c>
      <c r="G951" s="76"/>
      <c r="H951" s="76" t="s">
        <v>273</v>
      </c>
      <c r="I951" s="78">
        <v>45987</v>
      </c>
      <c r="J951" s="78">
        <v>45979</v>
      </c>
      <c r="K951" s="77">
        <v>-3</v>
      </c>
      <c r="L951" s="77">
        <v>-11</v>
      </c>
    </row>
    <row r="952" spans="1:12" ht="33.75">
      <c r="A952" s="76" t="s">
        <v>2481</v>
      </c>
      <c r="B952" s="76" t="s">
        <v>2492</v>
      </c>
      <c r="C952" s="76" t="s">
        <v>307</v>
      </c>
      <c r="D952" s="76" t="s">
        <v>2493</v>
      </c>
      <c r="E952" s="79"/>
      <c r="F952" s="76" t="s">
        <v>157</v>
      </c>
      <c r="G952" s="76"/>
      <c r="H952" s="76" t="s">
        <v>273</v>
      </c>
      <c r="I952" s="78">
        <v>45987</v>
      </c>
      <c r="J952" s="78">
        <v>45979</v>
      </c>
      <c r="K952" s="77">
        <v>-3</v>
      </c>
      <c r="L952" s="77">
        <v>-11</v>
      </c>
    </row>
    <row r="953" spans="1:12" ht="22.5">
      <c r="A953" s="76" t="s">
        <v>2461</v>
      </c>
      <c r="B953" s="76" t="s">
        <v>2498</v>
      </c>
      <c r="C953" s="76" t="s">
        <v>307</v>
      </c>
      <c r="D953" s="76" t="s">
        <v>2499</v>
      </c>
      <c r="E953" s="77">
        <v>101.41</v>
      </c>
      <c r="F953" s="76" t="s">
        <v>1099</v>
      </c>
      <c r="G953" s="76"/>
      <c r="H953" s="76" t="s">
        <v>273</v>
      </c>
      <c r="I953" s="78">
        <v>45989</v>
      </c>
      <c r="J953" s="78">
        <v>45979</v>
      </c>
      <c r="K953" s="77">
        <v>-1</v>
      </c>
      <c r="L953" s="77">
        <v>-11</v>
      </c>
    </row>
    <row r="954" spans="1:12" ht="22.5">
      <c r="A954" s="76" t="s">
        <v>2461</v>
      </c>
      <c r="B954" s="76" t="s">
        <v>593</v>
      </c>
      <c r="C954" s="76" t="s">
        <v>307</v>
      </c>
      <c r="D954" s="76" t="s">
        <v>2500</v>
      </c>
      <c r="E954" s="77">
        <v>116.78</v>
      </c>
      <c r="F954" s="76" t="s">
        <v>184</v>
      </c>
      <c r="G954" s="76"/>
      <c r="H954" s="76" t="s">
        <v>273</v>
      </c>
      <c r="I954" s="78">
        <v>45989</v>
      </c>
      <c r="J954" s="78">
        <v>45979</v>
      </c>
      <c r="K954" s="77">
        <v>-1</v>
      </c>
      <c r="L954" s="77">
        <v>-11</v>
      </c>
    </row>
    <row r="955" spans="1:12" ht="33.75">
      <c r="A955" s="76" t="s">
        <v>2461</v>
      </c>
      <c r="B955" s="76" t="s">
        <v>2501</v>
      </c>
      <c r="C955" s="76" t="s">
        <v>307</v>
      </c>
      <c r="D955" s="76" t="s">
        <v>2502</v>
      </c>
      <c r="E955" s="77">
        <v>127.27</v>
      </c>
      <c r="F955" s="76" t="s">
        <v>184</v>
      </c>
      <c r="G955" s="76"/>
      <c r="H955" s="76" t="s">
        <v>273</v>
      </c>
      <c r="I955" s="78">
        <v>45989</v>
      </c>
      <c r="J955" s="78">
        <v>45979</v>
      </c>
      <c r="K955" s="77">
        <v>-1</v>
      </c>
      <c r="L955" s="77">
        <v>-11</v>
      </c>
    </row>
    <row r="956" spans="1:12" ht="33.75">
      <c r="A956" s="76" t="s">
        <v>2461</v>
      </c>
      <c r="B956" s="76" t="s">
        <v>2494</v>
      </c>
      <c r="C956" s="76" t="s">
        <v>307</v>
      </c>
      <c r="D956" s="76" t="s">
        <v>2503</v>
      </c>
      <c r="E956" s="77">
        <v>30.46</v>
      </c>
      <c r="F956" s="76" t="s">
        <v>58</v>
      </c>
      <c r="G956" s="76"/>
      <c r="H956" s="76" t="s">
        <v>273</v>
      </c>
      <c r="I956" s="78">
        <v>45989</v>
      </c>
      <c r="J956" s="78">
        <v>45979</v>
      </c>
      <c r="K956" s="77">
        <v>-1</v>
      </c>
      <c r="L956" s="77">
        <v>-11</v>
      </c>
    </row>
    <row r="957" spans="1:12" ht="45">
      <c r="A957" s="76" t="s">
        <v>2504</v>
      </c>
      <c r="B957" s="76" t="s">
        <v>987</v>
      </c>
      <c r="C957" s="76" t="s">
        <v>307</v>
      </c>
      <c r="D957" s="76" t="s">
        <v>2505</v>
      </c>
      <c r="E957" s="79"/>
      <c r="F957" s="76"/>
      <c r="G957" s="76" t="s">
        <v>202</v>
      </c>
      <c r="H957" s="76" t="s">
        <v>273</v>
      </c>
      <c r="I957" s="78">
        <v>45987</v>
      </c>
      <c r="J957" s="78">
        <v>45979</v>
      </c>
      <c r="K957" s="77">
        <v>-3</v>
      </c>
      <c r="L957" s="77">
        <v>-11</v>
      </c>
    </row>
    <row r="958" spans="1:12" ht="33.75">
      <c r="A958" s="76" t="s">
        <v>2215</v>
      </c>
      <c r="B958" s="76" t="s">
        <v>2453</v>
      </c>
      <c r="C958" s="76" t="s">
        <v>307</v>
      </c>
      <c r="D958" s="76" t="s">
        <v>2506</v>
      </c>
      <c r="E958" s="77">
        <v>22.11</v>
      </c>
      <c r="F958" s="76" t="s">
        <v>58</v>
      </c>
      <c r="G958" s="76"/>
      <c r="H958" s="76" t="s">
        <v>273</v>
      </c>
      <c r="I958" s="78">
        <v>45989</v>
      </c>
      <c r="J958" s="78">
        <v>45979</v>
      </c>
      <c r="K958" s="77">
        <v>-1</v>
      </c>
      <c r="L958" s="77">
        <v>-11</v>
      </c>
    </row>
    <row r="959" spans="1:12" ht="33.75">
      <c r="A959" s="76" t="s">
        <v>2215</v>
      </c>
      <c r="B959" s="76" t="s">
        <v>1881</v>
      </c>
      <c r="C959" s="76" t="s">
        <v>307</v>
      </c>
      <c r="D959" s="76" t="s">
        <v>2507</v>
      </c>
      <c r="E959" s="77">
        <v>59.04</v>
      </c>
      <c r="F959" s="76" t="s">
        <v>194</v>
      </c>
      <c r="G959" s="76"/>
      <c r="H959" s="76" t="s">
        <v>273</v>
      </c>
      <c r="I959" s="78">
        <v>45989</v>
      </c>
      <c r="J959" s="78">
        <v>45979</v>
      </c>
      <c r="K959" s="77">
        <v>-1</v>
      </c>
      <c r="L959" s="77">
        <v>-11</v>
      </c>
    </row>
    <row r="960" spans="1:12" ht="22.5">
      <c r="A960" s="76" t="s">
        <v>2215</v>
      </c>
      <c r="B960" s="76" t="s">
        <v>1413</v>
      </c>
      <c r="C960" s="76" t="s">
        <v>307</v>
      </c>
      <c r="D960" s="76" t="s">
        <v>2508</v>
      </c>
      <c r="E960" s="77">
        <v>47.98</v>
      </c>
      <c r="F960" s="76" t="s">
        <v>57</v>
      </c>
      <c r="G960" s="76"/>
      <c r="H960" s="76" t="s">
        <v>273</v>
      </c>
      <c r="I960" s="78">
        <v>45989</v>
      </c>
      <c r="J960" s="78">
        <v>45979</v>
      </c>
      <c r="K960" s="77">
        <v>-1</v>
      </c>
      <c r="L960" s="77">
        <v>-11</v>
      </c>
    </row>
    <row r="961" spans="1:12" ht="33.75">
      <c r="A961" s="76" t="s">
        <v>2509</v>
      </c>
      <c r="B961" s="76" t="s">
        <v>2510</v>
      </c>
      <c r="C961" s="76" t="s">
        <v>307</v>
      </c>
      <c r="D961" s="76" t="s">
        <v>2511</v>
      </c>
      <c r="E961" s="79"/>
      <c r="F961" s="76" t="s">
        <v>157</v>
      </c>
      <c r="G961" s="76"/>
      <c r="H961" s="76" t="s">
        <v>273</v>
      </c>
      <c r="I961" s="78">
        <v>45987</v>
      </c>
      <c r="J961" s="78">
        <v>45979</v>
      </c>
      <c r="K961" s="77">
        <v>-3</v>
      </c>
      <c r="L961" s="77">
        <v>-11</v>
      </c>
    </row>
    <row r="962" spans="1:12" ht="56.25">
      <c r="A962" s="76" t="s">
        <v>2512</v>
      </c>
      <c r="B962" s="76" t="s">
        <v>2513</v>
      </c>
      <c r="C962" s="76" t="s">
        <v>307</v>
      </c>
      <c r="D962" s="76" t="s">
        <v>2514</v>
      </c>
      <c r="E962" s="79"/>
      <c r="F962" s="76" t="s">
        <v>157</v>
      </c>
      <c r="G962" s="76"/>
      <c r="H962" s="76" t="s">
        <v>273</v>
      </c>
      <c r="I962" s="78">
        <v>45987</v>
      </c>
      <c r="J962" s="78">
        <v>45979</v>
      </c>
      <c r="K962" s="77">
        <v>-3</v>
      </c>
      <c r="L962" s="77">
        <v>-11</v>
      </c>
    </row>
    <row r="963" spans="1:12" ht="22.5">
      <c r="A963" s="76" t="s">
        <v>2512</v>
      </c>
      <c r="B963" s="76" t="s">
        <v>2515</v>
      </c>
      <c r="C963" s="76" t="s">
        <v>2496</v>
      </c>
      <c r="D963" s="76" t="s">
        <v>2516</v>
      </c>
      <c r="E963" s="77">
        <v>27183.530499199998</v>
      </c>
      <c r="F963" s="76" t="s">
        <v>78</v>
      </c>
      <c r="G963" s="76"/>
      <c r="H963" s="76" t="s">
        <v>273</v>
      </c>
      <c r="I963" s="78">
        <v>45987</v>
      </c>
      <c r="J963" s="78">
        <v>45979</v>
      </c>
      <c r="K963" s="77">
        <v>-3</v>
      </c>
      <c r="L963" s="77">
        <v>-11</v>
      </c>
    </row>
    <row r="964" spans="1:12" ht="33.75">
      <c r="A964" s="76" t="s">
        <v>2517</v>
      </c>
      <c r="B964" s="76" t="s">
        <v>2518</v>
      </c>
      <c r="C964" s="76" t="s">
        <v>307</v>
      </c>
      <c r="D964" s="76" t="s">
        <v>2519</v>
      </c>
      <c r="E964" s="77">
        <v>139.74</v>
      </c>
      <c r="F964" s="76" t="s">
        <v>157</v>
      </c>
      <c r="G964" s="76"/>
      <c r="H964" s="76" t="s">
        <v>273</v>
      </c>
      <c r="I964" s="78">
        <v>45987</v>
      </c>
      <c r="J964" s="78">
        <v>45979</v>
      </c>
      <c r="K964" s="77">
        <v>-3</v>
      </c>
      <c r="L964" s="77">
        <v>-11</v>
      </c>
    </row>
    <row r="965" spans="1:12" ht="22.5">
      <c r="A965" s="76" t="s">
        <v>2520</v>
      </c>
      <c r="B965" s="76" t="s">
        <v>2521</v>
      </c>
      <c r="C965" s="76" t="s">
        <v>2522</v>
      </c>
      <c r="D965" s="76" t="s">
        <v>2523</v>
      </c>
      <c r="E965" s="77">
        <v>14.8</v>
      </c>
      <c r="F965" s="76" t="s">
        <v>126</v>
      </c>
      <c r="G965" s="76"/>
      <c r="H965" s="76" t="s">
        <v>273</v>
      </c>
      <c r="I965" s="78">
        <v>45986</v>
      </c>
      <c r="J965" s="78">
        <v>45979</v>
      </c>
      <c r="K965" s="77">
        <v>-4</v>
      </c>
      <c r="L965" s="77">
        <v>-11</v>
      </c>
    </row>
    <row r="966" spans="1:12" ht="33.75">
      <c r="A966" s="76" t="s">
        <v>2524</v>
      </c>
      <c r="B966" s="76" t="s">
        <v>2525</v>
      </c>
      <c r="C966" s="76" t="s">
        <v>307</v>
      </c>
      <c r="D966" s="76" t="s">
        <v>2526</v>
      </c>
      <c r="E966" s="79"/>
      <c r="F966" s="76" t="s">
        <v>157</v>
      </c>
      <c r="G966" s="76"/>
      <c r="H966" s="76" t="s">
        <v>273</v>
      </c>
      <c r="I966" s="78">
        <v>45987</v>
      </c>
      <c r="J966" s="78">
        <v>45979</v>
      </c>
      <c r="K966" s="77">
        <v>-3</v>
      </c>
      <c r="L966" s="77">
        <v>-11</v>
      </c>
    </row>
    <row r="967" spans="1:12" ht="33.75">
      <c r="A967" s="76" t="s">
        <v>2527</v>
      </c>
      <c r="B967" s="76" t="s">
        <v>2528</v>
      </c>
      <c r="C967" s="76" t="s">
        <v>307</v>
      </c>
      <c r="D967" s="76" t="s">
        <v>2529</v>
      </c>
      <c r="E967" s="79"/>
      <c r="F967" s="76" t="s">
        <v>157</v>
      </c>
      <c r="G967" s="76"/>
      <c r="H967" s="76" t="s">
        <v>273</v>
      </c>
      <c r="I967" s="78">
        <v>45987</v>
      </c>
      <c r="J967" s="78">
        <v>45979</v>
      </c>
      <c r="K967" s="77">
        <v>-3</v>
      </c>
      <c r="L967" s="77">
        <v>-11</v>
      </c>
    </row>
    <row r="968" spans="1:12" ht="22.5">
      <c r="A968" s="76" t="s">
        <v>2530</v>
      </c>
      <c r="B968" s="76" t="s">
        <v>2531</v>
      </c>
      <c r="C968" s="76" t="s">
        <v>2532</v>
      </c>
      <c r="D968" s="76" t="s">
        <v>2533</v>
      </c>
      <c r="E968" s="77">
        <v>318.75</v>
      </c>
      <c r="F968" s="76" t="s">
        <v>194</v>
      </c>
      <c r="G968" s="76"/>
      <c r="H968" s="76" t="s">
        <v>273</v>
      </c>
      <c r="I968" s="78">
        <v>45986</v>
      </c>
      <c r="J968" s="78">
        <v>45979</v>
      </c>
      <c r="K968" s="77">
        <v>-4</v>
      </c>
      <c r="L968" s="77">
        <v>-11</v>
      </c>
    </row>
    <row r="969" spans="1:12" ht="22.5">
      <c r="A969" s="76" t="s">
        <v>2534</v>
      </c>
      <c r="B969" s="76" t="s">
        <v>2535</v>
      </c>
      <c r="C969" s="76" t="s">
        <v>307</v>
      </c>
      <c r="D969" s="76" t="s">
        <v>2536</v>
      </c>
      <c r="E969" s="77">
        <v>123.44</v>
      </c>
      <c r="F969" s="76" t="s">
        <v>66</v>
      </c>
      <c r="G969" s="76"/>
      <c r="H969" s="76" t="s">
        <v>273</v>
      </c>
      <c r="I969" s="78">
        <v>45987</v>
      </c>
      <c r="J969" s="78">
        <v>45979</v>
      </c>
      <c r="K969" s="77">
        <v>-3</v>
      </c>
      <c r="L969" s="77">
        <v>-11</v>
      </c>
    </row>
    <row r="970" spans="1:12" ht="33.75">
      <c r="A970" s="76" t="s">
        <v>2538</v>
      </c>
      <c r="B970" s="76" t="s">
        <v>2539</v>
      </c>
      <c r="C970" s="76" t="s">
        <v>2495</v>
      </c>
      <c r="D970" s="76" t="s">
        <v>2540</v>
      </c>
      <c r="E970" s="77">
        <v>897.75</v>
      </c>
      <c r="F970" s="76" t="s">
        <v>168</v>
      </c>
      <c r="G970" s="76"/>
      <c r="H970" s="76" t="s">
        <v>272</v>
      </c>
      <c r="I970" s="78">
        <v>45979</v>
      </c>
      <c r="J970" s="78">
        <v>45979</v>
      </c>
      <c r="K970" s="77">
        <v>-11</v>
      </c>
      <c r="L970" s="77">
        <v>-11</v>
      </c>
    </row>
    <row r="971" spans="1:12" ht="33.75">
      <c r="A971" s="76" t="s">
        <v>2541</v>
      </c>
      <c r="B971" s="76" t="s">
        <v>2542</v>
      </c>
      <c r="C971" s="76" t="s">
        <v>307</v>
      </c>
      <c r="D971" s="76" t="s">
        <v>2543</v>
      </c>
      <c r="E971" s="79"/>
      <c r="F971" s="76" t="s">
        <v>167</v>
      </c>
      <c r="G971" s="76"/>
      <c r="H971" s="76" t="s">
        <v>288</v>
      </c>
      <c r="I971" s="78">
        <v>45979</v>
      </c>
      <c r="J971" s="78">
        <v>45979</v>
      </c>
      <c r="K971" s="77">
        <v>-11</v>
      </c>
      <c r="L971" s="77">
        <v>-11</v>
      </c>
    </row>
    <row r="972" spans="1:12" ht="33.75">
      <c r="A972" s="76" t="s">
        <v>2544</v>
      </c>
      <c r="B972" s="76" t="s">
        <v>2545</v>
      </c>
      <c r="C972" s="76" t="s">
        <v>307</v>
      </c>
      <c r="D972" s="76" t="s">
        <v>2546</v>
      </c>
      <c r="E972" s="79"/>
      <c r="F972" s="76" t="s">
        <v>167</v>
      </c>
      <c r="G972" s="76"/>
      <c r="H972" s="76" t="s">
        <v>288</v>
      </c>
      <c r="I972" s="78">
        <v>45979</v>
      </c>
      <c r="J972" s="78">
        <v>45979</v>
      </c>
      <c r="K972" s="77">
        <v>-11</v>
      </c>
      <c r="L972" s="77">
        <v>-11</v>
      </c>
    </row>
    <row r="973" spans="1:12" ht="56.25">
      <c r="A973" s="76" t="s">
        <v>2547</v>
      </c>
      <c r="B973" s="76" t="s">
        <v>2497</v>
      </c>
      <c r="C973" s="76" t="s">
        <v>2548</v>
      </c>
      <c r="D973" s="76" t="s">
        <v>2549</v>
      </c>
      <c r="E973" s="77">
        <v>145.58000000000001</v>
      </c>
      <c r="F973" s="76" t="s">
        <v>1400</v>
      </c>
      <c r="G973" s="76"/>
      <c r="H973" s="76" t="s">
        <v>282</v>
      </c>
      <c r="I973" s="78">
        <v>45979</v>
      </c>
      <c r="J973" s="78">
        <v>45979</v>
      </c>
      <c r="K973" s="77">
        <v>-11</v>
      </c>
      <c r="L973" s="77">
        <v>-11</v>
      </c>
    </row>
    <row r="974" spans="1:12" ht="33.75">
      <c r="A974" s="76" t="s">
        <v>2550</v>
      </c>
      <c r="B974" s="76" t="s">
        <v>2551</v>
      </c>
      <c r="C974" s="76" t="s">
        <v>307</v>
      </c>
      <c r="D974" s="76" t="s">
        <v>2552</v>
      </c>
      <c r="E974" s="79"/>
      <c r="F974" s="76" t="s">
        <v>167</v>
      </c>
      <c r="G974" s="76"/>
      <c r="H974" s="76" t="s">
        <v>288</v>
      </c>
      <c r="I974" s="78">
        <v>45979</v>
      </c>
      <c r="J974" s="78">
        <v>45979</v>
      </c>
      <c r="K974" s="77">
        <v>-11</v>
      </c>
      <c r="L974" s="77">
        <v>-11</v>
      </c>
    </row>
    <row r="975" spans="1:12" ht="45">
      <c r="A975" s="76" t="s">
        <v>2553</v>
      </c>
      <c r="B975" s="76" t="s">
        <v>2554</v>
      </c>
      <c r="C975" s="76" t="s">
        <v>2555</v>
      </c>
      <c r="D975" s="76" t="s">
        <v>2556</v>
      </c>
      <c r="E975" s="79"/>
      <c r="F975" s="76" t="s">
        <v>167</v>
      </c>
      <c r="G975" s="76"/>
      <c r="H975" s="76" t="s">
        <v>272</v>
      </c>
      <c r="I975" s="78">
        <v>45979</v>
      </c>
      <c r="J975" s="78">
        <v>45979</v>
      </c>
      <c r="K975" s="77">
        <v>-11</v>
      </c>
      <c r="L975" s="77">
        <v>-11</v>
      </c>
    </row>
    <row r="976" spans="1:12" ht="22.5">
      <c r="A976" s="76" t="s">
        <v>2557</v>
      </c>
      <c r="B976" s="76" t="s">
        <v>2558</v>
      </c>
      <c r="C976" s="76" t="s">
        <v>2532</v>
      </c>
      <c r="D976" s="76" t="s">
        <v>2559</v>
      </c>
      <c r="E976" s="77">
        <v>318.75</v>
      </c>
      <c r="F976" s="76" t="s">
        <v>194</v>
      </c>
      <c r="G976" s="76"/>
      <c r="H976" s="76" t="s">
        <v>273</v>
      </c>
      <c r="I976" s="78">
        <v>45986</v>
      </c>
      <c r="J976" s="78">
        <v>45979</v>
      </c>
      <c r="K976" s="77">
        <v>-4</v>
      </c>
      <c r="L976" s="77">
        <v>-11</v>
      </c>
    </row>
    <row r="977" spans="1:12" ht="22.5">
      <c r="A977" s="76" t="s">
        <v>2557</v>
      </c>
      <c r="B977" s="76" t="s">
        <v>2558</v>
      </c>
      <c r="C977" s="76" t="s">
        <v>2560</v>
      </c>
      <c r="D977" s="76" t="s">
        <v>2561</v>
      </c>
      <c r="E977" s="77">
        <v>8720.2999999999993</v>
      </c>
      <c r="F977" s="76" t="s">
        <v>194</v>
      </c>
      <c r="G977" s="76"/>
      <c r="H977" s="76" t="s">
        <v>273</v>
      </c>
      <c r="I977" s="78">
        <v>45986</v>
      </c>
      <c r="J977" s="78">
        <v>45979</v>
      </c>
      <c r="K977" s="77">
        <v>-4</v>
      </c>
      <c r="L977" s="77">
        <v>-11</v>
      </c>
    </row>
    <row r="978" spans="1:12" ht="22.5">
      <c r="A978" s="76" t="s">
        <v>2562</v>
      </c>
      <c r="B978" s="76" t="s">
        <v>2563</v>
      </c>
      <c r="C978" s="76" t="s">
        <v>2560</v>
      </c>
      <c r="D978" s="76" t="s">
        <v>2564</v>
      </c>
      <c r="E978" s="77">
        <v>8720.2999999999993</v>
      </c>
      <c r="F978" s="76" t="s">
        <v>194</v>
      </c>
      <c r="G978" s="76"/>
      <c r="H978" s="76" t="s">
        <v>273</v>
      </c>
      <c r="I978" s="78">
        <v>45986</v>
      </c>
      <c r="J978" s="78">
        <v>45979</v>
      </c>
      <c r="K978" s="77">
        <v>-4</v>
      </c>
      <c r="L978" s="77">
        <v>-11</v>
      </c>
    </row>
    <row r="979" spans="1:12" ht="33.75">
      <c r="A979" s="76" t="s">
        <v>2565</v>
      </c>
      <c r="B979" s="76" t="s">
        <v>2566</v>
      </c>
      <c r="C979" s="76" t="s">
        <v>307</v>
      </c>
      <c r="D979" s="76" t="s">
        <v>2567</v>
      </c>
      <c r="E979" s="77">
        <v>58.97</v>
      </c>
      <c r="F979" s="76" t="s">
        <v>157</v>
      </c>
      <c r="G979" s="76"/>
      <c r="H979" s="76" t="s">
        <v>273</v>
      </c>
      <c r="I979" s="78">
        <v>45987</v>
      </c>
      <c r="J979" s="78">
        <v>45979</v>
      </c>
      <c r="K979" s="77">
        <v>-3</v>
      </c>
      <c r="L979" s="77">
        <v>-11</v>
      </c>
    </row>
    <row r="980" spans="1:12" ht="56.25">
      <c r="A980" s="76" t="s">
        <v>2568</v>
      </c>
      <c r="B980" s="76" t="s">
        <v>2569</v>
      </c>
      <c r="C980" s="76" t="s">
        <v>2570</v>
      </c>
      <c r="D980" s="76" t="s">
        <v>2571</v>
      </c>
      <c r="E980" s="77">
        <v>298.64999999999998</v>
      </c>
      <c r="F980" s="76" t="s">
        <v>168</v>
      </c>
      <c r="G980" s="76"/>
      <c r="H980" s="76" t="s">
        <v>282</v>
      </c>
      <c r="I980" s="78">
        <v>45979</v>
      </c>
      <c r="J980" s="78">
        <v>45979</v>
      </c>
      <c r="K980" s="77">
        <v>-11</v>
      </c>
      <c r="L980" s="77">
        <v>-11</v>
      </c>
    </row>
    <row r="981" spans="1:12" ht="33.75">
      <c r="A981" s="76" t="s">
        <v>2572</v>
      </c>
      <c r="B981" s="76" t="s">
        <v>2573</v>
      </c>
      <c r="C981" s="76" t="s">
        <v>2574</v>
      </c>
      <c r="D981" s="76" t="s">
        <v>2575</v>
      </c>
      <c r="E981" s="77">
        <v>101.42</v>
      </c>
      <c r="F981" s="76" t="s">
        <v>735</v>
      </c>
      <c r="G981" s="76"/>
      <c r="H981" s="76" t="s">
        <v>272</v>
      </c>
      <c r="I981" s="78">
        <v>45979</v>
      </c>
      <c r="J981" s="78">
        <v>45979</v>
      </c>
      <c r="K981" s="77">
        <v>-11</v>
      </c>
      <c r="L981" s="77">
        <v>-11</v>
      </c>
    </row>
    <row r="982" spans="1:12" ht="33.75">
      <c r="A982" s="76" t="s">
        <v>2576</v>
      </c>
      <c r="B982" s="76" t="s">
        <v>2577</v>
      </c>
      <c r="C982" s="76" t="s">
        <v>307</v>
      </c>
      <c r="D982" s="76" t="s">
        <v>2578</v>
      </c>
      <c r="E982" s="77">
        <v>61</v>
      </c>
      <c r="F982" s="76" t="s">
        <v>157</v>
      </c>
      <c r="G982" s="76"/>
      <c r="H982" s="76" t="s">
        <v>273</v>
      </c>
      <c r="I982" s="78">
        <v>45987</v>
      </c>
      <c r="J982" s="78">
        <v>45979</v>
      </c>
      <c r="K982" s="77">
        <v>-3</v>
      </c>
      <c r="L982" s="77">
        <v>-11</v>
      </c>
    </row>
    <row r="983" spans="1:12" ht="22.5">
      <c r="A983" s="76" t="s">
        <v>2579</v>
      </c>
      <c r="B983" s="76" t="s">
        <v>2580</v>
      </c>
      <c r="C983" s="76" t="s">
        <v>307</v>
      </c>
      <c r="D983" s="76" t="s">
        <v>2581</v>
      </c>
      <c r="E983" s="77">
        <v>26.48</v>
      </c>
      <c r="F983" s="76" t="s">
        <v>57</v>
      </c>
      <c r="G983" s="76"/>
      <c r="H983" s="76" t="s">
        <v>272</v>
      </c>
      <c r="I983" s="78">
        <v>45983</v>
      </c>
      <c r="J983" s="78">
        <v>45979</v>
      </c>
      <c r="K983" s="77">
        <v>-7</v>
      </c>
      <c r="L983" s="77">
        <v>-11</v>
      </c>
    </row>
    <row r="984" spans="1:12" ht="33.75">
      <c r="A984" s="76" t="s">
        <v>2582</v>
      </c>
      <c r="B984" s="76" t="s">
        <v>1181</v>
      </c>
      <c r="C984" s="76" t="s">
        <v>2583</v>
      </c>
      <c r="D984" s="76" t="s">
        <v>2584</v>
      </c>
      <c r="E984" s="77">
        <v>114.17</v>
      </c>
      <c r="F984" s="76" t="s">
        <v>194</v>
      </c>
      <c r="G984" s="76"/>
      <c r="H984" s="76" t="s">
        <v>273</v>
      </c>
      <c r="I984" s="78">
        <v>45988</v>
      </c>
      <c r="J984" s="78">
        <v>45979</v>
      </c>
      <c r="K984" s="77">
        <v>-2</v>
      </c>
      <c r="L984" s="77">
        <v>-11</v>
      </c>
    </row>
    <row r="985" spans="1:12" ht="33.75">
      <c r="A985" s="76" t="s">
        <v>2582</v>
      </c>
      <c r="B985" s="76" t="s">
        <v>1181</v>
      </c>
      <c r="C985" s="76" t="s">
        <v>2585</v>
      </c>
      <c r="D985" s="76" t="s">
        <v>2586</v>
      </c>
      <c r="E985" s="77">
        <v>312.13</v>
      </c>
      <c r="F985" s="76" t="s">
        <v>66</v>
      </c>
      <c r="G985" s="76"/>
      <c r="H985" s="76" t="s">
        <v>273</v>
      </c>
      <c r="I985" s="78">
        <v>45988</v>
      </c>
      <c r="J985" s="78">
        <v>45979</v>
      </c>
      <c r="K985" s="77">
        <v>-2</v>
      </c>
      <c r="L985" s="77">
        <v>-11</v>
      </c>
    </row>
    <row r="986" spans="1:12" ht="22.5">
      <c r="A986" s="76" t="s">
        <v>2587</v>
      </c>
      <c r="B986" s="76" t="s">
        <v>2588</v>
      </c>
      <c r="C986" s="76" t="s">
        <v>2589</v>
      </c>
      <c r="D986" s="76" t="s">
        <v>2590</v>
      </c>
      <c r="E986" s="77">
        <v>167.5</v>
      </c>
      <c r="F986" s="76" t="s">
        <v>126</v>
      </c>
      <c r="G986" s="76"/>
      <c r="H986" s="76" t="s">
        <v>273</v>
      </c>
      <c r="I986" s="78">
        <v>45979</v>
      </c>
      <c r="J986" s="78">
        <v>45979</v>
      </c>
      <c r="K986" s="77">
        <v>-11</v>
      </c>
      <c r="L986" s="77">
        <v>-11</v>
      </c>
    </row>
    <row r="987" spans="1:12" ht="22.5">
      <c r="A987" s="76" t="s">
        <v>2591</v>
      </c>
      <c r="B987" s="76" t="s">
        <v>2592</v>
      </c>
      <c r="C987" s="76" t="s">
        <v>2593</v>
      </c>
      <c r="D987" s="76" t="s">
        <v>2594</v>
      </c>
      <c r="E987" s="77">
        <v>779.88</v>
      </c>
      <c r="F987" s="76" t="s">
        <v>80</v>
      </c>
      <c r="G987" s="76"/>
      <c r="H987" s="76" t="s">
        <v>273</v>
      </c>
      <c r="I987" s="78">
        <v>45986</v>
      </c>
      <c r="J987" s="78">
        <v>45979</v>
      </c>
      <c r="K987" s="77">
        <v>-4</v>
      </c>
      <c r="L987" s="77">
        <v>-11</v>
      </c>
    </row>
    <row r="988" spans="1:12" ht="22.5">
      <c r="A988" s="76" t="s">
        <v>2591</v>
      </c>
      <c r="B988" s="76" t="s">
        <v>2595</v>
      </c>
      <c r="C988" s="76" t="s">
        <v>2593</v>
      </c>
      <c r="D988" s="76" t="s">
        <v>2596</v>
      </c>
      <c r="E988" s="77">
        <v>779.88</v>
      </c>
      <c r="F988" s="76" t="s">
        <v>80</v>
      </c>
      <c r="G988" s="76"/>
      <c r="H988" s="76" t="s">
        <v>273</v>
      </c>
      <c r="I988" s="78">
        <v>45986</v>
      </c>
      <c r="J988" s="78">
        <v>45979</v>
      </c>
      <c r="K988" s="77">
        <v>-4</v>
      </c>
      <c r="L988" s="77">
        <v>-11</v>
      </c>
    </row>
    <row r="989" spans="1:12" ht="33.75">
      <c r="A989" s="76" t="s">
        <v>2597</v>
      </c>
      <c r="B989" s="76" t="s">
        <v>2598</v>
      </c>
      <c r="C989" s="76" t="s">
        <v>307</v>
      </c>
      <c r="D989" s="76" t="s">
        <v>2599</v>
      </c>
      <c r="E989" s="79"/>
      <c r="F989" s="76" t="s">
        <v>157</v>
      </c>
      <c r="G989" s="76"/>
      <c r="H989" s="76" t="s">
        <v>273</v>
      </c>
      <c r="I989" s="78">
        <v>45993</v>
      </c>
      <c r="J989" s="78">
        <v>45979</v>
      </c>
      <c r="K989" s="77">
        <v>3</v>
      </c>
      <c r="L989" s="77">
        <v>-11</v>
      </c>
    </row>
    <row r="990" spans="1:12" ht="33.75">
      <c r="A990" s="76" t="s">
        <v>2597</v>
      </c>
      <c r="B990" s="76" t="s">
        <v>2600</v>
      </c>
      <c r="C990" s="76" t="s">
        <v>307</v>
      </c>
      <c r="D990" s="76" t="s">
        <v>2601</v>
      </c>
      <c r="E990" s="77">
        <v>68.430000000000007</v>
      </c>
      <c r="F990" s="76" t="s">
        <v>157</v>
      </c>
      <c r="G990" s="76"/>
      <c r="H990" s="76" t="s">
        <v>273</v>
      </c>
      <c r="I990" s="78">
        <v>45993</v>
      </c>
      <c r="J990" s="78">
        <v>45979</v>
      </c>
      <c r="K990" s="77">
        <v>3</v>
      </c>
      <c r="L990" s="77">
        <v>-11</v>
      </c>
    </row>
    <row r="991" spans="1:12" ht="33.75">
      <c r="A991" s="76" t="s">
        <v>2597</v>
      </c>
      <c r="B991" s="76" t="s">
        <v>2602</v>
      </c>
      <c r="C991" s="76" t="s">
        <v>307</v>
      </c>
      <c r="D991" s="76" t="s">
        <v>2603</v>
      </c>
      <c r="E991" s="79"/>
      <c r="F991" s="76" t="s">
        <v>157</v>
      </c>
      <c r="G991" s="76"/>
      <c r="H991" s="76" t="s">
        <v>273</v>
      </c>
      <c r="I991" s="78">
        <v>45993</v>
      </c>
      <c r="J991" s="78">
        <v>45979</v>
      </c>
      <c r="K991" s="77">
        <v>3</v>
      </c>
      <c r="L991" s="77">
        <v>-11</v>
      </c>
    </row>
    <row r="992" spans="1:12" ht="33.75">
      <c r="A992" s="76" t="s">
        <v>2597</v>
      </c>
      <c r="B992" s="76" t="s">
        <v>2604</v>
      </c>
      <c r="C992" s="76" t="s">
        <v>307</v>
      </c>
      <c r="D992" s="76" t="s">
        <v>2605</v>
      </c>
      <c r="E992" s="77">
        <v>143.63999999999999</v>
      </c>
      <c r="F992" s="76" t="s">
        <v>85</v>
      </c>
      <c r="G992" s="76"/>
      <c r="H992" s="76" t="s">
        <v>273</v>
      </c>
      <c r="I992" s="78">
        <v>45993</v>
      </c>
      <c r="J992" s="78">
        <v>45979</v>
      </c>
      <c r="K992" s="77">
        <v>3</v>
      </c>
      <c r="L992" s="77">
        <v>-11</v>
      </c>
    </row>
    <row r="993" spans="1:12" ht="33.75">
      <c r="A993" s="76" t="s">
        <v>2597</v>
      </c>
      <c r="B993" s="76" t="s">
        <v>2606</v>
      </c>
      <c r="C993" s="76" t="s">
        <v>307</v>
      </c>
      <c r="D993" s="76" t="s">
        <v>2607</v>
      </c>
      <c r="E993" s="79"/>
      <c r="F993" s="76" t="s">
        <v>157</v>
      </c>
      <c r="G993" s="76"/>
      <c r="H993" s="76" t="s">
        <v>273</v>
      </c>
      <c r="I993" s="78">
        <v>45993</v>
      </c>
      <c r="J993" s="78">
        <v>45979</v>
      </c>
      <c r="K993" s="77">
        <v>3</v>
      </c>
      <c r="L993" s="77">
        <v>-11</v>
      </c>
    </row>
    <row r="994" spans="1:12" ht="33.75">
      <c r="A994" s="76" t="s">
        <v>2597</v>
      </c>
      <c r="B994" s="76" t="s">
        <v>2608</v>
      </c>
      <c r="C994" s="76" t="s">
        <v>307</v>
      </c>
      <c r="D994" s="76" t="s">
        <v>2609</v>
      </c>
      <c r="E994" s="79"/>
      <c r="F994" s="76" t="s">
        <v>157</v>
      </c>
      <c r="G994" s="76"/>
      <c r="H994" s="76" t="s">
        <v>273</v>
      </c>
      <c r="I994" s="78">
        <v>45993</v>
      </c>
      <c r="J994" s="78">
        <v>45979</v>
      </c>
      <c r="K994" s="77">
        <v>3</v>
      </c>
      <c r="L994" s="77">
        <v>-11</v>
      </c>
    </row>
    <row r="995" spans="1:12" ht="33.75">
      <c r="A995" s="76" t="s">
        <v>2597</v>
      </c>
      <c r="B995" s="76" t="s">
        <v>2610</v>
      </c>
      <c r="C995" s="76" t="s">
        <v>307</v>
      </c>
      <c r="D995" s="76" t="s">
        <v>2611</v>
      </c>
      <c r="E995" s="79"/>
      <c r="F995" s="76" t="s">
        <v>157</v>
      </c>
      <c r="G995" s="76"/>
      <c r="H995" s="76" t="s">
        <v>273</v>
      </c>
      <c r="I995" s="78">
        <v>45993</v>
      </c>
      <c r="J995" s="78">
        <v>45979</v>
      </c>
      <c r="K995" s="77">
        <v>3</v>
      </c>
      <c r="L995" s="77">
        <v>-11</v>
      </c>
    </row>
    <row r="996" spans="1:12" ht="33.75">
      <c r="A996" s="76" t="s">
        <v>2597</v>
      </c>
      <c r="B996" s="76" t="s">
        <v>2612</v>
      </c>
      <c r="C996" s="76" t="s">
        <v>307</v>
      </c>
      <c r="D996" s="76" t="s">
        <v>2613</v>
      </c>
      <c r="E996" s="79"/>
      <c r="F996" s="76" t="s">
        <v>157</v>
      </c>
      <c r="G996" s="76"/>
      <c r="H996" s="76" t="s">
        <v>273</v>
      </c>
      <c r="I996" s="78">
        <v>45993</v>
      </c>
      <c r="J996" s="78">
        <v>45979</v>
      </c>
      <c r="K996" s="77">
        <v>3</v>
      </c>
      <c r="L996" s="77">
        <v>-11</v>
      </c>
    </row>
    <row r="997" spans="1:12" ht="33.75">
      <c r="A997" s="76" t="s">
        <v>2597</v>
      </c>
      <c r="B997" s="76" t="s">
        <v>2614</v>
      </c>
      <c r="C997" s="76" t="s">
        <v>307</v>
      </c>
      <c r="D997" s="76" t="s">
        <v>2615</v>
      </c>
      <c r="E997" s="79"/>
      <c r="F997" s="76" t="s">
        <v>157</v>
      </c>
      <c r="G997" s="76"/>
      <c r="H997" s="76" t="s">
        <v>273</v>
      </c>
      <c r="I997" s="78">
        <v>45993</v>
      </c>
      <c r="J997" s="78">
        <v>45979</v>
      </c>
      <c r="K997" s="77">
        <v>3</v>
      </c>
      <c r="L997" s="77">
        <v>-11</v>
      </c>
    </row>
    <row r="998" spans="1:12" ht="33.75">
      <c r="A998" s="76" t="s">
        <v>2597</v>
      </c>
      <c r="B998" s="76" t="s">
        <v>2616</v>
      </c>
      <c r="C998" s="76" t="s">
        <v>307</v>
      </c>
      <c r="D998" s="76" t="s">
        <v>2617</v>
      </c>
      <c r="E998" s="79"/>
      <c r="F998" s="76" t="s">
        <v>157</v>
      </c>
      <c r="G998" s="76"/>
      <c r="H998" s="76" t="s">
        <v>273</v>
      </c>
      <c r="I998" s="78">
        <v>45993</v>
      </c>
      <c r="J998" s="78">
        <v>45979</v>
      </c>
      <c r="K998" s="77">
        <v>3</v>
      </c>
      <c r="L998" s="77">
        <v>-11</v>
      </c>
    </row>
    <row r="999" spans="1:12" ht="33.75">
      <c r="A999" s="76" t="s">
        <v>2597</v>
      </c>
      <c r="B999" s="76" t="s">
        <v>2618</v>
      </c>
      <c r="C999" s="76" t="s">
        <v>307</v>
      </c>
      <c r="D999" s="76" t="s">
        <v>2619</v>
      </c>
      <c r="E999" s="79"/>
      <c r="F999" s="76" t="s">
        <v>157</v>
      </c>
      <c r="G999" s="76"/>
      <c r="H999" s="76" t="s">
        <v>273</v>
      </c>
      <c r="I999" s="78">
        <v>45993</v>
      </c>
      <c r="J999" s="78">
        <v>45979</v>
      </c>
      <c r="K999" s="77">
        <v>3</v>
      </c>
      <c r="L999" s="77">
        <v>-11</v>
      </c>
    </row>
    <row r="1000" spans="1:12" ht="45">
      <c r="A1000" s="76" t="s">
        <v>2597</v>
      </c>
      <c r="B1000" s="76" t="s">
        <v>2620</v>
      </c>
      <c r="C1000" s="76" t="s">
        <v>307</v>
      </c>
      <c r="D1000" s="76" t="s">
        <v>2621</v>
      </c>
      <c r="E1000" s="77">
        <v>148.05000000000001</v>
      </c>
      <c r="F1000" s="76"/>
      <c r="G1000" s="76" t="s">
        <v>204</v>
      </c>
      <c r="H1000" s="76" t="s">
        <v>273</v>
      </c>
      <c r="I1000" s="78">
        <v>45993</v>
      </c>
      <c r="J1000" s="78">
        <v>45979</v>
      </c>
      <c r="K1000" s="77">
        <v>3</v>
      </c>
      <c r="L1000" s="77">
        <v>-11</v>
      </c>
    </row>
    <row r="1001" spans="1:12" ht="33.75">
      <c r="A1001" s="76" t="s">
        <v>2597</v>
      </c>
      <c r="B1001" s="76" t="s">
        <v>2622</v>
      </c>
      <c r="C1001" s="76" t="s">
        <v>307</v>
      </c>
      <c r="D1001" s="76" t="s">
        <v>2623</v>
      </c>
      <c r="E1001" s="79"/>
      <c r="F1001" s="76" t="s">
        <v>157</v>
      </c>
      <c r="G1001" s="76"/>
      <c r="H1001" s="76" t="s">
        <v>273</v>
      </c>
      <c r="I1001" s="78">
        <v>45993</v>
      </c>
      <c r="J1001" s="78">
        <v>45979</v>
      </c>
      <c r="K1001" s="77">
        <v>3</v>
      </c>
      <c r="L1001" s="77">
        <v>-11</v>
      </c>
    </row>
    <row r="1002" spans="1:12" ht="33.75">
      <c r="A1002" s="76" t="s">
        <v>2597</v>
      </c>
      <c r="B1002" s="76" t="s">
        <v>2624</v>
      </c>
      <c r="C1002" s="76" t="s">
        <v>307</v>
      </c>
      <c r="D1002" s="76" t="s">
        <v>2625</v>
      </c>
      <c r="E1002" s="79"/>
      <c r="F1002" s="76" t="s">
        <v>157</v>
      </c>
      <c r="G1002" s="76"/>
      <c r="H1002" s="76" t="s">
        <v>273</v>
      </c>
      <c r="I1002" s="78">
        <v>45993</v>
      </c>
      <c r="J1002" s="78">
        <v>45979</v>
      </c>
      <c r="K1002" s="77">
        <v>3</v>
      </c>
      <c r="L1002" s="77">
        <v>-11</v>
      </c>
    </row>
    <row r="1003" spans="1:12" ht="22.5">
      <c r="A1003" s="76" t="s">
        <v>2626</v>
      </c>
      <c r="B1003" s="76" t="s">
        <v>2537</v>
      </c>
      <c r="C1003" s="76" t="s">
        <v>2560</v>
      </c>
      <c r="D1003" s="76" t="s">
        <v>2627</v>
      </c>
      <c r="E1003" s="77">
        <v>8720.2999999999993</v>
      </c>
      <c r="F1003" s="76" t="s">
        <v>194</v>
      </c>
      <c r="G1003" s="76"/>
      <c r="H1003" s="76" t="s">
        <v>273</v>
      </c>
      <c r="I1003" s="78">
        <v>45986</v>
      </c>
      <c r="J1003" s="78">
        <v>45979</v>
      </c>
      <c r="K1003" s="77">
        <v>-4</v>
      </c>
      <c r="L1003" s="77">
        <v>-11</v>
      </c>
    </row>
    <row r="1004" spans="1:12" ht="33.75">
      <c r="A1004" s="76" t="s">
        <v>2628</v>
      </c>
      <c r="B1004" s="76" t="s">
        <v>2629</v>
      </c>
      <c r="C1004" s="76" t="s">
        <v>2630</v>
      </c>
      <c r="D1004" s="76" t="s">
        <v>2631</v>
      </c>
      <c r="E1004" s="77">
        <v>0.01</v>
      </c>
      <c r="F1004" s="76" t="s">
        <v>167</v>
      </c>
      <c r="G1004" s="76"/>
      <c r="H1004" s="76" t="s">
        <v>273</v>
      </c>
      <c r="I1004" s="78">
        <v>45980</v>
      </c>
      <c r="J1004" s="78">
        <v>45979</v>
      </c>
      <c r="K1004" s="77">
        <v>-10</v>
      </c>
      <c r="L1004" s="77">
        <v>-11</v>
      </c>
    </row>
    <row r="1005" spans="1:12" ht="22.5">
      <c r="A1005" s="76" t="s">
        <v>2632</v>
      </c>
      <c r="B1005" s="76" t="s">
        <v>2633</v>
      </c>
      <c r="C1005" s="76" t="s">
        <v>2560</v>
      </c>
      <c r="D1005" s="76" t="s">
        <v>2634</v>
      </c>
      <c r="E1005" s="77">
        <v>8720.2999999999993</v>
      </c>
      <c r="F1005" s="76" t="s">
        <v>194</v>
      </c>
      <c r="G1005" s="76"/>
      <c r="H1005" s="76" t="s">
        <v>273</v>
      </c>
      <c r="I1005" s="78">
        <v>45986</v>
      </c>
      <c r="J1005" s="78">
        <v>45979</v>
      </c>
      <c r="K1005" s="77">
        <v>-4</v>
      </c>
      <c r="L1005" s="77">
        <v>-11</v>
      </c>
    </row>
    <row r="1006" spans="1:12" ht="22.5">
      <c r="A1006" s="76" t="s">
        <v>2632</v>
      </c>
      <c r="B1006" s="76" t="s">
        <v>2635</v>
      </c>
      <c r="C1006" s="76" t="s">
        <v>2560</v>
      </c>
      <c r="D1006" s="76" t="s">
        <v>2636</v>
      </c>
      <c r="E1006" s="77">
        <v>8720.2999999999993</v>
      </c>
      <c r="F1006" s="76" t="s">
        <v>194</v>
      </c>
      <c r="G1006" s="76"/>
      <c r="H1006" s="76" t="s">
        <v>273</v>
      </c>
      <c r="I1006" s="78">
        <v>45986</v>
      </c>
      <c r="J1006" s="78">
        <v>45979</v>
      </c>
      <c r="K1006" s="77">
        <v>-4</v>
      </c>
      <c r="L1006" s="77">
        <v>-11</v>
      </c>
    </row>
    <row r="1007" spans="1:12" ht="22.5">
      <c r="A1007" s="76" t="s">
        <v>2637</v>
      </c>
      <c r="B1007" s="76" t="s">
        <v>2638</v>
      </c>
      <c r="C1007" s="76" t="s">
        <v>2593</v>
      </c>
      <c r="D1007" s="76" t="s">
        <v>2639</v>
      </c>
      <c r="E1007" s="77">
        <v>779.88</v>
      </c>
      <c r="F1007" s="76" t="s">
        <v>80</v>
      </c>
      <c r="G1007" s="76"/>
      <c r="H1007" s="76" t="s">
        <v>273</v>
      </c>
      <c r="I1007" s="78">
        <v>45986</v>
      </c>
      <c r="J1007" s="78">
        <v>45979</v>
      </c>
      <c r="K1007" s="77">
        <v>-4</v>
      </c>
      <c r="L1007" s="77">
        <v>-11</v>
      </c>
    </row>
    <row r="1008" spans="1:12" ht="33.75">
      <c r="A1008" s="76" t="s">
        <v>2460</v>
      </c>
      <c r="B1008" s="76" t="s">
        <v>2640</v>
      </c>
      <c r="C1008" s="76" t="s">
        <v>307</v>
      </c>
      <c r="D1008" s="76" t="s">
        <v>2641</v>
      </c>
      <c r="E1008" s="77">
        <v>111.44</v>
      </c>
      <c r="F1008" s="76" t="s">
        <v>66</v>
      </c>
      <c r="G1008" s="76"/>
      <c r="H1008" s="76" t="s">
        <v>273</v>
      </c>
      <c r="I1008" s="78">
        <v>45993</v>
      </c>
      <c r="J1008" s="78">
        <v>45979</v>
      </c>
      <c r="K1008" s="77">
        <v>3</v>
      </c>
      <c r="L1008" s="77">
        <v>-11</v>
      </c>
    </row>
    <row r="1009" spans="1:12" ht="33.75">
      <c r="A1009" s="76" t="s">
        <v>2460</v>
      </c>
      <c r="B1009" s="76" t="s">
        <v>2642</v>
      </c>
      <c r="C1009" s="76" t="s">
        <v>307</v>
      </c>
      <c r="D1009" s="76" t="s">
        <v>2643</v>
      </c>
      <c r="E1009" s="79"/>
      <c r="F1009" s="76" t="s">
        <v>157</v>
      </c>
      <c r="G1009" s="76"/>
      <c r="H1009" s="76" t="s">
        <v>273</v>
      </c>
      <c r="I1009" s="78">
        <v>45993</v>
      </c>
      <c r="J1009" s="78">
        <v>45979</v>
      </c>
      <c r="K1009" s="77">
        <v>3</v>
      </c>
      <c r="L1009" s="77">
        <v>-11</v>
      </c>
    </row>
    <row r="1010" spans="1:12" ht="33.75">
      <c r="A1010" s="76" t="s">
        <v>2460</v>
      </c>
      <c r="B1010" s="76" t="s">
        <v>2644</v>
      </c>
      <c r="C1010" s="76" t="s">
        <v>307</v>
      </c>
      <c r="D1010" s="76" t="s">
        <v>2645</v>
      </c>
      <c r="E1010" s="77">
        <v>47.2</v>
      </c>
      <c r="F1010" s="76" t="s">
        <v>157</v>
      </c>
      <c r="G1010" s="76"/>
      <c r="H1010" s="76" t="s">
        <v>273</v>
      </c>
      <c r="I1010" s="78">
        <v>45993</v>
      </c>
      <c r="J1010" s="78">
        <v>45979</v>
      </c>
      <c r="K1010" s="77">
        <v>3</v>
      </c>
      <c r="L1010" s="77">
        <v>-11</v>
      </c>
    </row>
    <row r="1011" spans="1:12" ht="33.75">
      <c r="A1011" s="76" t="s">
        <v>2460</v>
      </c>
      <c r="B1011" s="76" t="s">
        <v>2646</v>
      </c>
      <c r="C1011" s="76" t="s">
        <v>307</v>
      </c>
      <c r="D1011" s="76" t="s">
        <v>2647</v>
      </c>
      <c r="E1011" s="79"/>
      <c r="F1011" s="76" t="s">
        <v>157</v>
      </c>
      <c r="G1011" s="76"/>
      <c r="H1011" s="76" t="s">
        <v>273</v>
      </c>
      <c r="I1011" s="78">
        <v>45993</v>
      </c>
      <c r="J1011" s="78">
        <v>45979</v>
      </c>
      <c r="K1011" s="77">
        <v>3</v>
      </c>
      <c r="L1011" s="77">
        <v>-11</v>
      </c>
    </row>
    <row r="1012" spans="1:12" ht="33.75">
      <c r="A1012" s="76" t="s">
        <v>2460</v>
      </c>
      <c r="B1012" s="76" t="s">
        <v>2648</v>
      </c>
      <c r="C1012" s="76" t="s">
        <v>307</v>
      </c>
      <c r="D1012" s="76" t="s">
        <v>2649</v>
      </c>
      <c r="E1012" s="79"/>
      <c r="F1012" s="76" t="s">
        <v>157</v>
      </c>
      <c r="G1012" s="76"/>
      <c r="H1012" s="76" t="s">
        <v>273</v>
      </c>
      <c r="I1012" s="78">
        <v>45993</v>
      </c>
      <c r="J1012" s="78">
        <v>45979</v>
      </c>
      <c r="K1012" s="77">
        <v>3</v>
      </c>
      <c r="L1012" s="77">
        <v>-11</v>
      </c>
    </row>
    <row r="1013" spans="1:12" ht="33.75">
      <c r="A1013" s="76" t="s">
        <v>2460</v>
      </c>
      <c r="B1013" s="76" t="s">
        <v>2650</v>
      </c>
      <c r="C1013" s="76" t="s">
        <v>307</v>
      </c>
      <c r="D1013" s="76" t="s">
        <v>2651</v>
      </c>
      <c r="E1013" s="79"/>
      <c r="F1013" s="76" t="s">
        <v>157</v>
      </c>
      <c r="G1013" s="76"/>
      <c r="H1013" s="76" t="s">
        <v>273</v>
      </c>
      <c r="I1013" s="78">
        <v>45993</v>
      </c>
      <c r="J1013" s="78">
        <v>45979</v>
      </c>
      <c r="K1013" s="77">
        <v>3</v>
      </c>
      <c r="L1013" s="77">
        <v>-11</v>
      </c>
    </row>
    <row r="1014" spans="1:12" ht="33.75">
      <c r="A1014" s="76" t="s">
        <v>2460</v>
      </c>
      <c r="B1014" s="76" t="s">
        <v>331</v>
      </c>
      <c r="C1014" s="76" t="s">
        <v>307</v>
      </c>
      <c r="D1014" s="76" t="s">
        <v>2652</v>
      </c>
      <c r="E1014" s="77">
        <v>121.8</v>
      </c>
      <c r="F1014" s="76" t="s">
        <v>85</v>
      </c>
      <c r="G1014" s="76"/>
      <c r="H1014" s="76" t="s">
        <v>273</v>
      </c>
      <c r="I1014" s="78">
        <v>45993</v>
      </c>
      <c r="J1014" s="78">
        <v>45979</v>
      </c>
      <c r="K1014" s="77">
        <v>3</v>
      </c>
      <c r="L1014" s="77">
        <v>-11</v>
      </c>
    </row>
    <row r="1015" spans="1:12" ht="33.75">
      <c r="A1015" s="76" t="s">
        <v>2460</v>
      </c>
      <c r="B1015" s="76" t="s">
        <v>2653</v>
      </c>
      <c r="C1015" s="76" t="s">
        <v>307</v>
      </c>
      <c r="D1015" s="76" t="s">
        <v>2654</v>
      </c>
      <c r="E1015" s="77">
        <v>58.8</v>
      </c>
      <c r="F1015" s="76" t="s">
        <v>157</v>
      </c>
      <c r="G1015" s="76"/>
      <c r="H1015" s="76" t="s">
        <v>273</v>
      </c>
      <c r="I1015" s="78">
        <v>45993</v>
      </c>
      <c r="J1015" s="78">
        <v>45979</v>
      </c>
      <c r="K1015" s="77">
        <v>3</v>
      </c>
      <c r="L1015" s="77">
        <v>-11</v>
      </c>
    </row>
    <row r="1016" spans="1:12" ht="33.75">
      <c r="A1016" s="76" t="s">
        <v>2460</v>
      </c>
      <c r="B1016" s="76" t="s">
        <v>2655</v>
      </c>
      <c r="C1016" s="76" t="s">
        <v>307</v>
      </c>
      <c r="D1016" s="76" t="s">
        <v>2656</v>
      </c>
      <c r="E1016" s="79"/>
      <c r="F1016" s="76" t="s">
        <v>157</v>
      </c>
      <c r="G1016" s="76"/>
      <c r="H1016" s="76" t="s">
        <v>273</v>
      </c>
      <c r="I1016" s="78">
        <v>45993</v>
      </c>
      <c r="J1016" s="78">
        <v>45979</v>
      </c>
      <c r="K1016" s="77">
        <v>3</v>
      </c>
      <c r="L1016" s="77">
        <v>-11</v>
      </c>
    </row>
    <row r="1017" spans="1:12" ht="33.75">
      <c r="A1017" s="76" t="s">
        <v>2460</v>
      </c>
      <c r="B1017" s="76" t="s">
        <v>2657</v>
      </c>
      <c r="C1017" s="76" t="s">
        <v>307</v>
      </c>
      <c r="D1017" s="76" t="s">
        <v>2658</v>
      </c>
      <c r="E1017" s="79"/>
      <c r="F1017" s="76" t="s">
        <v>157</v>
      </c>
      <c r="G1017" s="76"/>
      <c r="H1017" s="76" t="s">
        <v>273</v>
      </c>
      <c r="I1017" s="78">
        <v>45993</v>
      </c>
      <c r="J1017" s="78">
        <v>45979</v>
      </c>
      <c r="K1017" s="77">
        <v>3</v>
      </c>
      <c r="L1017" s="77">
        <v>-11</v>
      </c>
    </row>
    <row r="1018" spans="1:12" ht="33.75">
      <c r="A1018" s="76" t="s">
        <v>2460</v>
      </c>
      <c r="B1018" s="76" t="s">
        <v>2659</v>
      </c>
      <c r="C1018" s="76" t="s">
        <v>307</v>
      </c>
      <c r="D1018" s="76" t="s">
        <v>2660</v>
      </c>
      <c r="E1018" s="77">
        <v>390.76</v>
      </c>
      <c r="F1018" s="76" t="s">
        <v>85</v>
      </c>
      <c r="G1018" s="76"/>
      <c r="H1018" s="76" t="s">
        <v>273</v>
      </c>
      <c r="I1018" s="78">
        <v>45993</v>
      </c>
      <c r="J1018" s="78">
        <v>45979</v>
      </c>
      <c r="K1018" s="77">
        <v>3</v>
      </c>
      <c r="L1018" s="77">
        <v>-11</v>
      </c>
    </row>
    <row r="1019" spans="1:12" ht="45">
      <c r="A1019" s="76" t="s">
        <v>2460</v>
      </c>
      <c r="B1019" s="76" t="s">
        <v>2661</v>
      </c>
      <c r="C1019" s="76" t="s">
        <v>307</v>
      </c>
      <c r="D1019" s="76" t="s">
        <v>2662</v>
      </c>
      <c r="E1019" s="77">
        <v>117.22</v>
      </c>
      <c r="F1019" s="76"/>
      <c r="G1019" s="76" t="s">
        <v>187</v>
      </c>
      <c r="H1019" s="76" t="s">
        <v>273</v>
      </c>
      <c r="I1019" s="78">
        <v>45993</v>
      </c>
      <c r="J1019" s="78">
        <v>45979</v>
      </c>
      <c r="K1019" s="77">
        <v>3</v>
      </c>
      <c r="L1019" s="77">
        <v>-11</v>
      </c>
    </row>
    <row r="1020" spans="1:12" ht="33.75">
      <c r="A1020" s="76" t="s">
        <v>2460</v>
      </c>
      <c r="B1020" s="76" t="s">
        <v>2663</v>
      </c>
      <c r="C1020" s="76" t="s">
        <v>307</v>
      </c>
      <c r="D1020" s="76" t="s">
        <v>2664</v>
      </c>
      <c r="E1020" s="79"/>
      <c r="F1020" s="76" t="s">
        <v>157</v>
      </c>
      <c r="G1020" s="76"/>
      <c r="H1020" s="76" t="s">
        <v>273</v>
      </c>
      <c r="I1020" s="78">
        <v>45993</v>
      </c>
      <c r="J1020" s="78">
        <v>45979</v>
      </c>
      <c r="K1020" s="77">
        <v>3</v>
      </c>
      <c r="L1020" s="77">
        <v>-11</v>
      </c>
    </row>
    <row r="1021" spans="1:12" ht="33.75">
      <c r="A1021" s="76" t="s">
        <v>2460</v>
      </c>
      <c r="B1021" s="76" t="s">
        <v>2577</v>
      </c>
      <c r="C1021" s="76" t="s">
        <v>307</v>
      </c>
      <c r="D1021" s="76" t="s">
        <v>2665</v>
      </c>
      <c r="E1021" s="77">
        <v>59.51</v>
      </c>
      <c r="F1021" s="76" t="s">
        <v>157</v>
      </c>
      <c r="G1021" s="76"/>
      <c r="H1021" s="76" t="s">
        <v>273</v>
      </c>
      <c r="I1021" s="78">
        <v>45993</v>
      </c>
      <c r="J1021" s="78">
        <v>45979</v>
      </c>
      <c r="K1021" s="77">
        <v>3</v>
      </c>
      <c r="L1021" s="77">
        <v>-11</v>
      </c>
    </row>
    <row r="1022" spans="1:12" ht="22.5">
      <c r="A1022" s="76" t="s">
        <v>2666</v>
      </c>
      <c r="B1022" s="76" t="s">
        <v>2667</v>
      </c>
      <c r="C1022" s="76" t="s">
        <v>2560</v>
      </c>
      <c r="D1022" s="76" t="s">
        <v>2668</v>
      </c>
      <c r="E1022" s="77">
        <v>8720.2999999999993</v>
      </c>
      <c r="F1022" s="76" t="s">
        <v>194</v>
      </c>
      <c r="G1022" s="76"/>
      <c r="H1022" s="76" t="s">
        <v>273</v>
      </c>
      <c r="I1022" s="78">
        <v>45986</v>
      </c>
      <c r="J1022" s="78">
        <v>45979</v>
      </c>
      <c r="K1022" s="77">
        <v>-4</v>
      </c>
      <c r="L1022" s="77">
        <v>-11</v>
      </c>
    </row>
    <row r="1023" spans="1:12" ht="22.5">
      <c r="A1023" s="76" t="s">
        <v>2669</v>
      </c>
      <c r="B1023" s="76" t="s">
        <v>2670</v>
      </c>
      <c r="C1023" s="76" t="s">
        <v>2560</v>
      </c>
      <c r="D1023" s="76" t="s">
        <v>2671</v>
      </c>
      <c r="E1023" s="77">
        <v>8720.2999999999993</v>
      </c>
      <c r="F1023" s="76" t="s">
        <v>194</v>
      </c>
      <c r="G1023" s="76"/>
      <c r="H1023" s="76" t="s">
        <v>273</v>
      </c>
      <c r="I1023" s="78">
        <v>45986</v>
      </c>
      <c r="J1023" s="78">
        <v>45979</v>
      </c>
      <c r="K1023" s="77">
        <v>-4</v>
      </c>
      <c r="L1023" s="77">
        <v>-11</v>
      </c>
    </row>
    <row r="1024" spans="1:12" ht="22.5">
      <c r="A1024" s="76" t="s">
        <v>2669</v>
      </c>
      <c r="B1024" s="76" t="s">
        <v>2670</v>
      </c>
      <c r="C1024" s="76" t="s">
        <v>2560</v>
      </c>
      <c r="D1024" s="76" t="s">
        <v>2672</v>
      </c>
      <c r="E1024" s="77">
        <v>8720.2999999999993</v>
      </c>
      <c r="F1024" s="76" t="s">
        <v>194</v>
      </c>
      <c r="G1024" s="76"/>
      <c r="H1024" s="76" t="s">
        <v>273</v>
      </c>
      <c r="I1024" s="78">
        <v>45986</v>
      </c>
      <c r="J1024" s="78">
        <v>45979</v>
      </c>
      <c r="K1024" s="77">
        <v>-4</v>
      </c>
      <c r="L1024" s="77">
        <v>-11</v>
      </c>
    </row>
    <row r="1025" spans="1:12" ht="22.5">
      <c r="A1025" s="76" t="s">
        <v>2673</v>
      </c>
      <c r="B1025" s="76" t="s">
        <v>2674</v>
      </c>
      <c r="C1025" s="76" t="s">
        <v>2532</v>
      </c>
      <c r="D1025" s="76" t="s">
        <v>2675</v>
      </c>
      <c r="E1025" s="77">
        <v>318.75</v>
      </c>
      <c r="F1025" s="76" t="s">
        <v>194</v>
      </c>
      <c r="G1025" s="76"/>
      <c r="H1025" s="76" t="s">
        <v>273</v>
      </c>
      <c r="I1025" s="78">
        <v>45986</v>
      </c>
      <c r="J1025" s="78">
        <v>45979</v>
      </c>
      <c r="K1025" s="77">
        <v>-4</v>
      </c>
      <c r="L1025" s="77">
        <v>-11</v>
      </c>
    </row>
    <row r="1026" spans="1:12" ht="22.5">
      <c r="A1026" s="76" t="s">
        <v>2673</v>
      </c>
      <c r="B1026" s="76" t="s">
        <v>2676</v>
      </c>
      <c r="C1026" s="76" t="s">
        <v>2560</v>
      </c>
      <c r="D1026" s="76" t="s">
        <v>2677</v>
      </c>
      <c r="E1026" s="77">
        <v>8720.2999999999993</v>
      </c>
      <c r="F1026" s="76" t="s">
        <v>194</v>
      </c>
      <c r="G1026" s="76"/>
      <c r="H1026" s="76" t="s">
        <v>273</v>
      </c>
      <c r="I1026" s="78">
        <v>45986</v>
      </c>
      <c r="J1026" s="78">
        <v>45979</v>
      </c>
      <c r="K1026" s="77">
        <v>-4</v>
      </c>
      <c r="L1026" s="77">
        <v>-11</v>
      </c>
    </row>
    <row r="1027" spans="1:12" ht="22.5">
      <c r="A1027" s="76" t="s">
        <v>2678</v>
      </c>
      <c r="B1027" s="76" t="s">
        <v>2679</v>
      </c>
      <c r="C1027" s="76" t="s">
        <v>2560</v>
      </c>
      <c r="D1027" s="76" t="s">
        <v>2680</v>
      </c>
      <c r="E1027" s="77">
        <v>8720.2999999999993</v>
      </c>
      <c r="F1027" s="76" t="s">
        <v>194</v>
      </c>
      <c r="G1027" s="76"/>
      <c r="H1027" s="76" t="s">
        <v>273</v>
      </c>
      <c r="I1027" s="78">
        <v>45986</v>
      </c>
      <c r="J1027" s="78">
        <v>45979</v>
      </c>
      <c r="K1027" s="77">
        <v>-4</v>
      </c>
      <c r="L1027" s="77">
        <v>-11</v>
      </c>
    </row>
  </sheetData>
  <sortState xmlns:xlrd2="http://schemas.microsoft.com/office/spreadsheetml/2017/richdata2" ref="A4:L1027">
    <sortCondition ref="J4:J1027"/>
    <sortCondition ref="L4:L1027"/>
  </sortState>
  <mergeCells count="2">
    <mergeCell ref="A1:L1"/>
    <mergeCell ref="A2:L2"/>
  </mergeCells>
  <pageMargins left="0.70866141732283505" right="0.70866141732283505" top="0.74803149606299202" bottom="0.74803149606299202" header="0.31496062992126" footer="0.31496062992126"/>
  <pageSetup orientation="landscape" r:id="rId1"/>
  <headerFooter>
    <oddHeader>Page &amp;P of &amp;N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WVL117"/>
  <sheetViews>
    <sheetView showGridLines="0" workbookViewId="0">
      <pane ySplit="1" topLeftCell="A2" activePane="bottomLeft" state="frozenSplit"/>
      <selection pane="bottomLeft" activeCell="A4" sqref="A4"/>
    </sheetView>
  </sheetViews>
  <sheetFormatPr defaultColWidth="9" defaultRowHeight="15"/>
  <cols>
    <col min="1" max="1" width="9" hidden="1" customWidth="1"/>
    <col min="2" max="2" width="42.140625" customWidth="1"/>
    <col min="3" max="3" width="12.28515625" customWidth="1"/>
    <col min="4" max="4" width="9" hidden="1" customWidth="1"/>
    <col min="5" max="256" width="9.140625"/>
    <col min="257" max="257" width="9" hidden="1" customWidth="1"/>
    <col min="258" max="258" width="42.140625" customWidth="1"/>
    <col min="259" max="259" width="12.28515625" customWidth="1"/>
    <col min="260" max="260" width="9" hidden="1" customWidth="1"/>
    <col min="261" max="512" width="9.140625"/>
    <col min="513" max="513" width="9" hidden="1" customWidth="1"/>
    <col min="514" max="514" width="42.140625" customWidth="1"/>
    <col min="515" max="515" width="12.28515625" customWidth="1"/>
    <col min="516" max="516" width="9" hidden="1" customWidth="1"/>
    <col min="517" max="768" width="9.140625"/>
    <col min="769" max="769" width="9" hidden="1" customWidth="1"/>
    <col min="770" max="770" width="42.140625" customWidth="1"/>
    <col min="771" max="771" width="12.28515625" customWidth="1"/>
    <col min="772" max="772" width="9" hidden="1" customWidth="1"/>
    <col min="773" max="1024" width="9.140625"/>
    <col min="1025" max="1025" width="9" hidden="1" customWidth="1"/>
    <col min="1026" max="1026" width="42.140625" customWidth="1"/>
    <col min="1027" max="1027" width="12.28515625" customWidth="1"/>
    <col min="1028" max="1028" width="9" hidden="1" customWidth="1"/>
    <col min="1029" max="1280" width="9.140625"/>
    <col min="1281" max="1281" width="9" hidden="1" customWidth="1"/>
    <col min="1282" max="1282" width="42.140625" customWidth="1"/>
    <col min="1283" max="1283" width="12.28515625" customWidth="1"/>
    <col min="1284" max="1284" width="9" hidden="1" customWidth="1"/>
    <col min="1285" max="1536" width="9.140625"/>
    <col min="1537" max="1537" width="9" hidden="1" customWidth="1"/>
    <col min="1538" max="1538" width="42.140625" customWidth="1"/>
    <col min="1539" max="1539" width="12.28515625" customWidth="1"/>
    <col min="1540" max="1540" width="9" hidden="1" customWidth="1"/>
    <col min="1541" max="1792" width="9.140625"/>
    <col min="1793" max="1793" width="9" hidden="1" customWidth="1"/>
    <col min="1794" max="1794" width="42.140625" customWidth="1"/>
    <col min="1795" max="1795" width="12.28515625" customWidth="1"/>
    <col min="1796" max="1796" width="9" hidden="1" customWidth="1"/>
    <col min="1797" max="2048" width="9.140625"/>
    <col min="2049" max="2049" width="9" hidden="1" customWidth="1"/>
    <col min="2050" max="2050" width="42.140625" customWidth="1"/>
    <col min="2051" max="2051" width="12.28515625" customWidth="1"/>
    <col min="2052" max="2052" width="9" hidden="1" customWidth="1"/>
    <col min="2053" max="2304" width="9.140625"/>
    <col min="2305" max="2305" width="9" hidden="1" customWidth="1"/>
    <col min="2306" max="2306" width="42.140625" customWidth="1"/>
    <col min="2307" max="2307" width="12.28515625" customWidth="1"/>
    <col min="2308" max="2308" width="9" hidden="1" customWidth="1"/>
    <col min="2309" max="2560" width="9.140625"/>
    <col min="2561" max="2561" width="9" hidden="1" customWidth="1"/>
    <col min="2562" max="2562" width="42.140625" customWidth="1"/>
    <col min="2563" max="2563" width="12.28515625" customWidth="1"/>
    <col min="2564" max="2564" width="9" hidden="1" customWidth="1"/>
    <col min="2565" max="2816" width="9.140625"/>
    <col min="2817" max="2817" width="9" hidden="1" customWidth="1"/>
    <col min="2818" max="2818" width="42.140625" customWidth="1"/>
    <col min="2819" max="2819" width="12.28515625" customWidth="1"/>
    <col min="2820" max="2820" width="9" hidden="1" customWidth="1"/>
    <col min="2821" max="3072" width="9.140625"/>
    <col min="3073" max="3073" width="9" hidden="1" customWidth="1"/>
    <col min="3074" max="3074" width="42.140625" customWidth="1"/>
    <col min="3075" max="3075" width="12.28515625" customWidth="1"/>
    <col min="3076" max="3076" width="9" hidden="1" customWidth="1"/>
    <col min="3077" max="3328" width="9.140625"/>
    <col min="3329" max="3329" width="9" hidden="1" customWidth="1"/>
    <col min="3330" max="3330" width="42.140625" customWidth="1"/>
    <col min="3331" max="3331" width="12.28515625" customWidth="1"/>
    <col min="3332" max="3332" width="9" hidden="1" customWidth="1"/>
    <col min="3333" max="3584" width="9.140625"/>
    <col min="3585" max="3585" width="9" hidden="1" customWidth="1"/>
    <col min="3586" max="3586" width="42.140625" customWidth="1"/>
    <col min="3587" max="3587" width="12.28515625" customWidth="1"/>
    <col min="3588" max="3588" width="9" hidden="1" customWidth="1"/>
    <col min="3589" max="3840" width="9.140625"/>
    <col min="3841" max="3841" width="9" hidden="1" customWidth="1"/>
    <col min="3842" max="3842" width="42.140625" customWidth="1"/>
    <col min="3843" max="3843" width="12.28515625" customWidth="1"/>
    <col min="3844" max="3844" width="9" hidden="1" customWidth="1"/>
    <col min="3845" max="4096" width="9.140625"/>
    <col min="4097" max="4097" width="9" hidden="1" customWidth="1"/>
    <col min="4098" max="4098" width="42.140625" customWidth="1"/>
    <col min="4099" max="4099" width="12.28515625" customWidth="1"/>
    <col min="4100" max="4100" width="9" hidden="1" customWidth="1"/>
    <col min="4101" max="4352" width="9.140625"/>
    <col min="4353" max="4353" width="9" hidden="1" customWidth="1"/>
    <col min="4354" max="4354" width="42.140625" customWidth="1"/>
    <col min="4355" max="4355" width="12.28515625" customWidth="1"/>
    <col min="4356" max="4356" width="9" hidden="1" customWidth="1"/>
    <col min="4357" max="4608" width="9.140625"/>
    <col min="4609" max="4609" width="9" hidden="1" customWidth="1"/>
    <col min="4610" max="4610" width="42.140625" customWidth="1"/>
    <col min="4611" max="4611" width="12.28515625" customWidth="1"/>
    <col min="4612" max="4612" width="9" hidden="1" customWidth="1"/>
    <col min="4613" max="4864" width="9.140625"/>
    <col min="4865" max="4865" width="9" hidden="1" customWidth="1"/>
    <col min="4866" max="4866" width="42.140625" customWidth="1"/>
    <col min="4867" max="4867" width="12.28515625" customWidth="1"/>
    <col min="4868" max="4868" width="9" hidden="1" customWidth="1"/>
    <col min="4869" max="5120" width="9.140625"/>
    <col min="5121" max="5121" width="9" hidden="1" customWidth="1"/>
    <col min="5122" max="5122" width="42.140625" customWidth="1"/>
    <col min="5123" max="5123" width="12.28515625" customWidth="1"/>
    <col min="5124" max="5124" width="9" hidden="1" customWidth="1"/>
    <col min="5125" max="5376" width="9.140625"/>
    <col min="5377" max="5377" width="9" hidden="1" customWidth="1"/>
    <col min="5378" max="5378" width="42.140625" customWidth="1"/>
    <col min="5379" max="5379" width="12.28515625" customWidth="1"/>
    <col min="5380" max="5380" width="9" hidden="1" customWidth="1"/>
    <col min="5381" max="5632" width="9.140625"/>
    <col min="5633" max="5633" width="9" hidden="1" customWidth="1"/>
    <col min="5634" max="5634" width="42.140625" customWidth="1"/>
    <col min="5635" max="5635" width="12.28515625" customWidth="1"/>
    <col min="5636" max="5636" width="9" hidden="1" customWidth="1"/>
    <col min="5637" max="5888" width="9.140625"/>
    <col min="5889" max="5889" width="9" hidden="1" customWidth="1"/>
    <col min="5890" max="5890" width="42.140625" customWidth="1"/>
    <col min="5891" max="5891" width="12.28515625" customWidth="1"/>
    <col min="5892" max="5892" width="9" hidden="1" customWidth="1"/>
    <col min="5893" max="6144" width="9.140625"/>
    <col min="6145" max="6145" width="9" hidden="1" customWidth="1"/>
    <col min="6146" max="6146" width="42.140625" customWidth="1"/>
    <col min="6147" max="6147" width="12.28515625" customWidth="1"/>
    <col min="6148" max="6148" width="9" hidden="1" customWidth="1"/>
    <col min="6149" max="6400" width="9.140625"/>
    <col min="6401" max="6401" width="9" hidden="1" customWidth="1"/>
    <col min="6402" max="6402" width="42.140625" customWidth="1"/>
    <col min="6403" max="6403" width="12.28515625" customWidth="1"/>
    <col min="6404" max="6404" width="9" hidden="1" customWidth="1"/>
    <col min="6405" max="6656" width="9.140625"/>
    <col min="6657" max="6657" width="9" hidden="1" customWidth="1"/>
    <col min="6658" max="6658" width="42.140625" customWidth="1"/>
    <col min="6659" max="6659" width="12.28515625" customWidth="1"/>
    <col min="6660" max="6660" width="9" hidden="1" customWidth="1"/>
    <col min="6661" max="6912" width="9.140625"/>
    <col min="6913" max="6913" width="9" hidden="1" customWidth="1"/>
    <col min="6914" max="6914" width="42.140625" customWidth="1"/>
    <col min="6915" max="6915" width="12.28515625" customWidth="1"/>
    <col min="6916" max="6916" width="9" hidden="1" customWidth="1"/>
    <col min="6917" max="7168" width="9.140625"/>
    <col min="7169" max="7169" width="9" hidden="1" customWidth="1"/>
    <col min="7170" max="7170" width="42.140625" customWidth="1"/>
    <col min="7171" max="7171" width="12.28515625" customWidth="1"/>
    <col min="7172" max="7172" width="9" hidden="1" customWidth="1"/>
    <col min="7173" max="7424" width="9.140625"/>
    <col min="7425" max="7425" width="9" hidden="1" customWidth="1"/>
    <col min="7426" max="7426" width="42.140625" customWidth="1"/>
    <col min="7427" max="7427" width="12.28515625" customWidth="1"/>
    <col min="7428" max="7428" width="9" hidden="1" customWidth="1"/>
    <col min="7429" max="7680" width="9.140625"/>
    <col min="7681" max="7681" width="9" hidden="1" customWidth="1"/>
    <col min="7682" max="7682" width="42.140625" customWidth="1"/>
    <col min="7683" max="7683" width="12.28515625" customWidth="1"/>
    <col min="7684" max="7684" width="9" hidden="1" customWidth="1"/>
    <col min="7685" max="7936" width="9.140625"/>
    <col min="7937" max="7937" width="9" hidden="1" customWidth="1"/>
    <col min="7938" max="7938" width="42.140625" customWidth="1"/>
    <col min="7939" max="7939" width="12.28515625" customWidth="1"/>
    <col min="7940" max="7940" width="9" hidden="1" customWidth="1"/>
    <col min="7941" max="8192" width="9.140625"/>
    <col min="8193" max="8193" width="9" hidden="1" customWidth="1"/>
    <col min="8194" max="8194" width="42.140625" customWidth="1"/>
    <col min="8195" max="8195" width="12.28515625" customWidth="1"/>
    <col min="8196" max="8196" width="9" hidden="1" customWidth="1"/>
    <col min="8197" max="8448" width="9.140625"/>
    <col min="8449" max="8449" width="9" hidden="1" customWidth="1"/>
    <col min="8450" max="8450" width="42.140625" customWidth="1"/>
    <col min="8451" max="8451" width="12.28515625" customWidth="1"/>
    <col min="8452" max="8452" width="9" hidden="1" customWidth="1"/>
    <col min="8453" max="8704" width="9.140625"/>
    <col min="8705" max="8705" width="9" hidden="1" customWidth="1"/>
    <col min="8706" max="8706" width="42.140625" customWidth="1"/>
    <col min="8707" max="8707" width="12.28515625" customWidth="1"/>
    <col min="8708" max="8708" width="9" hidden="1" customWidth="1"/>
    <col min="8709" max="8960" width="9.140625"/>
    <col min="8961" max="8961" width="9" hidden="1" customWidth="1"/>
    <col min="8962" max="8962" width="42.140625" customWidth="1"/>
    <col min="8963" max="8963" width="12.28515625" customWidth="1"/>
    <col min="8964" max="8964" width="9" hidden="1" customWidth="1"/>
    <col min="8965" max="9216" width="9.140625"/>
    <col min="9217" max="9217" width="9" hidden="1" customWidth="1"/>
    <col min="9218" max="9218" width="42.140625" customWidth="1"/>
    <col min="9219" max="9219" width="12.28515625" customWidth="1"/>
    <col min="9220" max="9220" width="9" hidden="1" customWidth="1"/>
    <col min="9221" max="9472" width="9.140625"/>
    <col min="9473" max="9473" width="9" hidden="1" customWidth="1"/>
    <col min="9474" max="9474" width="42.140625" customWidth="1"/>
    <col min="9475" max="9475" width="12.28515625" customWidth="1"/>
    <col min="9476" max="9476" width="9" hidden="1" customWidth="1"/>
    <col min="9477" max="9728" width="9.140625"/>
    <col min="9729" max="9729" width="9" hidden="1" customWidth="1"/>
    <col min="9730" max="9730" width="42.140625" customWidth="1"/>
    <col min="9731" max="9731" width="12.28515625" customWidth="1"/>
    <col min="9732" max="9732" width="9" hidden="1" customWidth="1"/>
    <col min="9733" max="9984" width="9.140625"/>
    <col min="9985" max="9985" width="9" hidden="1" customWidth="1"/>
    <col min="9986" max="9986" width="42.140625" customWidth="1"/>
    <col min="9987" max="9987" width="12.28515625" customWidth="1"/>
    <col min="9988" max="9988" width="9" hidden="1" customWidth="1"/>
    <col min="9989" max="10240" width="9.140625"/>
    <col min="10241" max="10241" width="9" hidden="1" customWidth="1"/>
    <col min="10242" max="10242" width="42.140625" customWidth="1"/>
    <col min="10243" max="10243" width="12.28515625" customWidth="1"/>
    <col min="10244" max="10244" width="9" hidden="1" customWidth="1"/>
    <col min="10245" max="10496" width="9.140625"/>
    <col min="10497" max="10497" width="9" hidden="1" customWidth="1"/>
    <col min="10498" max="10498" width="42.140625" customWidth="1"/>
    <col min="10499" max="10499" width="12.28515625" customWidth="1"/>
    <col min="10500" max="10500" width="9" hidden="1" customWidth="1"/>
    <col min="10501" max="10752" width="9.140625"/>
    <col min="10753" max="10753" width="9" hidden="1" customWidth="1"/>
    <col min="10754" max="10754" width="42.140625" customWidth="1"/>
    <col min="10755" max="10755" width="12.28515625" customWidth="1"/>
    <col min="10756" max="10756" width="9" hidden="1" customWidth="1"/>
    <col min="10757" max="11008" width="9.140625"/>
    <col min="11009" max="11009" width="9" hidden="1" customWidth="1"/>
    <col min="11010" max="11010" width="42.140625" customWidth="1"/>
    <col min="11011" max="11011" width="12.28515625" customWidth="1"/>
    <col min="11012" max="11012" width="9" hidden="1" customWidth="1"/>
    <col min="11013" max="11264" width="9.140625"/>
    <col min="11265" max="11265" width="9" hidden="1" customWidth="1"/>
    <col min="11266" max="11266" width="42.140625" customWidth="1"/>
    <col min="11267" max="11267" width="12.28515625" customWidth="1"/>
    <col min="11268" max="11268" width="9" hidden="1" customWidth="1"/>
    <col min="11269" max="11520" width="9.140625"/>
    <col min="11521" max="11521" width="9" hidden="1" customWidth="1"/>
    <col min="11522" max="11522" width="42.140625" customWidth="1"/>
    <col min="11523" max="11523" width="12.28515625" customWidth="1"/>
    <col min="11524" max="11524" width="9" hidden="1" customWidth="1"/>
    <col min="11525" max="11776" width="9.140625"/>
    <col min="11777" max="11777" width="9" hidden="1" customWidth="1"/>
    <col min="11778" max="11778" width="42.140625" customWidth="1"/>
    <col min="11779" max="11779" width="12.28515625" customWidth="1"/>
    <col min="11780" max="11780" width="9" hidden="1" customWidth="1"/>
    <col min="11781" max="12032" width="9.140625"/>
    <col min="12033" max="12033" width="9" hidden="1" customWidth="1"/>
    <col min="12034" max="12034" width="42.140625" customWidth="1"/>
    <col min="12035" max="12035" width="12.28515625" customWidth="1"/>
    <col min="12036" max="12036" width="9" hidden="1" customWidth="1"/>
    <col min="12037" max="12288" width="9.140625"/>
    <col min="12289" max="12289" width="9" hidden="1" customWidth="1"/>
    <col min="12290" max="12290" width="42.140625" customWidth="1"/>
    <col min="12291" max="12291" width="12.28515625" customWidth="1"/>
    <col min="12292" max="12292" width="9" hidden="1" customWidth="1"/>
    <col min="12293" max="12544" width="9.140625"/>
    <col min="12545" max="12545" width="9" hidden="1" customWidth="1"/>
    <col min="12546" max="12546" width="42.140625" customWidth="1"/>
    <col min="12547" max="12547" width="12.28515625" customWidth="1"/>
    <col min="12548" max="12548" width="9" hidden="1" customWidth="1"/>
    <col min="12549" max="12800" width="9.140625"/>
    <col min="12801" max="12801" width="9" hidden="1" customWidth="1"/>
    <col min="12802" max="12802" width="42.140625" customWidth="1"/>
    <col min="12803" max="12803" width="12.28515625" customWidth="1"/>
    <col min="12804" max="12804" width="9" hidden="1" customWidth="1"/>
    <col min="12805" max="13056" width="9.140625"/>
    <col min="13057" max="13057" width="9" hidden="1" customWidth="1"/>
    <col min="13058" max="13058" width="42.140625" customWidth="1"/>
    <col min="13059" max="13059" width="12.28515625" customWidth="1"/>
    <col min="13060" max="13060" width="9" hidden="1" customWidth="1"/>
    <col min="13061" max="13312" width="9.140625"/>
    <col min="13313" max="13313" width="9" hidden="1" customWidth="1"/>
    <col min="13314" max="13314" width="42.140625" customWidth="1"/>
    <col min="13315" max="13315" width="12.28515625" customWidth="1"/>
    <col min="13316" max="13316" width="9" hidden="1" customWidth="1"/>
    <col min="13317" max="13568" width="9.140625"/>
    <col min="13569" max="13569" width="9" hidden="1" customWidth="1"/>
    <col min="13570" max="13570" width="42.140625" customWidth="1"/>
    <col min="13571" max="13571" width="12.28515625" customWidth="1"/>
    <col min="13572" max="13572" width="9" hidden="1" customWidth="1"/>
    <col min="13573" max="13824" width="9.140625"/>
    <col min="13825" max="13825" width="9" hidden="1" customWidth="1"/>
    <col min="13826" max="13826" width="42.140625" customWidth="1"/>
    <col min="13827" max="13827" width="12.28515625" customWidth="1"/>
    <col min="13828" max="13828" width="9" hidden="1" customWidth="1"/>
    <col min="13829" max="14080" width="9.140625"/>
    <col min="14081" max="14081" width="9" hidden="1" customWidth="1"/>
    <col min="14082" max="14082" width="42.140625" customWidth="1"/>
    <col min="14083" max="14083" width="12.28515625" customWidth="1"/>
    <col min="14084" max="14084" width="9" hidden="1" customWidth="1"/>
    <col min="14085" max="14336" width="9.140625"/>
    <col min="14337" max="14337" width="9" hidden="1" customWidth="1"/>
    <col min="14338" max="14338" width="42.140625" customWidth="1"/>
    <col min="14339" max="14339" width="12.28515625" customWidth="1"/>
    <col min="14340" max="14340" width="9" hidden="1" customWidth="1"/>
    <col min="14341" max="14592" width="9.140625"/>
    <col min="14593" max="14593" width="9" hidden="1" customWidth="1"/>
    <col min="14594" max="14594" width="42.140625" customWidth="1"/>
    <col min="14595" max="14595" width="12.28515625" customWidth="1"/>
    <col min="14596" max="14596" width="9" hidden="1" customWidth="1"/>
    <col min="14597" max="14848" width="9.140625"/>
    <col min="14849" max="14849" width="9" hidden="1" customWidth="1"/>
    <col min="14850" max="14850" width="42.140625" customWidth="1"/>
    <col min="14851" max="14851" width="12.28515625" customWidth="1"/>
    <col min="14852" max="14852" width="9" hidden="1" customWidth="1"/>
    <col min="14853" max="15104" width="9.140625"/>
    <col min="15105" max="15105" width="9" hidden="1" customWidth="1"/>
    <col min="15106" max="15106" width="42.140625" customWidth="1"/>
    <col min="15107" max="15107" width="12.28515625" customWidth="1"/>
    <col min="15108" max="15108" width="9" hidden="1" customWidth="1"/>
    <col min="15109" max="15360" width="9.140625"/>
    <col min="15361" max="15361" width="9" hidden="1" customWidth="1"/>
    <col min="15362" max="15362" width="42.140625" customWidth="1"/>
    <col min="15363" max="15363" width="12.28515625" customWidth="1"/>
    <col min="15364" max="15364" width="9" hidden="1" customWidth="1"/>
    <col min="15365" max="15616" width="9.140625"/>
    <col min="15617" max="15617" width="9" hidden="1" customWidth="1"/>
    <col min="15618" max="15618" width="42.140625" customWidth="1"/>
    <col min="15619" max="15619" width="12.28515625" customWidth="1"/>
    <col min="15620" max="15620" width="9" hidden="1" customWidth="1"/>
    <col min="15621" max="15872" width="9.140625"/>
    <col min="15873" max="15873" width="9" hidden="1" customWidth="1"/>
    <col min="15874" max="15874" width="42.140625" customWidth="1"/>
    <col min="15875" max="15875" width="12.28515625" customWidth="1"/>
    <col min="15876" max="15876" width="9" hidden="1" customWidth="1"/>
    <col min="15877" max="16128" width="9.140625"/>
    <col min="16129" max="16129" width="9" hidden="1" customWidth="1"/>
    <col min="16130" max="16130" width="42.140625" customWidth="1"/>
    <col min="16131" max="16131" width="12.28515625" customWidth="1"/>
    <col min="16132" max="16132" width="9" hidden="1" customWidth="1"/>
    <col min="16133" max="16384" width="9.140625"/>
  </cols>
  <sheetData>
    <row r="1" spans="1:3" ht="16.5" customHeight="1">
      <c r="A1" s="260" t="s">
        <v>606</v>
      </c>
      <c r="B1" s="261"/>
      <c r="C1" s="261"/>
    </row>
    <row r="2" spans="1:3" ht="3.2" customHeight="1"/>
    <row r="3" spans="1:3" ht="15.6" customHeight="1">
      <c r="A3" s="262" t="s">
        <v>607</v>
      </c>
      <c r="B3" s="261"/>
      <c r="C3" s="261"/>
    </row>
    <row r="4" spans="1:3" ht="2.4500000000000002" customHeight="1"/>
    <row r="5" spans="1:3" ht="15.6" customHeight="1">
      <c r="A5" s="262" t="s">
        <v>608</v>
      </c>
      <c r="B5" s="261"/>
      <c r="C5" s="261"/>
    </row>
    <row r="6" spans="1:3" ht="3" customHeight="1"/>
    <row r="7" spans="1:3" ht="74.849999999999994" customHeight="1">
      <c r="B7" s="262" t="s">
        <v>609</v>
      </c>
      <c r="C7" s="261"/>
    </row>
    <row r="8" spans="1:3" ht="7.35" customHeight="1"/>
    <row r="9" spans="1:3" ht="2.4500000000000002" customHeight="1">
      <c r="B9" s="36"/>
      <c r="C9" s="36"/>
    </row>
    <row r="10" spans="1:3" ht="1.5" customHeight="1"/>
    <row r="11" spans="1:3" ht="18" customHeight="1">
      <c r="B11" s="263" t="s">
        <v>610</v>
      </c>
      <c r="C11" s="264"/>
    </row>
    <row r="12" spans="1:3">
      <c r="B12" s="37" t="s">
        <v>611</v>
      </c>
      <c r="C12" s="38" t="s">
        <v>612</v>
      </c>
    </row>
    <row r="13" spans="1:3" ht="18" customHeight="1">
      <c r="B13" s="258" t="s">
        <v>607</v>
      </c>
      <c r="C13" s="259"/>
    </row>
    <row r="14" spans="1:3" ht="16.5" customHeight="1">
      <c r="B14" s="258" t="s">
        <v>613</v>
      </c>
      <c r="C14" s="259"/>
    </row>
    <row r="15" spans="1:3">
      <c r="B15" s="39" t="s">
        <v>614</v>
      </c>
      <c r="C15" s="40">
        <v>149802.58755639999</v>
      </c>
    </row>
    <row r="16" spans="1:3">
      <c r="B16" s="39" t="s">
        <v>615</v>
      </c>
      <c r="C16" s="40">
        <v>1.3482651000000001</v>
      </c>
    </row>
    <row r="17" spans="2:3">
      <c r="B17" s="39" t="s">
        <v>616</v>
      </c>
      <c r="C17" s="40">
        <v>15845.06861</v>
      </c>
    </row>
    <row r="18" spans="2:3">
      <c r="B18" s="39" t="s">
        <v>617</v>
      </c>
      <c r="C18" s="40">
        <v>12.8145439</v>
      </c>
    </row>
    <row r="19" spans="2:3">
      <c r="B19" s="39" t="s">
        <v>618</v>
      </c>
      <c r="C19" s="40">
        <v>269667.07574649999</v>
      </c>
    </row>
    <row r="20" spans="2:3">
      <c r="B20" s="41" t="s">
        <v>619</v>
      </c>
      <c r="C20" s="40">
        <v>435328.8947219</v>
      </c>
    </row>
    <row r="21" spans="2:3" ht="16.5" customHeight="1">
      <c r="B21" s="258" t="s">
        <v>620</v>
      </c>
      <c r="C21" s="259"/>
    </row>
    <row r="22" spans="2:3">
      <c r="B22" s="39" t="s">
        <v>621</v>
      </c>
      <c r="C22" s="40">
        <v>-0.2</v>
      </c>
    </row>
    <row r="23" spans="2:3">
      <c r="B23" s="39" t="s">
        <v>622</v>
      </c>
      <c r="C23" s="40">
        <v>-0.41554930000000001</v>
      </c>
    </row>
    <row r="24" spans="2:3">
      <c r="B24" s="39" t="s">
        <v>623</v>
      </c>
      <c r="C24" s="40">
        <v>-951.10331650000001</v>
      </c>
    </row>
    <row r="25" spans="2:3">
      <c r="B25" s="39" t="s">
        <v>624</v>
      </c>
      <c r="C25" s="40">
        <v>-0.44614500000000001</v>
      </c>
    </row>
    <row r="26" spans="2:3">
      <c r="B26" s="39" t="s">
        <v>625</v>
      </c>
      <c r="C26" s="40">
        <v>-1.84317</v>
      </c>
    </row>
    <row r="27" spans="2:3">
      <c r="B27" s="39" t="s">
        <v>626</v>
      </c>
      <c r="C27" s="40">
        <v>-3.9189999999999997E-3</v>
      </c>
    </row>
    <row r="28" spans="2:3">
      <c r="B28" s="39" t="s">
        <v>627</v>
      </c>
      <c r="C28" s="40">
        <v>-12.465114</v>
      </c>
    </row>
    <row r="29" spans="2:3">
      <c r="B29" s="39" t="s">
        <v>628</v>
      </c>
      <c r="C29" s="40">
        <v>-11864.021516000001</v>
      </c>
    </row>
    <row r="30" spans="2:3">
      <c r="B30" s="39" t="s">
        <v>629</v>
      </c>
      <c r="C30" s="40">
        <v>-150840.21628630001</v>
      </c>
    </row>
    <row r="31" spans="2:3">
      <c r="B31" s="41" t="s">
        <v>630</v>
      </c>
      <c r="C31" s="40">
        <v>-163670.7150161</v>
      </c>
    </row>
    <row r="32" spans="2:3" ht="22.5">
      <c r="B32" s="41" t="s">
        <v>631</v>
      </c>
      <c r="C32" s="40">
        <v>271658.17970580002</v>
      </c>
    </row>
    <row r="33" spans="2:3" ht="16.5" customHeight="1">
      <c r="B33" s="258" t="s">
        <v>632</v>
      </c>
      <c r="C33" s="259"/>
    </row>
    <row r="34" spans="2:3">
      <c r="B34" s="39" t="s">
        <v>154</v>
      </c>
      <c r="C34" s="40">
        <v>732.48434999999995</v>
      </c>
    </row>
    <row r="35" spans="2:3">
      <c r="B35" s="39" t="s">
        <v>155</v>
      </c>
      <c r="C35" s="40">
        <v>9713.8683251000002</v>
      </c>
    </row>
    <row r="36" spans="2:3">
      <c r="B36" s="39" t="s">
        <v>157</v>
      </c>
      <c r="C36" s="40">
        <v>24201.499166599999</v>
      </c>
    </row>
    <row r="37" spans="2:3">
      <c r="B37" s="39" t="s">
        <v>159</v>
      </c>
      <c r="C37" s="40">
        <v>4267.7469222999998</v>
      </c>
    </row>
    <row r="38" spans="2:3">
      <c r="B38" s="39" t="s">
        <v>160</v>
      </c>
      <c r="C38" s="40">
        <v>52.102574099999998</v>
      </c>
    </row>
    <row r="39" spans="2:3">
      <c r="B39" s="39" t="s">
        <v>161</v>
      </c>
      <c r="C39" s="40">
        <v>2323.8338899999999</v>
      </c>
    </row>
    <row r="40" spans="2:3">
      <c r="B40" s="39" t="s">
        <v>107</v>
      </c>
      <c r="C40" s="40">
        <v>1528.3534497999999</v>
      </c>
    </row>
    <row r="41" spans="2:3">
      <c r="B41" s="39" t="s">
        <v>109</v>
      </c>
      <c r="C41" s="40">
        <v>3520.6037099999999</v>
      </c>
    </row>
    <row r="42" spans="2:3">
      <c r="B42" s="39" t="s">
        <v>163</v>
      </c>
      <c r="C42" s="40">
        <v>7.9784999999999995E-2</v>
      </c>
    </row>
    <row r="43" spans="2:3">
      <c r="B43" s="39" t="s">
        <v>111</v>
      </c>
      <c r="C43" s="40">
        <v>1951.0599571</v>
      </c>
    </row>
    <row r="44" spans="2:3">
      <c r="B44" s="39" t="s">
        <v>164</v>
      </c>
      <c r="C44" s="40">
        <v>1228.0061972999999</v>
      </c>
    </row>
    <row r="45" spans="2:3">
      <c r="B45" s="39" t="s">
        <v>114</v>
      </c>
      <c r="C45" s="40">
        <v>1820.7996284000001</v>
      </c>
    </row>
    <row r="46" spans="2:3">
      <c r="B46" s="39" t="s">
        <v>116</v>
      </c>
      <c r="C46" s="40">
        <v>12404.021138100001</v>
      </c>
    </row>
    <row r="47" spans="2:3">
      <c r="B47" s="39" t="s">
        <v>119</v>
      </c>
      <c r="C47" s="40">
        <v>1459.9740400000001</v>
      </c>
    </row>
    <row r="48" spans="2:3">
      <c r="B48" s="39" t="s">
        <v>121</v>
      </c>
      <c r="C48" s="40">
        <v>4183.4256097999996</v>
      </c>
    </row>
    <row r="49" spans="2:3">
      <c r="B49" s="39" t="s">
        <v>123</v>
      </c>
      <c r="C49" s="40">
        <v>11815.863827499999</v>
      </c>
    </row>
    <row r="50" spans="2:3">
      <c r="B50" s="39" t="s">
        <v>125</v>
      </c>
      <c r="C50" s="40">
        <v>10444.9655781</v>
      </c>
    </row>
    <row r="51" spans="2:3">
      <c r="B51" s="39" t="s">
        <v>169</v>
      </c>
      <c r="C51" s="40">
        <v>645.41478270000005</v>
      </c>
    </row>
    <row r="52" spans="2:3">
      <c r="B52" s="39" t="s">
        <v>170</v>
      </c>
      <c r="C52" s="40">
        <v>338.11128939999998</v>
      </c>
    </row>
    <row r="53" spans="2:3">
      <c r="B53" s="39" t="s">
        <v>172</v>
      </c>
      <c r="C53" s="40">
        <v>4208.1802379999999</v>
      </c>
    </row>
    <row r="54" spans="2:3">
      <c r="B54" s="39" t="s">
        <v>128</v>
      </c>
      <c r="C54" s="40">
        <v>14318.304987199999</v>
      </c>
    </row>
    <row r="55" spans="2:3">
      <c r="B55" s="39" t="s">
        <v>130</v>
      </c>
      <c r="C55" s="40">
        <v>15993.8651066</v>
      </c>
    </row>
    <row r="56" spans="2:3">
      <c r="B56" s="39" t="s">
        <v>174</v>
      </c>
      <c r="C56" s="40">
        <v>159.53820999999999</v>
      </c>
    </row>
    <row r="57" spans="2:3">
      <c r="B57" s="39" t="s">
        <v>175</v>
      </c>
      <c r="C57" s="40">
        <v>6817.3563459999996</v>
      </c>
    </row>
    <row r="58" spans="2:3">
      <c r="B58" s="39" t="s">
        <v>178</v>
      </c>
      <c r="C58" s="40">
        <v>1544.7247500000001</v>
      </c>
    </row>
    <row r="59" spans="2:3">
      <c r="B59" s="39" t="s">
        <v>181</v>
      </c>
      <c r="C59" s="40">
        <v>4091.6030884000002</v>
      </c>
    </row>
    <row r="60" spans="2:3">
      <c r="B60" s="39" t="s">
        <v>183</v>
      </c>
      <c r="C60" s="40">
        <v>2605.6085010000002</v>
      </c>
    </row>
    <row r="61" spans="2:3">
      <c r="B61" s="39" t="s">
        <v>133</v>
      </c>
      <c r="C61" s="40">
        <v>144.84959900000001</v>
      </c>
    </row>
    <row r="62" spans="2:3">
      <c r="B62" s="39" t="s">
        <v>135</v>
      </c>
      <c r="C62" s="40">
        <v>4364.3474347000001</v>
      </c>
    </row>
    <row r="63" spans="2:3">
      <c r="B63" s="39" t="s">
        <v>185</v>
      </c>
      <c r="C63" s="40">
        <v>21.112649999999999</v>
      </c>
    </row>
    <row r="64" spans="2:3">
      <c r="B64" s="39" t="s">
        <v>186</v>
      </c>
      <c r="C64" s="40">
        <v>6146.9030966999999</v>
      </c>
    </row>
    <row r="65" spans="2:3">
      <c r="B65" s="39" t="s">
        <v>187</v>
      </c>
      <c r="C65" s="40">
        <v>17139.4536013</v>
      </c>
    </row>
    <row r="66" spans="2:3">
      <c r="B66" s="39" t="s">
        <v>188</v>
      </c>
      <c r="C66" s="40">
        <v>262.01970649999998</v>
      </c>
    </row>
    <row r="67" spans="2:3">
      <c r="B67" s="39" t="s">
        <v>189</v>
      </c>
      <c r="C67" s="40">
        <v>4407.6262546999997</v>
      </c>
    </row>
    <row r="68" spans="2:3">
      <c r="B68" s="39" t="s">
        <v>633</v>
      </c>
      <c r="C68" s="40">
        <v>-6.6779999999999997E-4</v>
      </c>
    </row>
    <row r="69" spans="2:3">
      <c r="B69" s="39" t="s">
        <v>190</v>
      </c>
      <c r="C69" s="40">
        <v>1053.6967402</v>
      </c>
    </row>
    <row r="70" spans="2:3">
      <c r="B70" s="39" t="s">
        <v>137</v>
      </c>
      <c r="C70" s="40">
        <v>11749.1657349</v>
      </c>
    </row>
    <row r="71" spans="2:3">
      <c r="B71" s="39" t="s">
        <v>140</v>
      </c>
      <c r="C71" s="40">
        <v>788.3827612</v>
      </c>
    </row>
    <row r="72" spans="2:3">
      <c r="B72" s="39" t="s">
        <v>191</v>
      </c>
      <c r="C72" s="40">
        <v>262.39499999999998</v>
      </c>
    </row>
    <row r="73" spans="2:3">
      <c r="B73" s="39" t="s">
        <v>192</v>
      </c>
      <c r="C73" s="40">
        <v>4100.40218</v>
      </c>
    </row>
    <row r="74" spans="2:3">
      <c r="B74" s="39" t="s">
        <v>193</v>
      </c>
      <c r="C74" s="40">
        <v>16366.257919600001</v>
      </c>
    </row>
    <row r="75" spans="2:3">
      <c r="B75" s="39" t="s">
        <v>196</v>
      </c>
      <c r="C75" s="40">
        <v>1437.3091199999999</v>
      </c>
    </row>
    <row r="76" spans="2:3">
      <c r="B76" s="39" t="s">
        <v>198</v>
      </c>
      <c r="C76" s="40">
        <v>1664.3775000000001</v>
      </c>
    </row>
    <row r="77" spans="2:3">
      <c r="B77" s="39" t="s">
        <v>199</v>
      </c>
      <c r="C77" s="40">
        <v>140.55776</v>
      </c>
    </row>
    <row r="78" spans="2:3">
      <c r="B78" s="39" t="s">
        <v>201</v>
      </c>
      <c r="C78" s="40">
        <v>1540.0889999999999</v>
      </c>
    </row>
    <row r="79" spans="2:3">
      <c r="B79" s="39" t="s">
        <v>202</v>
      </c>
      <c r="C79" s="40">
        <v>1663.9056700000001</v>
      </c>
    </row>
    <row r="80" spans="2:3">
      <c r="B80" s="39" t="s">
        <v>203</v>
      </c>
      <c r="C80" s="40">
        <v>12.9975</v>
      </c>
    </row>
    <row r="81" spans="2:3">
      <c r="B81" s="39" t="s">
        <v>204</v>
      </c>
      <c r="C81" s="40">
        <v>6423.4095252999996</v>
      </c>
    </row>
    <row r="82" spans="2:3">
      <c r="B82" s="39" t="s">
        <v>205</v>
      </c>
      <c r="C82" s="40">
        <v>6453.9170987999996</v>
      </c>
    </row>
    <row r="83" spans="2:3">
      <c r="B83" s="39" t="s">
        <v>211</v>
      </c>
      <c r="C83" s="40">
        <v>3884.7355299999999</v>
      </c>
    </row>
    <row r="84" spans="2:3">
      <c r="B84" s="39" t="s">
        <v>143</v>
      </c>
      <c r="C84" s="40">
        <v>2156.7744185000001</v>
      </c>
    </row>
    <row r="85" spans="2:3">
      <c r="B85" s="39" t="s">
        <v>145</v>
      </c>
      <c r="C85" s="40">
        <v>18260.3227377</v>
      </c>
    </row>
    <row r="86" spans="2:3">
      <c r="B86" s="39" t="s">
        <v>215</v>
      </c>
      <c r="C86" s="40">
        <v>1085.8193601</v>
      </c>
    </row>
    <row r="87" spans="2:3">
      <c r="B87" s="39" t="s">
        <v>216</v>
      </c>
      <c r="C87" s="40">
        <v>7.6502000000000002E-3</v>
      </c>
    </row>
    <row r="88" spans="2:3">
      <c r="B88" s="39" t="s">
        <v>217</v>
      </c>
      <c r="C88" s="40">
        <v>429.0533858</v>
      </c>
    </row>
    <row r="89" spans="2:3">
      <c r="B89" s="39" t="s">
        <v>218</v>
      </c>
      <c r="C89" s="40">
        <v>1767.4984234999999</v>
      </c>
    </row>
    <row r="90" spans="2:3">
      <c r="B90" s="39" t="s">
        <v>219</v>
      </c>
      <c r="C90" s="40">
        <v>83.781833399999996</v>
      </c>
    </row>
    <row r="91" spans="2:3">
      <c r="B91" s="39" t="s">
        <v>148</v>
      </c>
      <c r="C91" s="40">
        <v>2546.9368608</v>
      </c>
    </row>
    <row r="92" spans="2:3">
      <c r="B92" s="39" t="s">
        <v>220</v>
      </c>
      <c r="C92" s="40">
        <v>172.08359999999999</v>
      </c>
    </row>
    <row r="93" spans="2:3">
      <c r="B93" s="39" t="s">
        <v>221</v>
      </c>
      <c r="C93" s="40">
        <v>5058.9892347000005</v>
      </c>
    </row>
    <row r="94" spans="2:3">
      <c r="B94" s="39" t="s">
        <v>222</v>
      </c>
      <c r="C94" s="40">
        <v>1528.6163503</v>
      </c>
    </row>
    <row r="95" spans="2:3">
      <c r="B95" s="39" t="s">
        <v>223</v>
      </c>
      <c r="C95" s="40">
        <v>1.6670000000000001E-2</v>
      </c>
    </row>
    <row r="96" spans="2:3">
      <c r="B96" s="39" t="s">
        <v>151</v>
      </c>
      <c r="C96" s="40">
        <v>6168.9714560000002</v>
      </c>
    </row>
    <row r="97" spans="1:3">
      <c r="B97" s="41" t="s">
        <v>634</v>
      </c>
      <c r="C97" s="40">
        <v>271658.17814460001</v>
      </c>
    </row>
    <row r="98" spans="1:3" ht="16.5" customHeight="1">
      <c r="B98" s="258" t="s">
        <v>635</v>
      </c>
      <c r="C98" s="259"/>
    </row>
    <row r="99" spans="1:3">
      <c r="B99" s="39" t="s">
        <v>111</v>
      </c>
      <c r="C99" s="40">
        <v>0.76977399999999996</v>
      </c>
    </row>
    <row r="100" spans="1:3">
      <c r="B100" s="39" t="s">
        <v>125</v>
      </c>
      <c r="C100" s="40">
        <v>2290.2194020000002</v>
      </c>
    </row>
    <row r="101" spans="1:3">
      <c r="B101" s="39" t="s">
        <v>172</v>
      </c>
      <c r="C101" s="40">
        <v>231.23249999999999</v>
      </c>
    </row>
    <row r="102" spans="1:3">
      <c r="B102" s="39" t="s">
        <v>128</v>
      </c>
      <c r="C102" s="40">
        <v>65.363759999999999</v>
      </c>
    </row>
    <row r="103" spans="1:3">
      <c r="B103" s="39" t="s">
        <v>175</v>
      </c>
      <c r="C103" s="40">
        <v>0.15</v>
      </c>
    </row>
    <row r="104" spans="1:3">
      <c r="B104" s="39" t="s">
        <v>200</v>
      </c>
      <c r="C104" s="40">
        <v>7.4999999999999997E-3</v>
      </c>
    </row>
    <row r="105" spans="1:3">
      <c r="B105" s="39" t="s">
        <v>214</v>
      </c>
      <c r="C105" s="40">
        <v>324.57504</v>
      </c>
    </row>
    <row r="106" spans="1:3">
      <c r="B106" s="39" t="s">
        <v>145</v>
      </c>
      <c r="C106" s="40">
        <v>320.39326460000001</v>
      </c>
    </row>
    <row r="107" spans="1:3">
      <c r="B107" s="39" t="s">
        <v>223</v>
      </c>
      <c r="C107" s="40">
        <v>2.2499999999999999E-2</v>
      </c>
    </row>
    <row r="108" spans="1:3">
      <c r="B108" s="39" t="s">
        <v>151</v>
      </c>
      <c r="C108" s="40">
        <v>84.569090000000003</v>
      </c>
    </row>
    <row r="109" spans="1:3">
      <c r="B109" s="42" t="s">
        <v>636</v>
      </c>
      <c r="C109" s="43">
        <v>3317.3028306000001</v>
      </c>
    </row>
    <row r="110" spans="1:3" ht="15" hidden="1" customHeight="1"/>
    <row r="111" spans="1:3" ht="10.9" customHeight="1"/>
    <row r="112" spans="1:3">
      <c r="A112" s="254" t="s">
        <v>634</v>
      </c>
      <c r="B112" s="255"/>
      <c r="C112" s="44">
        <v>271658.17814460001</v>
      </c>
    </row>
    <row r="113" spans="2:3" ht="14.45" customHeight="1"/>
    <row r="114" spans="2:3" ht="18" customHeight="1">
      <c r="B114" s="256" t="s">
        <v>637</v>
      </c>
      <c r="C114" s="257"/>
    </row>
    <row r="115" spans="2:3">
      <c r="B115" s="45" t="s">
        <v>638</v>
      </c>
      <c r="C115" s="45" t="s">
        <v>612</v>
      </c>
    </row>
    <row r="116" spans="2:3">
      <c r="B116" s="46" t="s">
        <v>607</v>
      </c>
      <c r="C116" s="47">
        <v>1071.625</v>
      </c>
    </row>
    <row r="117" spans="2:3">
      <c r="B117" s="48" t="s">
        <v>639</v>
      </c>
      <c r="C117" s="49">
        <v>1071.625</v>
      </c>
    </row>
  </sheetData>
  <mergeCells count="12">
    <mergeCell ref="A1:C1"/>
    <mergeCell ref="A3:C3"/>
    <mergeCell ref="A5:C5"/>
    <mergeCell ref="B7:C7"/>
    <mergeCell ref="B11:C11"/>
    <mergeCell ref="A112:B112"/>
    <mergeCell ref="B114:C114"/>
    <mergeCell ref="B13:C13"/>
    <mergeCell ref="B14:C14"/>
    <mergeCell ref="B21:C21"/>
    <mergeCell ref="B33:C33"/>
    <mergeCell ref="B98:C98"/>
  </mergeCells>
  <pageMargins left="0.75" right="0.75" top="1" bottom="1" header="0" footer="0"/>
  <pageSetup orientation="portrait" r:id="rId1"/>
  <headerFooter alignWithMargins="0">
    <oddFooter>&amp;L&amp;"Arial"&amp;9Page &amp;P of &amp;N &amp;R&amp;"Arial"&amp;8 8/20/2025 3:10:56 PM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 filterMode="1"/>
  <dimension ref="A2:R46"/>
  <sheetViews>
    <sheetView showGridLines="0" workbookViewId="0">
      <pane ySplit="1" topLeftCell="A4" activePane="bottomLeft" state="frozen"/>
      <selection pane="bottomLeft" activeCell="E41" sqref="A39:E41"/>
    </sheetView>
  </sheetViews>
  <sheetFormatPr defaultColWidth="8.85546875" defaultRowHeight="12.75"/>
  <cols>
    <col min="1" max="1" width="24.7109375" style="14" customWidth="1"/>
    <col min="2" max="9" width="13.7109375" style="14" customWidth="1"/>
    <col min="10" max="10" width="2.7109375" style="15" customWidth="1"/>
    <col min="11" max="13" width="8.85546875" style="14"/>
    <col min="14" max="15" width="14" style="14" customWidth="1"/>
    <col min="16" max="16" width="9.28515625" style="14" customWidth="1"/>
    <col min="17" max="17" width="18.42578125" style="14" customWidth="1"/>
    <col min="18" max="16384" width="8.85546875" style="14"/>
  </cols>
  <sheetData>
    <row r="2" spans="1:18">
      <c r="A2" s="265" t="s">
        <v>606</v>
      </c>
      <c r="B2" s="266"/>
      <c r="C2" s="266"/>
      <c r="D2" s="266"/>
      <c r="E2" s="266"/>
      <c r="F2" s="266"/>
      <c r="G2" s="266"/>
      <c r="H2" s="266"/>
      <c r="I2" s="266"/>
    </row>
    <row r="3" spans="1:18">
      <c r="A3" s="265" t="s">
        <v>607</v>
      </c>
      <c r="B3" s="266"/>
      <c r="C3" s="266"/>
      <c r="D3" s="266"/>
      <c r="E3" s="266"/>
      <c r="F3" s="266"/>
      <c r="G3" s="266"/>
      <c r="H3" s="266"/>
      <c r="I3" s="266"/>
    </row>
    <row r="4" spans="1:18" ht="32.450000000000003" customHeight="1">
      <c r="A4" s="265" t="s">
        <v>640</v>
      </c>
      <c r="B4" s="266"/>
      <c r="C4" s="266"/>
      <c r="D4" s="266"/>
      <c r="E4" s="266"/>
      <c r="F4" s="266"/>
      <c r="G4" s="266"/>
      <c r="H4" s="266"/>
      <c r="I4" s="266"/>
    </row>
    <row r="5" spans="1:18" ht="51" customHeight="1">
      <c r="A5" s="265" t="s">
        <v>641</v>
      </c>
      <c r="B5" s="266"/>
      <c r="C5" s="266"/>
      <c r="D5" s="266"/>
      <c r="E5" s="266"/>
      <c r="F5" s="266"/>
      <c r="G5" s="266"/>
    </row>
    <row r="6" spans="1:18" ht="33.75">
      <c r="A6" s="16" t="s">
        <v>38</v>
      </c>
      <c r="B6" s="16" t="s">
        <v>39</v>
      </c>
      <c r="C6" s="16" t="s">
        <v>40</v>
      </c>
      <c r="D6" s="16" t="s">
        <v>41</v>
      </c>
      <c r="E6" s="16" t="s">
        <v>42</v>
      </c>
      <c r="F6" s="16" t="s">
        <v>43</v>
      </c>
      <c r="G6" s="16" t="s">
        <v>44</v>
      </c>
      <c r="H6" s="16" t="s">
        <v>45</v>
      </c>
      <c r="I6" s="16" t="s">
        <v>46</v>
      </c>
      <c r="J6" s="22"/>
      <c r="K6" s="23" t="s">
        <v>47</v>
      </c>
      <c r="L6" s="23" t="s">
        <v>48</v>
      </c>
      <c r="M6" s="23" t="s">
        <v>642</v>
      </c>
      <c r="N6" s="23" t="s">
        <v>643</v>
      </c>
      <c r="O6" s="23" t="s">
        <v>644</v>
      </c>
      <c r="P6" s="23" t="s">
        <v>645</v>
      </c>
      <c r="Q6" s="14" t="s">
        <v>646</v>
      </c>
      <c r="R6" s="14" t="s">
        <v>647</v>
      </c>
    </row>
    <row r="7" spans="1:18" ht="15" hidden="1">
      <c r="A7" s="17" t="s">
        <v>49</v>
      </c>
      <c r="B7" s="18">
        <v>9069.9870100000007</v>
      </c>
      <c r="C7" s="18">
        <v>9056.0773099005</v>
      </c>
      <c r="D7" s="18">
        <v>13.690340000000001</v>
      </c>
      <c r="E7" s="18">
        <v>0</v>
      </c>
      <c r="F7" s="18">
        <v>0</v>
      </c>
      <c r="G7" s="18">
        <v>0.21936011629999999</v>
      </c>
      <c r="H7" s="18">
        <v>-3.2199999999999997E-8</v>
      </c>
      <c r="I7" s="18">
        <v>1.5399999999999999E-8</v>
      </c>
      <c r="J7" s="24"/>
      <c r="K7" s="25">
        <f t="shared" ref="K7:K38" si="0">G7+H7</f>
        <v>0.21936008409999999</v>
      </c>
      <c r="L7" s="26">
        <f t="shared" ref="L7:L38" si="1">K7/(C7+D7+E7+F7)</f>
        <v>2.4185854871641225E-5</v>
      </c>
      <c r="M7" s="27"/>
      <c r="N7" s="28">
        <f>+M7/K7</f>
        <v>0</v>
      </c>
      <c r="O7" s="29">
        <f>+K7-M7</f>
        <v>0.21936008409999999</v>
      </c>
      <c r="P7" s="26">
        <f>O7/(C7+D7+E7+F7)</f>
        <v>2.4185854871641225E-5</v>
      </c>
      <c r="Q7" s="34">
        <f>B7-C7-D7-E7-F7</f>
        <v>0.21936009950069568</v>
      </c>
      <c r="R7" s="35">
        <f>Q7-G7</f>
        <v>-1.6799304308756646E-8</v>
      </c>
    </row>
    <row r="8" spans="1:18" ht="15" hidden="1">
      <c r="A8" s="17" t="s">
        <v>51</v>
      </c>
      <c r="B8" s="18">
        <v>2798.2660700000001</v>
      </c>
      <c r="C8" s="18">
        <v>2586.78631</v>
      </c>
      <c r="D8" s="18">
        <v>205.91587000000001</v>
      </c>
      <c r="E8" s="18">
        <v>0</v>
      </c>
      <c r="F8" s="18">
        <v>5.0595999999999997</v>
      </c>
      <c r="G8" s="18">
        <v>0.50429000000000002</v>
      </c>
      <c r="H8" s="18">
        <v>0</v>
      </c>
      <c r="I8" s="18">
        <v>0</v>
      </c>
      <c r="J8" s="24"/>
      <c r="K8" s="25">
        <f t="shared" si="0"/>
        <v>0.50429000000000002</v>
      </c>
      <c r="L8" s="26">
        <f t="shared" si="1"/>
        <v>1.8024765496653546E-4</v>
      </c>
      <c r="M8" s="27"/>
      <c r="N8" s="28">
        <f t="shared" ref="N8:N38" si="2">+M8/K8</f>
        <v>0</v>
      </c>
      <c r="O8" s="29">
        <f t="shared" ref="O8:O38" si="3">+K8-M8</f>
        <v>0.50429000000000002</v>
      </c>
      <c r="P8" s="26">
        <f t="shared" ref="P8:P38" si="4">O8/(C8+D8+E8+F8)</f>
        <v>1.8024765496653546E-4</v>
      </c>
      <c r="Q8" s="34">
        <f t="shared" ref="Q8:Q38" si="5">B8-C8-D8-E8-F8</f>
        <v>0.50429000000015733</v>
      </c>
      <c r="R8" s="35">
        <f t="shared" ref="R8:R38" si="6">Q8-G8</f>
        <v>1.5731860258938468E-13</v>
      </c>
    </row>
    <row r="9" spans="1:18" ht="15" hidden="1">
      <c r="A9" s="17" t="s">
        <v>53</v>
      </c>
      <c r="B9" s="18">
        <v>4588.0371869999999</v>
      </c>
      <c r="C9" s="18">
        <v>4398.2574699999996</v>
      </c>
      <c r="D9" s="18">
        <v>12.633599999999999</v>
      </c>
      <c r="E9" s="18">
        <v>0</v>
      </c>
      <c r="F9" s="18">
        <v>176.48308</v>
      </c>
      <c r="G9" s="18">
        <v>0.66303699999999999</v>
      </c>
      <c r="H9" s="18">
        <v>0</v>
      </c>
      <c r="I9" s="18">
        <v>0</v>
      </c>
      <c r="J9" s="24"/>
      <c r="K9" s="25">
        <f t="shared" si="0"/>
        <v>0.66303699999999999</v>
      </c>
      <c r="L9" s="26">
        <f t="shared" si="1"/>
        <v>1.4453519122698986E-4</v>
      </c>
      <c r="M9" s="27"/>
      <c r="N9" s="28">
        <f t="shared" si="2"/>
        <v>0</v>
      </c>
      <c r="O9" s="29">
        <f t="shared" si="3"/>
        <v>0.66303699999999999</v>
      </c>
      <c r="P9" s="26">
        <f t="shared" si="4"/>
        <v>1.4453519122698986E-4</v>
      </c>
      <c r="Q9" s="34">
        <f t="shared" si="5"/>
        <v>0.66303700000034382</v>
      </c>
      <c r="R9" s="35">
        <f t="shared" si="6"/>
        <v>3.4383607072641098E-13</v>
      </c>
    </row>
    <row r="10" spans="1:18" ht="15" hidden="1">
      <c r="A10" s="17" t="s">
        <v>54</v>
      </c>
      <c r="B10" s="18">
        <v>3094.6741699999998</v>
      </c>
      <c r="C10" s="18">
        <v>2688.2987170000001</v>
      </c>
      <c r="D10" s="18">
        <v>370.67799300000001</v>
      </c>
      <c r="E10" s="18">
        <v>0</v>
      </c>
      <c r="F10" s="18">
        <v>35.326500000000003</v>
      </c>
      <c r="G10" s="18">
        <v>0.37096000000000001</v>
      </c>
      <c r="H10" s="18">
        <v>0</v>
      </c>
      <c r="I10" s="18">
        <v>0</v>
      </c>
      <c r="J10" s="24"/>
      <c r="K10" s="25">
        <f t="shared" si="0"/>
        <v>0.37096000000000001</v>
      </c>
      <c r="L10" s="26">
        <f t="shared" si="1"/>
        <v>1.1988482537882898E-4</v>
      </c>
      <c r="M10" s="27"/>
      <c r="N10" s="28">
        <f t="shared" si="2"/>
        <v>0</v>
      </c>
      <c r="O10" s="29">
        <f t="shared" si="3"/>
        <v>0.37096000000000001</v>
      </c>
      <c r="P10" s="26">
        <f t="shared" si="4"/>
        <v>1.1988482537882898E-4</v>
      </c>
      <c r="Q10" s="34">
        <f t="shared" si="5"/>
        <v>0.37095999999963425</v>
      </c>
      <c r="R10" s="35">
        <f t="shared" si="6"/>
        <v>-3.6576297546275782E-13</v>
      </c>
    </row>
    <row r="11" spans="1:18" ht="15" hidden="1">
      <c r="A11" s="17" t="s">
        <v>55</v>
      </c>
      <c r="B11" s="18">
        <v>1675.7808810721999</v>
      </c>
      <c r="C11" s="18">
        <v>1654.1029863085</v>
      </c>
      <c r="D11" s="18">
        <v>0</v>
      </c>
      <c r="E11" s="18">
        <v>0</v>
      </c>
      <c r="F11" s="18">
        <v>0</v>
      </c>
      <c r="G11" s="18">
        <v>21.677894763699999</v>
      </c>
      <c r="H11" s="18">
        <v>0</v>
      </c>
      <c r="I11" s="18">
        <v>0</v>
      </c>
      <c r="J11" s="24"/>
      <c r="K11" s="25">
        <f t="shared" si="0"/>
        <v>21.677894763699999</v>
      </c>
      <c r="L11" s="26">
        <f t="shared" si="1"/>
        <v>1.3105529065078989E-2</v>
      </c>
      <c r="M11" s="27"/>
      <c r="N11" s="28">
        <f t="shared" si="2"/>
        <v>0</v>
      </c>
      <c r="O11" s="29">
        <f t="shared" si="3"/>
        <v>21.677894763699999</v>
      </c>
      <c r="P11" s="26">
        <f t="shared" si="4"/>
        <v>1.3105529065078989E-2</v>
      </c>
      <c r="Q11" s="34">
        <f t="shared" si="5"/>
        <v>21.677894763699896</v>
      </c>
      <c r="R11" s="35">
        <f t="shared" si="6"/>
        <v>-1.0302869668521453E-13</v>
      </c>
    </row>
    <row r="12" spans="1:18" ht="15" hidden="1">
      <c r="A12" s="17" t="s">
        <v>56</v>
      </c>
      <c r="B12" s="18">
        <v>1202.97054</v>
      </c>
      <c r="C12" s="18">
        <v>1181.93073</v>
      </c>
      <c r="D12" s="18">
        <v>0</v>
      </c>
      <c r="E12" s="18">
        <v>0</v>
      </c>
      <c r="F12" s="18">
        <v>20.787240000000001</v>
      </c>
      <c r="G12" s="18">
        <v>0.25257000000000002</v>
      </c>
      <c r="H12" s="18">
        <v>0</v>
      </c>
      <c r="I12" s="18">
        <v>0</v>
      </c>
      <c r="J12" s="24"/>
      <c r="K12" s="25">
        <f t="shared" si="0"/>
        <v>0.25257000000000002</v>
      </c>
      <c r="L12" s="26">
        <f t="shared" si="1"/>
        <v>2.0999935670704245E-4</v>
      </c>
      <c r="M12" s="27"/>
      <c r="N12" s="28">
        <f t="shared" si="2"/>
        <v>0</v>
      </c>
      <c r="O12" s="29">
        <f t="shared" si="3"/>
        <v>0.25257000000000002</v>
      </c>
      <c r="P12" s="26">
        <f t="shared" si="4"/>
        <v>2.0999935670704245E-4</v>
      </c>
      <c r="Q12" s="34">
        <f t="shared" si="5"/>
        <v>0.25256999999998797</v>
      </c>
      <c r="R12" s="35">
        <f t="shared" si="6"/>
        <v>-1.2045919817182948E-14</v>
      </c>
    </row>
    <row r="13" spans="1:18" ht="15" hidden="1">
      <c r="A13" s="17" t="s">
        <v>57</v>
      </c>
      <c r="B13" s="18">
        <v>774.24231469999995</v>
      </c>
      <c r="C13" s="18">
        <v>728.33764470000006</v>
      </c>
      <c r="D13" s="18">
        <v>1.02704</v>
      </c>
      <c r="E13" s="18">
        <v>0</v>
      </c>
      <c r="F13" s="18">
        <v>0</v>
      </c>
      <c r="G13" s="18">
        <v>44.877630000000003</v>
      </c>
      <c r="H13" s="18">
        <v>0</v>
      </c>
      <c r="I13" s="18">
        <v>0</v>
      </c>
      <c r="J13" s="24"/>
      <c r="K13" s="25">
        <f t="shared" si="0"/>
        <v>44.877630000000003</v>
      </c>
      <c r="L13" s="26">
        <f t="shared" si="1"/>
        <v>6.1529754512941522E-2</v>
      </c>
      <c r="M13" s="27"/>
      <c r="N13" s="28">
        <f t="shared" si="2"/>
        <v>0</v>
      </c>
      <c r="O13" s="29">
        <f t="shared" si="3"/>
        <v>44.877630000000003</v>
      </c>
      <c r="P13" s="26">
        <f t="shared" si="4"/>
        <v>6.1529754512941522E-2</v>
      </c>
      <c r="Q13" s="34">
        <f t="shared" si="5"/>
        <v>44.877629999999897</v>
      </c>
      <c r="R13" s="35">
        <f t="shared" si="6"/>
        <v>-1.0658141036401503E-13</v>
      </c>
    </row>
    <row r="14" spans="1:18" ht="15" hidden="1">
      <c r="A14" s="17" t="s">
        <v>648</v>
      </c>
      <c r="B14" s="18">
        <v>179.77500000000001</v>
      </c>
      <c r="C14" s="18">
        <v>176.4</v>
      </c>
      <c r="D14" s="18">
        <v>0</v>
      </c>
      <c r="E14" s="18">
        <v>0</v>
      </c>
      <c r="F14" s="18">
        <v>3.3450000000000002</v>
      </c>
      <c r="G14" s="18">
        <v>0.03</v>
      </c>
      <c r="H14" s="18">
        <v>0</v>
      </c>
      <c r="I14" s="18">
        <v>0</v>
      </c>
      <c r="J14" s="24"/>
      <c r="K14" s="25">
        <f t="shared" si="0"/>
        <v>0.03</v>
      </c>
      <c r="L14" s="26">
        <f t="shared" si="1"/>
        <v>1.6690311274305264E-4</v>
      </c>
      <c r="M14" s="27"/>
      <c r="N14" s="28">
        <f t="shared" si="2"/>
        <v>0</v>
      </c>
      <c r="O14" s="29">
        <f t="shared" si="3"/>
        <v>0.03</v>
      </c>
      <c r="P14" s="26">
        <f t="shared" si="4"/>
        <v>1.6690311274305264E-4</v>
      </c>
      <c r="Q14" s="34">
        <f t="shared" si="5"/>
        <v>2.9999999999999805E-2</v>
      </c>
      <c r="R14" s="35">
        <f t="shared" si="6"/>
        <v>-1.9428902930940239E-16</v>
      </c>
    </row>
    <row r="15" spans="1:18" ht="15" hidden="1">
      <c r="A15" s="17" t="s">
        <v>61</v>
      </c>
      <c r="B15" s="18">
        <v>179.685</v>
      </c>
      <c r="C15" s="18">
        <v>171.75</v>
      </c>
      <c r="D15" s="18">
        <v>0</v>
      </c>
      <c r="E15" s="18">
        <v>0</v>
      </c>
      <c r="F15" s="18">
        <v>7.8975</v>
      </c>
      <c r="G15" s="18">
        <v>3.7499999999999999E-2</v>
      </c>
      <c r="H15" s="18">
        <v>0</v>
      </c>
      <c r="I15" s="18">
        <v>0</v>
      </c>
      <c r="J15" s="24"/>
      <c r="K15" s="25">
        <f t="shared" si="0"/>
        <v>3.7499999999999999E-2</v>
      </c>
      <c r="L15" s="26">
        <f t="shared" si="1"/>
        <v>2.0874211998497054E-4</v>
      </c>
      <c r="M15" s="27"/>
      <c r="N15" s="28">
        <f t="shared" si="2"/>
        <v>0</v>
      </c>
      <c r="O15" s="29">
        <f t="shared" si="3"/>
        <v>3.7499999999999999E-2</v>
      </c>
      <c r="P15" s="26">
        <f t="shared" si="4"/>
        <v>2.0874211998497054E-4</v>
      </c>
      <c r="Q15" s="34">
        <f t="shared" si="5"/>
        <v>3.7500000000002309E-2</v>
      </c>
      <c r="R15" s="35">
        <f t="shared" si="6"/>
        <v>2.310651670001107E-15</v>
      </c>
    </row>
    <row r="16" spans="1:18" ht="15">
      <c r="A16" s="17" t="s">
        <v>63</v>
      </c>
      <c r="B16" s="18">
        <v>150.2778696</v>
      </c>
      <c r="C16" s="18">
        <v>149.8428696</v>
      </c>
      <c r="D16" s="18">
        <v>0</v>
      </c>
      <c r="E16" s="18">
        <v>0</v>
      </c>
      <c r="F16" s="18">
        <v>0</v>
      </c>
      <c r="G16" s="18">
        <v>0.4425</v>
      </c>
      <c r="H16" s="18">
        <v>-7.4999999999999997E-3</v>
      </c>
      <c r="I16" s="18">
        <v>0</v>
      </c>
      <c r="J16" s="24"/>
      <c r="K16" s="25">
        <f t="shared" si="0"/>
        <v>0.435</v>
      </c>
      <c r="L16" s="26">
        <f t="shared" si="1"/>
        <v>2.903041039998876E-3</v>
      </c>
      <c r="M16" s="27"/>
      <c r="N16" s="28">
        <f t="shared" si="2"/>
        <v>0</v>
      </c>
      <c r="O16" s="29">
        <f t="shared" si="3"/>
        <v>0.435</v>
      </c>
      <c r="P16" s="26">
        <f t="shared" si="4"/>
        <v>2.903041039998876E-3</v>
      </c>
      <c r="Q16" s="34">
        <f t="shared" si="5"/>
        <v>0.43500000000000227</v>
      </c>
      <c r="R16" s="35">
        <f t="shared" si="6"/>
        <v>-7.4999999999977307E-3</v>
      </c>
    </row>
    <row r="17" spans="1:18" ht="15" hidden="1">
      <c r="A17" s="17" t="s">
        <v>64</v>
      </c>
      <c r="B17" s="18">
        <v>5.4401299999999999</v>
      </c>
      <c r="C17" s="18">
        <v>5.3355220000000001</v>
      </c>
      <c r="D17" s="18">
        <v>0</v>
      </c>
      <c r="E17" s="18">
        <v>0</v>
      </c>
      <c r="F17" s="18">
        <v>0</v>
      </c>
      <c r="G17" s="18">
        <v>0.10460800000000001</v>
      </c>
      <c r="H17" s="18">
        <v>0</v>
      </c>
      <c r="I17" s="18">
        <v>0</v>
      </c>
      <c r="J17" s="24"/>
      <c r="K17" s="25">
        <f t="shared" si="0"/>
        <v>0.10460800000000001</v>
      </c>
      <c r="L17" s="26">
        <f t="shared" si="1"/>
        <v>1.960595420654249E-2</v>
      </c>
      <c r="M17" s="27"/>
      <c r="N17" s="28">
        <f t="shared" si="2"/>
        <v>0</v>
      </c>
      <c r="O17" s="29">
        <f t="shared" si="3"/>
        <v>0.10460800000000001</v>
      </c>
      <c r="P17" s="26">
        <f t="shared" si="4"/>
        <v>1.960595420654249E-2</v>
      </c>
      <c r="Q17" s="34">
        <f t="shared" si="5"/>
        <v>0.10460799999999981</v>
      </c>
      <c r="R17" s="35">
        <f t="shared" si="6"/>
        <v>-1.9428902930940239E-16</v>
      </c>
    </row>
    <row r="18" spans="1:18" ht="15" hidden="1">
      <c r="A18" s="17" t="s">
        <v>66</v>
      </c>
      <c r="B18" s="18">
        <v>4335.4410150000003</v>
      </c>
      <c r="C18" s="18">
        <v>4261.9878550000003</v>
      </c>
      <c r="D18" s="18">
        <v>54.563479999999998</v>
      </c>
      <c r="E18" s="18">
        <v>0</v>
      </c>
      <c r="F18" s="18">
        <v>0</v>
      </c>
      <c r="G18" s="18">
        <v>18.889679999999998</v>
      </c>
      <c r="H18" s="18">
        <v>0</v>
      </c>
      <c r="I18" s="18">
        <v>0</v>
      </c>
      <c r="J18" s="24"/>
      <c r="K18" s="25">
        <f t="shared" si="0"/>
        <v>18.889679999999998</v>
      </c>
      <c r="L18" s="26">
        <f t="shared" si="1"/>
        <v>4.3761045645018372E-3</v>
      </c>
      <c r="M18" s="27"/>
      <c r="N18" s="28">
        <f t="shared" si="2"/>
        <v>0</v>
      </c>
      <c r="O18" s="29">
        <f t="shared" si="3"/>
        <v>18.889679999999998</v>
      </c>
      <c r="P18" s="26">
        <f t="shared" si="4"/>
        <v>4.3761045645018372E-3</v>
      </c>
      <c r="Q18" s="34">
        <f t="shared" si="5"/>
        <v>18.889680000000027</v>
      </c>
      <c r="R18" s="35">
        <f t="shared" si="6"/>
        <v>2.8421709430404007E-14</v>
      </c>
    </row>
    <row r="19" spans="1:18" ht="15" hidden="1">
      <c r="A19" s="17" t="s">
        <v>67</v>
      </c>
      <c r="B19" s="18">
        <v>49410.356667799999</v>
      </c>
      <c r="C19" s="18">
        <v>5573.5474772999996</v>
      </c>
      <c r="D19" s="18">
        <v>43835.947210500002</v>
      </c>
      <c r="E19" s="18">
        <v>0</v>
      </c>
      <c r="F19" s="18">
        <v>0</v>
      </c>
      <c r="G19" s="18">
        <v>0.86197999999999997</v>
      </c>
      <c r="H19" s="18">
        <v>0</v>
      </c>
      <c r="I19" s="18">
        <v>0</v>
      </c>
      <c r="J19" s="24"/>
      <c r="K19" s="25">
        <f t="shared" si="0"/>
        <v>0.86197999999999997</v>
      </c>
      <c r="L19" s="26">
        <f t="shared" si="1"/>
        <v>1.7445634800487783E-5</v>
      </c>
      <c r="M19" s="27"/>
      <c r="N19" s="28">
        <f t="shared" si="2"/>
        <v>0</v>
      </c>
      <c r="O19" s="29">
        <f t="shared" si="3"/>
        <v>0.86197999999999997</v>
      </c>
      <c r="P19" s="26">
        <f t="shared" si="4"/>
        <v>1.7445634800487783E-5</v>
      </c>
      <c r="Q19" s="34">
        <f t="shared" si="5"/>
        <v>0.86197999999421882</v>
      </c>
      <c r="R19" s="35">
        <f t="shared" si="6"/>
        <v>-5.7811533338281151E-12</v>
      </c>
    </row>
    <row r="20" spans="1:18" ht="15" hidden="1">
      <c r="A20" s="17" t="s">
        <v>68</v>
      </c>
      <c r="B20" s="18">
        <v>142.78317999999999</v>
      </c>
      <c r="C20" s="18">
        <v>134.57789</v>
      </c>
      <c r="D20" s="18">
        <v>0</v>
      </c>
      <c r="E20" s="18">
        <v>0</v>
      </c>
      <c r="F20" s="18">
        <v>0</v>
      </c>
      <c r="G20" s="18">
        <v>8.2052899999999998</v>
      </c>
      <c r="H20" s="18">
        <v>0</v>
      </c>
      <c r="I20" s="18">
        <v>0</v>
      </c>
      <c r="J20" s="24"/>
      <c r="K20" s="25">
        <f t="shared" si="0"/>
        <v>8.2052899999999998</v>
      </c>
      <c r="L20" s="26">
        <f t="shared" si="1"/>
        <v>6.0970565075734208E-2</v>
      </c>
      <c r="M20" s="27"/>
      <c r="N20" s="28">
        <f t="shared" si="2"/>
        <v>0</v>
      </c>
      <c r="O20" s="29">
        <f t="shared" si="3"/>
        <v>8.2052899999999998</v>
      </c>
      <c r="P20" s="26">
        <f t="shared" si="4"/>
        <v>6.0970565075734208E-2</v>
      </c>
      <c r="Q20" s="34">
        <f t="shared" si="5"/>
        <v>8.2052899999999909</v>
      </c>
      <c r="R20" s="35">
        <f t="shared" si="6"/>
        <v>0</v>
      </c>
    </row>
    <row r="21" spans="1:18" ht="15" hidden="1">
      <c r="A21" s="17" t="s">
        <v>69</v>
      </c>
      <c r="B21" s="18">
        <v>1403.4521855999999</v>
      </c>
      <c r="C21" s="18">
        <v>1308.8280855999999</v>
      </c>
      <c r="D21" s="18">
        <v>0</v>
      </c>
      <c r="E21" s="18">
        <v>0</v>
      </c>
      <c r="F21" s="18">
        <v>0</v>
      </c>
      <c r="G21" s="18">
        <v>94.624099999999999</v>
      </c>
      <c r="H21" s="18">
        <v>0</v>
      </c>
      <c r="I21" s="18">
        <v>0</v>
      </c>
      <c r="J21" s="24"/>
      <c r="K21" s="25">
        <f t="shared" si="0"/>
        <v>94.624099999999999</v>
      </c>
      <c r="L21" s="26">
        <f t="shared" si="1"/>
        <v>7.2296813493746143E-2</v>
      </c>
      <c r="M21" s="27"/>
      <c r="N21" s="28">
        <f t="shared" si="2"/>
        <v>0</v>
      </c>
      <c r="O21" s="29">
        <f t="shared" si="3"/>
        <v>94.624099999999999</v>
      </c>
      <c r="P21" s="26">
        <f t="shared" si="4"/>
        <v>7.2296813493746143E-2</v>
      </c>
      <c r="Q21" s="34">
        <f t="shared" si="5"/>
        <v>94.624099999999999</v>
      </c>
      <c r="R21" s="35">
        <f t="shared" si="6"/>
        <v>0</v>
      </c>
    </row>
    <row r="22" spans="1:18" ht="15" hidden="1">
      <c r="A22" s="17" t="s">
        <v>71</v>
      </c>
      <c r="B22" s="18">
        <v>3516.3979837000002</v>
      </c>
      <c r="C22" s="18">
        <v>183.46419</v>
      </c>
      <c r="D22" s="18">
        <v>3332.6403537000001</v>
      </c>
      <c r="E22" s="18">
        <v>0</v>
      </c>
      <c r="F22" s="18">
        <v>0</v>
      </c>
      <c r="G22" s="18">
        <v>0.29343999999999998</v>
      </c>
      <c r="H22" s="18">
        <v>0</v>
      </c>
      <c r="I22" s="18">
        <v>0</v>
      </c>
      <c r="J22" s="24"/>
      <c r="K22" s="25">
        <f t="shared" si="0"/>
        <v>0.29343999999999998</v>
      </c>
      <c r="L22" s="26">
        <f t="shared" si="1"/>
        <v>8.3455994084639129E-5</v>
      </c>
      <c r="M22" s="27"/>
      <c r="N22" s="28">
        <f t="shared" si="2"/>
        <v>0</v>
      </c>
      <c r="O22" s="29">
        <f t="shared" si="3"/>
        <v>0.29343999999999998</v>
      </c>
      <c r="P22" s="26">
        <f t="shared" si="4"/>
        <v>8.3455994084639129E-5</v>
      </c>
      <c r="Q22" s="34">
        <f t="shared" si="5"/>
        <v>0.29343999999991865</v>
      </c>
      <c r="R22" s="35">
        <f t="shared" si="6"/>
        <v>-8.1323836553792717E-14</v>
      </c>
    </row>
    <row r="23" spans="1:18" ht="15" hidden="1">
      <c r="A23" s="17" t="s">
        <v>72</v>
      </c>
      <c r="B23" s="18">
        <v>7526.7168199999996</v>
      </c>
      <c r="C23" s="18">
        <v>7492.5719099999997</v>
      </c>
      <c r="D23" s="18">
        <v>0</v>
      </c>
      <c r="E23" s="18">
        <v>0</v>
      </c>
      <c r="F23" s="18">
        <v>34.050719999999998</v>
      </c>
      <c r="G23" s="18">
        <v>9.4189999999999996E-2</v>
      </c>
      <c r="H23" s="18">
        <v>0</v>
      </c>
      <c r="I23" s="18">
        <v>0</v>
      </c>
      <c r="J23" s="24"/>
      <c r="K23" s="25">
        <f t="shared" si="0"/>
        <v>9.4189999999999996E-2</v>
      </c>
      <c r="L23" s="26">
        <f t="shared" si="1"/>
        <v>1.2514245051236214E-5</v>
      </c>
      <c r="M23" s="27"/>
      <c r="N23" s="28">
        <f t="shared" si="2"/>
        <v>0</v>
      </c>
      <c r="O23" s="29">
        <f t="shared" si="3"/>
        <v>9.4189999999999996E-2</v>
      </c>
      <c r="P23" s="26">
        <f t="shared" si="4"/>
        <v>1.2514245051236214E-5</v>
      </c>
      <c r="Q23" s="34">
        <f t="shared" si="5"/>
        <v>9.4189999999983343E-2</v>
      </c>
      <c r="R23" s="35">
        <f t="shared" si="6"/>
        <v>-1.6653345369377348E-14</v>
      </c>
    </row>
    <row r="24" spans="1:18" ht="15" hidden="1">
      <c r="A24" s="17" t="s">
        <v>74</v>
      </c>
      <c r="B24" s="18">
        <v>3915.1991200000002</v>
      </c>
      <c r="C24" s="18">
        <v>3900.8364999999999</v>
      </c>
      <c r="D24" s="18">
        <v>0</v>
      </c>
      <c r="E24" s="18">
        <v>0</v>
      </c>
      <c r="F24" s="18">
        <v>13.807499999999999</v>
      </c>
      <c r="G24" s="18">
        <v>0.55511999999999995</v>
      </c>
      <c r="H24" s="18">
        <v>0</v>
      </c>
      <c r="I24" s="18">
        <v>0</v>
      </c>
      <c r="J24" s="24"/>
      <c r="K24" s="25">
        <f t="shared" si="0"/>
        <v>0.55511999999999995</v>
      </c>
      <c r="L24" s="26">
        <f t="shared" si="1"/>
        <v>1.4180599819549363E-4</v>
      </c>
      <c r="M24" s="27"/>
      <c r="N24" s="28">
        <f t="shared" si="2"/>
        <v>0</v>
      </c>
      <c r="O24" s="29">
        <f t="shared" si="3"/>
        <v>0.55511999999999995</v>
      </c>
      <c r="P24" s="26">
        <f t="shared" si="4"/>
        <v>1.4180599819549363E-4</v>
      </c>
      <c r="Q24" s="34">
        <f t="shared" si="5"/>
        <v>0.55512000000033446</v>
      </c>
      <c r="R24" s="35">
        <f t="shared" si="6"/>
        <v>3.3451019731955967E-13</v>
      </c>
    </row>
    <row r="25" spans="1:18" ht="15" hidden="1">
      <c r="A25" s="17" t="s">
        <v>77</v>
      </c>
      <c r="B25" s="18">
        <v>2835.1959999999999</v>
      </c>
      <c r="C25" s="18">
        <v>2343.8589900000002</v>
      </c>
      <c r="D25" s="18">
        <v>490.89614999999998</v>
      </c>
      <c r="E25" s="18">
        <v>0</v>
      </c>
      <c r="F25" s="18">
        <v>0</v>
      </c>
      <c r="G25" s="18">
        <v>0.44085999999999997</v>
      </c>
      <c r="H25" s="18">
        <v>0</v>
      </c>
      <c r="I25" s="18">
        <v>0</v>
      </c>
      <c r="J25" s="24"/>
      <c r="K25" s="25">
        <f t="shared" si="0"/>
        <v>0.44085999999999997</v>
      </c>
      <c r="L25" s="26">
        <f t="shared" si="1"/>
        <v>1.5551960512540067E-4</v>
      </c>
      <c r="M25" s="27"/>
      <c r="N25" s="28">
        <f t="shared" si="2"/>
        <v>0</v>
      </c>
      <c r="O25" s="29">
        <f t="shared" si="3"/>
        <v>0.44085999999999997</v>
      </c>
      <c r="P25" s="26">
        <f t="shared" si="4"/>
        <v>1.5551960512540067E-4</v>
      </c>
      <c r="Q25" s="34">
        <f t="shared" si="5"/>
        <v>0.44085999999975911</v>
      </c>
      <c r="R25" s="35">
        <f t="shared" si="6"/>
        <v>-2.4086288519242771E-13</v>
      </c>
    </row>
    <row r="26" spans="1:18" ht="15" hidden="1">
      <c r="A26" s="17" t="s">
        <v>78</v>
      </c>
      <c r="B26" s="18">
        <v>5089.5339520111002</v>
      </c>
      <c r="C26" s="18">
        <v>4703.6523599821003</v>
      </c>
      <c r="D26" s="18">
        <v>0</v>
      </c>
      <c r="E26" s="18">
        <v>0</v>
      </c>
      <c r="F26" s="18">
        <v>385.51403305999997</v>
      </c>
      <c r="G26" s="18">
        <v>0.36755180910000002</v>
      </c>
      <c r="H26" s="18">
        <v>0</v>
      </c>
      <c r="I26" s="18">
        <v>7.1598999999999998E-6</v>
      </c>
      <c r="J26" s="24"/>
      <c r="K26" s="25">
        <f t="shared" si="0"/>
        <v>0.36755180910000002</v>
      </c>
      <c r="L26" s="26">
        <f t="shared" si="1"/>
        <v>7.2222399645355723E-5</v>
      </c>
      <c r="M26" s="27"/>
      <c r="N26" s="28">
        <f t="shared" si="2"/>
        <v>0</v>
      </c>
      <c r="O26" s="29">
        <f t="shared" si="3"/>
        <v>0.36755180910000002</v>
      </c>
      <c r="P26" s="26">
        <f t="shared" si="4"/>
        <v>7.2222399645355723E-5</v>
      </c>
      <c r="Q26" s="34">
        <f t="shared" si="5"/>
        <v>0.36755896899990148</v>
      </c>
      <c r="R26" s="35">
        <f t="shared" si="6"/>
        <v>7.1598999014654829E-6</v>
      </c>
    </row>
    <row r="27" spans="1:18" ht="15" hidden="1">
      <c r="A27" s="17" t="s">
        <v>79</v>
      </c>
      <c r="B27" s="18">
        <v>530.61</v>
      </c>
      <c r="C27" s="18">
        <v>530.50638757499996</v>
      </c>
      <c r="D27" s="18">
        <v>0</v>
      </c>
      <c r="E27" s="18">
        <v>0</v>
      </c>
      <c r="F27" s="18">
        <v>0</v>
      </c>
      <c r="G27" s="18">
        <v>0.10361242499999999</v>
      </c>
      <c r="H27" s="18">
        <v>0</v>
      </c>
      <c r="I27" s="18">
        <v>0</v>
      </c>
      <c r="J27" s="24"/>
      <c r="K27" s="25">
        <f t="shared" si="0"/>
        <v>0.10361242499999999</v>
      </c>
      <c r="L27" s="26">
        <f t="shared" si="1"/>
        <v>1.95308534311195E-4</v>
      </c>
      <c r="M27" s="27"/>
      <c r="N27" s="28">
        <f t="shared" si="2"/>
        <v>0</v>
      </c>
      <c r="O27" s="29">
        <f t="shared" si="3"/>
        <v>0.10361242499999999</v>
      </c>
      <c r="P27" s="26">
        <f t="shared" si="4"/>
        <v>1.95308534311195E-4</v>
      </c>
      <c r="Q27" s="34">
        <f t="shared" si="5"/>
        <v>0.10361242500005119</v>
      </c>
      <c r="R27" s="35">
        <f t="shared" si="6"/>
        <v>5.1195159223027531E-14</v>
      </c>
    </row>
    <row r="28" spans="1:18" ht="15">
      <c r="A28" s="17" t="s">
        <v>80</v>
      </c>
      <c r="B28" s="18">
        <v>7317.6835234</v>
      </c>
      <c r="C28" s="18">
        <v>7303.4302633999996</v>
      </c>
      <c r="D28" s="18">
        <v>10.23372</v>
      </c>
      <c r="E28" s="18">
        <v>0</v>
      </c>
      <c r="F28" s="18">
        <v>0</v>
      </c>
      <c r="G28" s="18">
        <v>1.2670399999999999</v>
      </c>
      <c r="H28" s="18">
        <v>0</v>
      </c>
      <c r="I28" s="18">
        <v>2.7524999999999999</v>
      </c>
      <c r="J28" s="24"/>
      <c r="K28" s="25">
        <f t="shared" si="0"/>
        <v>1.2670399999999999</v>
      </c>
      <c r="L28" s="26">
        <f t="shared" si="1"/>
        <v>1.7324285103551809E-4</v>
      </c>
      <c r="M28" s="27"/>
      <c r="N28" s="28">
        <f t="shared" si="2"/>
        <v>0</v>
      </c>
      <c r="O28" s="29">
        <f t="shared" si="3"/>
        <v>1.2670399999999999</v>
      </c>
      <c r="P28" s="26">
        <f t="shared" si="4"/>
        <v>1.7324285103551809E-4</v>
      </c>
      <c r="Q28" s="34">
        <f t="shared" si="5"/>
        <v>4.0195400000004096</v>
      </c>
      <c r="R28" s="35">
        <f t="shared" si="6"/>
        <v>2.7525000000004098</v>
      </c>
    </row>
    <row r="29" spans="1:18" ht="15">
      <c r="A29" s="17" t="s">
        <v>81</v>
      </c>
      <c r="B29" s="18">
        <v>193.56</v>
      </c>
      <c r="C29" s="18">
        <v>195.33</v>
      </c>
      <c r="D29" s="18">
        <v>0</v>
      </c>
      <c r="E29" s="18">
        <v>0</v>
      </c>
      <c r="F29" s="18">
        <v>0</v>
      </c>
      <c r="G29" s="18">
        <v>0</v>
      </c>
      <c r="H29" s="18">
        <v>-1.77</v>
      </c>
      <c r="I29" s="18">
        <v>0</v>
      </c>
      <c r="J29" s="24"/>
      <c r="K29" s="25">
        <f t="shared" si="0"/>
        <v>-1.77</v>
      </c>
      <c r="L29" s="26">
        <f t="shared" si="1"/>
        <v>-9.0615880817078789E-3</v>
      </c>
      <c r="M29" s="27"/>
      <c r="N29" s="28">
        <f t="shared" si="2"/>
        <v>0</v>
      </c>
      <c r="O29" s="29">
        <f t="shared" si="3"/>
        <v>-1.77</v>
      </c>
      <c r="P29" s="26">
        <f t="shared" si="4"/>
        <v>-9.0615880817078789E-3</v>
      </c>
      <c r="Q29" s="34">
        <f t="shared" si="5"/>
        <v>-1.7700000000000102</v>
      </c>
      <c r="R29" s="35">
        <f t="shared" si="6"/>
        <v>-1.7700000000000102</v>
      </c>
    </row>
    <row r="30" spans="1:18" ht="22.5" hidden="1">
      <c r="A30" s="17" t="s">
        <v>82</v>
      </c>
      <c r="B30" s="18">
        <v>497.43540999999999</v>
      </c>
      <c r="C30" s="18">
        <v>494.64958000000001</v>
      </c>
      <c r="D30" s="18">
        <v>0</v>
      </c>
      <c r="E30" s="18">
        <v>0</v>
      </c>
      <c r="F30" s="18">
        <v>0</v>
      </c>
      <c r="G30" s="18">
        <v>2.7858299999999998</v>
      </c>
      <c r="H30" s="18">
        <v>0</v>
      </c>
      <c r="I30" s="18">
        <v>0</v>
      </c>
      <c r="J30" s="24"/>
      <c r="K30" s="25">
        <f t="shared" si="0"/>
        <v>2.7858299999999998</v>
      </c>
      <c r="L30" s="26">
        <f t="shared" si="1"/>
        <v>5.6319263426848551E-3</v>
      </c>
      <c r="M30" s="27"/>
      <c r="N30" s="28">
        <f t="shared" si="2"/>
        <v>0</v>
      </c>
      <c r="O30" s="29">
        <f t="shared" si="3"/>
        <v>2.7858299999999998</v>
      </c>
      <c r="P30" s="26">
        <f t="shared" si="4"/>
        <v>5.6319263426848551E-3</v>
      </c>
      <c r="Q30" s="34">
        <f t="shared" si="5"/>
        <v>2.7858299999999758</v>
      </c>
      <c r="R30" s="35">
        <f t="shared" si="6"/>
        <v>-2.3980817331903381E-14</v>
      </c>
    </row>
    <row r="31" spans="1:18" ht="15" hidden="1">
      <c r="A31" s="17" t="s">
        <v>83</v>
      </c>
      <c r="B31" s="18">
        <v>537.15991499999996</v>
      </c>
      <c r="C31" s="18">
        <v>535.78693499999997</v>
      </c>
      <c r="D31" s="18">
        <v>0</v>
      </c>
      <c r="E31" s="18">
        <v>0</v>
      </c>
      <c r="F31" s="18">
        <v>0</v>
      </c>
      <c r="G31" s="18">
        <v>1.3729800000000001</v>
      </c>
      <c r="H31" s="18">
        <v>0</v>
      </c>
      <c r="I31" s="18">
        <v>0</v>
      </c>
      <c r="J31" s="24"/>
      <c r="K31" s="25">
        <f t="shared" si="0"/>
        <v>1.3729800000000001</v>
      </c>
      <c r="L31" s="26">
        <f t="shared" si="1"/>
        <v>2.5625484876744898E-3</v>
      </c>
      <c r="M31" s="27"/>
      <c r="N31" s="28">
        <f t="shared" si="2"/>
        <v>0</v>
      </c>
      <c r="O31" s="29">
        <f t="shared" si="3"/>
        <v>1.3729800000000001</v>
      </c>
      <c r="P31" s="26">
        <f t="shared" si="4"/>
        <v>2.5625484876744898E-3</v>
      </c>
      <c r="Q31" s="34">
        <f t="shared" si="5"/>
        <v>1.3729799999999841</v>
      </c>
      <c r="R31" s="35">
        <f t="shared" si="6"/>
        <v>-1.5987211554602254E-14</v>
      </c>
    </row>
    <row r="32" spans="1:18" ht="15" hidden="1">
      <c r="A32" s="17" t="s">
        <v>84</v>
      </c>
      <c r="B32" s="18">
        <v>294.96080999999998</v>
      </c>
      <c r="C32" s="18">
        <v>290.67559</v>
      </c>
      <c r="D32" s="18">
        <v>0</v>
      </c>
      <c r="E32" s="18">
        <v>0</v>
      </c>
      <c r="F32" s="18">
        <v>0</v>
      </c>
      <c r="G32" s="18">
        <v>4.2852199999999998</v>
      </c>
      <c r="H32" s="18">
        <v>0</v>
      </c>
      <c r="I32" s="18">
        <v>0</v>
      </c>
      <c r="J32" s="24"/>
      <c r="K32" s="25">
        <f t="shared" si="0"/>
        <v>4.2852199999999998</v>
      </c>
      <c r="L32" s="26">
        <f t="shared" si="1"/>
        <v>1.4742276776663633E-2</v>
      </c>
      <c r="M32" s="27"/>
      <c r="N32" s="28">
        <f t="shared" si="2"/>
        <v>0</v>
      </c>
      <c r="O32" s="29">
        <f t="shared" si="3"/>
        <v>4.2852199999999998</v>
      </c>
      <c r="P32" s="26">
        <f t="shared" si="4"/>
        <v>1.4742276776663633E-2</v>
      </c>
      <c r="Q32" s="34">
        <f t="shared" si="5"/>
        <v>4.2852199999999812</v>
      </c>
      <c r="R32" s="35">
        <f t="shared" si="6"/>
        <v>-1.865174681370263E-14</v>
      </c>
    </row>
    <row r="33" spans="1:18" ht="15">
      <c r="A33" s="17" t="s">
        <v>85</v>
      </c>
      <c r="B33" s="18">
        <v>4043.1045399999998</v>
      </c>
      <c r="C33" s="18">
        <v>4043.4695200000001</v>
      </c>
      <c r="D33" s="18">
        <v>0</v>
      </c>
      <c r="E33" s="18">
        <v>0</v>
      </c>
      <c r="F33" s="18">
        <v>0</v>
      </c>
      <c r="G33" s="18">
        <v>1.82192</v>
      </c>
      <c r="H33" s="18">
        <v>-2.1869000000000001</v>
      </c>
      <c r="I33" s="18">
        <v>0</v>
      </c>
      <c r="J33" s="24"/>
      <c r="K33" s="25">
        <f t="shared" si="0"/>
        <v>-0.36498000000000008</v>
      </c>
      <c r="L33" s="26">
        <f t="shared" si="1"/>
        <v>-9.0264066093417728E-5</v>
      </c>
      <c r="M33" s="27"/>
      <c r="N33" s="28">
        <f t="shared" si="2"/>
        <v>0</v>
      </c>
      <c r="O33" s="29">
        <f t="shared" si="3"/>
        <v>-0.36498000000000008</v>
      </c>
      <c r="P33" s="26">
        <f t="shared" si="4"/>
        <v>-9.0264066093417728E-5</v>
      </c>
      <c r="Q33" s="34">
        <f t="shared" si="5"/>
        <v>-0.36498000000028696</v>
      </c>
      <c r="R33" s="35">
        <f t="shared" si="6"/>
        <v>-2.1869000000002869</v>
      </c>
    </row>
    <row r="34" spans="1:18" ht="15" hidden="1">
      <c r="A34" s="17" t="s">
        <v>86</v>
      </c>
      <c r="B34" s="18">
        <v>6763.0537199999999</v>
      </c>
      <c r="C34" s="18">
        <v>6693.8820100000003</v>
      </c>
      <c r="D34" s="18">
        <v>0</v>
      </c>
      <c r="E34" s="18">
        <v>0</v>
      </c>
      <c r="F34" s="18">
        <v>68.363249999999994</v>
      </c>
      <c r="G34" s="18">
        <v>0.80845999999999996</v>
      </c>
      <c r="H34" s="18">
        <v>0</v>
      </c>
      <c r="I34" s="18">
        <v>0</v>
      </c>
      <c r="J34" s="24"/>
      <c r="K34" s="25">
        <f t="shared" si="0"/>
        <v>0.80845999999999996</v>
      </c>
      <c r="L34" s="26">
        <f t="shared" si="1"/>
        <v>1.1955496568309915E-4</v>
      </c>
      <c r="M34" s="27"/>
      <c r="N34" s="28">
        <f t="shared" si="2"/>
        <v>0</v>
      </c>
      <c r="O34" s="29">
        <f t="shared" si="3"/>
        <v>0.80845999999999996</v>
      </c>
      <c r="P34" s="26">
        <f t="shared" si="4"/>
        <v>1.1955496568309915E-4</v>
      </c>
      <c r="Q34" s="34">
        <f t="shared" si="5"/>
        <v>0.80845999999962714</v>
      </c>
      <c r="R34" s="35">
        <f t="shared" si="6"/>
        <v>-3.7281289166912757E-13</v>
      </c>
    </row>
    <row r="35" spans="1:18" ht="15" hidden="1">
      <c r="A35" s="17" t="s">
        <v>87</v>
      </c>
      <c r="B35" s="18">
        <v>4404.6647800000001</v>
      </c>
      <c r="C35" s="18">
        <v>4366.6031499999999</v>
      </c>
      <c r="D35" s="18">
        <v>0</v>
      </c>
      <c r="E35" s="18">
        <v>0</v>
      </c>
      <c r="F35" s="18">
        <v>37.362250000000003</v>
      </c>
      <c r="G35" s="18">
        <v>0.69938</v>
      </c>
      <c r="H35" s="18">
        <v>0</v>
      </c>
      <c r="I35" s="18">
        <v>0</v>
      </c>
      <c r="J35" s="24"/>
      <c r="K35" s="25">
        <f t="shared" si="0"/>
        <v>0.69938</v>
      </c>
      <c r="L35" s="26">
        <f t="shared" si="1"/>
        <v>1.5880687890962994E-4</v>
      </c>
      <c r="M35" s="27"/>
      <c r="N35" s="28">
        <f t="shared" si="2"/>
        <v>0</v>
      </c>
      <c r="O35" s="29">
        <f t="shared" si="3"/>
        <v>0.69938</v>
      </c>
      <c r="P35" s="26">
        <f t="shared" si="4"/>
        <v>1.5880687890962994E-4</v>
      </c>
      <c r="Q35" s="34">
        <f t="shared" si="5"/>
        <v>0.69938000000014711</v>
      </c>
      <c r="R35" s="35">
        <f t="shared" si="6"/>
        <v>1.4710455076283324E-13</v>
      </c>
    </row>
    <row r="36" spans="1:18" ht="15" hidden="1">
      <c r="A36" s="17" t="s">
        <v>88</v>
      </c>
      <c r="B36" s="18">
        <v>18628.7062572</v>
      </c>
      <c r="C36" s="18">
        <v>15694.529430000001</v>
      </c>
      <c r="D36" s="18">
        <v>2866.7231400000001</v>
      </c>
      <c r="E36" s="18">
        <v>0</v>
      </c>
      <c r="F36" s="18">
        <v>65.256519999999995</v>
      </c>
      <c r="G36" s="18">
        <v>2.1971672</v>
      </c>
      <c r="H36" s="18">
        <v>0</v>
      </c>
      <c r="I36" s="18">
        <v>0</v>
      </c>
      <c r="J36" s="24"/>
      <c r="K36" s="25">
        <f t="shared" si="0"/>
        <v>2.1971672</v>
      </c>
      <c r="L36" s="26">
        <f t="shared" si="1"/>
        <v>1.1795915108857363E-4</v>
      </c>
      <c r="M36" s="27"/>
      <c r="N36" s="28">
        <f t="shared" si="2"/>
        <v>0</v>
      </c>
      <c r="O36" s="29">
        <f t="shared" si="3"/>
        <v>2.1971672</v>
      </c>
      <c r="P36" s="26">
        <f t="shared" si="4"/>
        <v>1.1795915108857363E-4</v>
      </c>
      <c r="Q36" s="34">
        <f t="shared" si="5"/>
        <v>2.1971671999989724</v>
      </c>
      <c r="R36" s="35">
        <f t="shared" si="6"/>
        <v>-1.0276224315930449E-12</v>
      </c>
    </row>
    <row r="37" spans="1:18" ht="15" hidden="1">
      <c r="A37" s="17" t="s">
        <v>89</v>
      </c>
      <c r="B37" s="18">
        <v>1430.5620100000001</v>
      </c>
      <c r="C37" s="18">
        <v>1093.5900899999999</v>
      </c>
      <c r="D37" s="18">
        <v>297.57749999999999</v>
      </c>
      <c r="E37" s="18">
        <v>0</v>
      </c>
      <c r="F37" s="18">
        <v>38.851019999999998</v>
      </c>
      <c r="G37" s="18">
        <v>0.54339999999999999</v>
      </c>
      <c r="H37" s="18">
        <v>0</v>
      </c>
      <c r="I37" s="18">
        <v>0</v>
      </c>
      <c r="J37" s="24"/>
      <c r="K37" s="25">
        <f t="shared" si="0"/>
        <v>0.54339999999999999</v>
      </c>
      <c r="L37" s="26">
        <f t="shared" si="1"/>
        <v>3.7999505474967208E-4</v>
      </c>
      <c r="M37" s="27"/>
      <c r="N37" s="28">
        <f t="shared" si="2"/>
        <v>0</v>
      </c>
      <c r="O37" s="29">
        <f t="shared" si="3"/>
        <v>0.54339999999999999</v>
      </c>
      <c r="P37" s="26">
        <f t="shared" si="4"/>
        <v>3.7999505474967208E-4</v>
      </c>
      <c r="Q37" s="34">
        <f t="shared" si="5"/>
        <v>0.54340000000019728</v>
      </c>
      <c r="R37" s="35">
        <f t="shared" si="6"/>
        <v>1.9728663147589032E-13</v>
      </c>
    </row>
    <row r="38" spans="1:18" ht="15" hidden="1">
      <c r="A38" s="17" t="s">
        <v>90</v>
      </c>
      <c r="B38" s="18">
        <v>7374.6791400000002</v>
      </c>
      <c r="C38" s="18">
        <v>7146.8963400000002</v>
      </c>
      <c r="D38" s="18">
        <v>226.845</v>
      </c>
      <c r="E38" s="18">
        <v>0</v>
      </c>
      <c r="F38" s="18">
        <v>0.35343999999999998</v>
      </c>
      <c r="G38" s="18">
        <v>0.58435999999999999</v>
      </c>
      <c r="H38" s="18">
        <v>0</v>
      </c>
      <c r="I38" s="18">
        <v>0</v>
      </c>
      <c r="J38" s="24"/>
      <c r="K38" s="25">
        <f t="shared" si="0"/>
        <v>0.58435999999999999</v>
      </c>
      <c r="L38" s="26">
        <f t="shared" si="1"/>
        <v>7.9244980900557396E-5</v>
      </c>
      <c r="M38" s="27"/>
      <c r="N38" s="28">
        <f t="shared" si="2"/>
        <v>0</v>
      </c>
      <c r="O38" s="29">
        <f t="shared" si="3"/>
        <v>0.58435999999999999</v>
      </c>
      <c r="P38" s="26">
        <f t="shared" si="4"/>
        <v>7.9244980900557396E-5</v>
      </c>
      <c r="Q38" s="34">
        <f t="shared" si="5"/>
        <v>0.58435999999995314</v>
      </c>
      <c r="R38" s="35">
        <f t="shared" si="6"/>
        <v>-4.6851411639181606E-14</v>
      </c>
    </row>
    <row r="39" spans="1:18" ht="15">
      <c r="A39" s="19" t="s">
        <v>91</v>
      </c>
      <c r="B39" s="20">
        <f t="shared" ref="B39:I39" si="7">SUBTOTAL(9,B7:B38)</f>
        <v>11704.625932999999</v>
      </c>
      <c r="C39" s="20">
        <f t="shared" si="7"/>
        <v>11692.072652999999</v>
      </c>
      <c r="D39" s="20">
        <f t="shared" si="7"/>
        <v>10.23372</v>
      </c>
      <c r="E39" s="20">
        <f t="shared" si="7"/>
        <v>0</v>
      </c>
      <c r="F39" s="20">
        <f t="shared" si="7"/>
        <v>0</v>
      </c>
      <c r="G39" s="20">
        <f t="shared" si="7"/>
        <v>3.53146</v>
      </c>
      <c r="H39" s="20">
        <f t="shared" si="7"/>
        <v>-3.9644000000000004</v>
      </c>
      <c r="I39" s="20">
        <f t="shared" si="7"/>
        <v>2.7524999999999999</v>
      </c>
      <c r="J39" s="30"/>
      <c r="K39" s="20">
        <f>SUBTOTAL(9,K7:K38)</f>
        <v>-0.4329400000000001</v>
      </c>
      <c r="L39" s="31"/>
      <c r="M39" s="20">
        <f>SUBTOTAL(9,M7:M38)</f>
        <v>0</v>
      </c>
      <c r="N39" s="32"/>
      <c r="O39" s="20">
        <f>SUBTOTAL(9,O7:O38)</f>
        <v>-0.4329400000000001</v>
      </c>
      <c r="P39" s="33"/>
    </row>
    <row r="46" spans="1:18">
      <c r="G46" s="21"/>
    </row>
  </sheetData>
  <autoFilter ref="A6:R38" xr:uid="{00000000-0009-0000-0000-00000E000000}">
    <filterColumn colId="17">
      <filters>
        <filter val="(0.01)"/>
        <filter val="(1.77)"/>
        <filter val="(2.19)"/>
        <filter val="2.75"/>
      </filters>
    </filterColumn>
  </autoFilter>
  <mergeCells count="4">
    <mergeCell ref="A2:I2"/>
    <mergeCell ref="A3:I3"/>
    <mergeCell ref="A4:I4"/>
    <mergeCell ref="A5:G5"/>
  </mergeCells>
  <pageMargins left="0.75" right="0.75" top="1" bottom="1" header="0" footer="0"/>
  <pageSetup paperSize="9" orientation="portrait" r:id="rId1"/>
  <headerFooter alignWithMargins="0">
    <oddFooter>&amp;L&amp;"Arial"&amp;8&amp;BPage &amp;P of &amp;N&amp;B &amp;R&amp;"Arial"&amp;8&amp;B8/20/2025 2:32:15 PM&amp;B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M68"/>
  <sheetViews>
    <sheetView workbookViewId="0">
      <selection activeCell="K12" sqref="K12"/>
    </sheetView>
  </sheetViews>
  <sheetFormatPr defaultColWidth="9" defaultRowHeight="15"/>
  <cols>
    <col min="1" max="1" width="31.140625" customWidth="1"/>
    <col min="2" max="2" width="11.7109375" customWidth="1"/>
    <col min="3" max="3" width="11" customWidth="1"/>
    <col min="6" max="6" width="11.7109375" customWidth="1"/>
    <col min="7" max="7" width="11" customWidth="1"/>
    <col min="8" max="8" width="11.7109375" customWidth="1"/>
    <col min="9" max="9" width="11" customWidth="1"/>
    <col min="10" max="10" width="14" customWidth="1"/>
    <col min="11" max="11" width="12.7109375" customWidth="1"/>
    <col min="12" max="12" width="17.42578125" customWidth="1"/>
    <col min="13" max="13" width="16.28515625" customWidth="1"/>
  </cols>
  <sheetData>
    <row r="1" spans="1:13" ht="18">
      <c r="A1" s="267" t="s">
        <v>649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</row>
    <row r="2" spans="1:13" ht="18">
      <c r="A2" s="267" t="s">
        <v>650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</row>
    <row r="3" spans="1:13" ht="25.5" customHeight="1">
      <c r="A3" s="1"/>
      <c r="B3" s="268" t="s">
        <v>651</v>
      </c>
      <c r="C3" s="268"/>
      <c r="D3" s="268" t="s">
        <v>652</v>
      </c>
      <c r="E3" s="268"/>
      <c r="F3" s="268" t="s">
        <v>653</v>
      </c>
      <c r="G3" s="268"/>
      <c r="H3" s="268" t="s">
        <v>654</v>
      </c>
      <c r="I3" s="268"/>
      <c r="J3" s="269" t="s">
        <v>655</v>
      </c>
      <c r="K3" s="269"/>
      <c r="L3" s="6"/>
      <c r="M3" s="6"/>
    </row>
    <row r="4" spans="1:13">
      <c r="A4" s="2" t="s">
        <v>245</v>
      </c>
      <c r="B4" s="2" t="s">
        <v>263</v>
      </c>
      <c r="C4" s="2" t="s">
        <v>264</v>
      </c>
      <c r="D4" s="2"/>
      <c r="E4" s="2"/>
      <c r="F4" s="2" t="s">
        <v>263</v>
      </c>
      <c r="G4" s="2" t="s">
        <v>264</v>
      </c>
      <c r="H4" s="2" t="s">
        <v>263</v>
      </c>
      <c r="I4" s="2" t="s">
        <v>264</v>
      </c>
      <c r="J4" s="7" t="s">
        <v>263</v>
      </c>
      <c r="K4" s="7" t="s">
        <v>264</v>
      </c>
      <c r="L4" s="7" t="s">
        <v>656</v>
      </c>
      <c r="M4" s="7" t="s">
        <v>657</v>
      </c>
    </row>
    <row r="5" spans="1:13">
      <c r="A5" s="3" t="s">
        <v>249</v>
      </c>
      <c r="B5" s="4">
        <v>1368.92</v>
      </c>
      <c r="C5" s="4">
        <v>1362.0753999999999</v>
      </c>
      <c r="D5" s="4"/>
      <c r="E5" s="4"/>
      <c r="F5" s="4">
        <v>9741.1885000000093</v>
      </c>
      <c r="G5" s="4">
        <v>8942.4056</v>
      </c>
      <c r="H5" s="4">
        <v>7.46</v>
      </c>
      <c r="I5" s="4">
        <v>6.8483000000000001</v>
      </c>
      <c r="J5" s="8">
        <f t="shared" ref="J5:K36" si="0">F5-H5</f>
        <v>9733.7285000000102</v>
      </c>
      <c r="K5" s="8">
        <f t="shared" si="0"/>
        <v>8935.5573000000004</v>
      </c>
      <c r="L5" s="9">
        <f>H5/F5</f>
        <v>7.6582031032455561E-4</v>
      </c>
      <c r="M5" s="9">
        <f>I5/G5</f>
        <v>7.6582301299328223E-4</v>
      </c>
    </row>
    <row r="6" spans="1:13">
      <c r="A6" s="5" t="s">
        <v>250</v>
      </c>
      <c r="B6" s="4"/>
      <c r="C6" s="4"/>
      <c r="D6" s="4"/>
      <c r="E6" s="4"/>
      <c r="F6" s="4">
        <v>9741.1885000000093</v>
      </c>
      <c r="G6" s="4">
        <v>8942.4056</v>
      </c>
      <c r="H6" s="4">
        <v>7.46</v>
      </c>
      <c r="I6" s="4">
        <v>6.8483000000000001</v>
      </c>
      <c r="J6" s="8">
        <f t="shared" si="0"/>
        <v>9733.7285000000102</v>
      </c>
      <c r="K6" s="8">
        <f t="shared" si="0"/>
        <v>8935.5573000000004</v>
      </c>
      <c r="L6" s="9">
        <f>H6/F6</f>
        <v>7.6582031032455561E-4</v>
      </c>
      <c r="M6" s="9">
        <f>I6/G6</f>
        <v>7.6582301299328223E-4</v>
      </c>
    </row>
    <row r="7" spans="1:13">
      <c r="A7" s="5" t="s">
        <v>658</v>
      </c>
      <c r="B7" s="4">
        <v>1368.92</v>
      </c>
      <c r="C7" s="4">
        <v>1362.0753999999999</v>
      </c>
      <c r="D7" s="4"/>
      <c r="E7" s="4"/>
      <c r="F7" s="4"/>
      <c r="G7" s="4"/>
      <c r="H7" s="4"/>
      <c r="I7" s="4"/>
      <c r="J7" s="8">
        <f t="shared" si="0"/>
        <v>0</v>
      </c>
      <c r="K7" s="8">
        <f t="shared" si="0"/>
        <v>0</v>
      </c>
      <c r="L7" s="9"/>
      <c r="M7" s="9"/>
    </row>
    <row r="8" spans="1:13">
      <c r="A8" s="3" t="s">
        <v>280</v>
      </c>
      <c r="B8" s="4">
        <v>1795.71</v>
      </c>
      <c r="C8" s="4">
        <v>1786.7316000000001</v>
      </c>
      <c r="D8" s="4"/>
      <c r="E8" s="4"/>
      <c r="F8" s="4">
        <v>1409.9</v>
      </c>
      <c r="G8" s="4">
        <v>1294.2881</v>
      </c>
      <c r="H8" s="4"/>
      <c r="I8" s="4"/>
      <c r="J8" s="8">
        <f t="shared" si="0"/>
        <v>1409.9</v>
      </c>
      <c r="K8" s="8">
        <f t="shared" si="0"/>
        <v>1294.2881</v>
      </c>
      <c r="L8" s="9">
        <f>H8/F8</f>
        <v>0</v>
      </c>
      <c r="M8" s="9">
        <f>I8/G8</f>
        <v>0</v>
      </c>
    </row>
    <row r="9" spans="1:13">
      <c r="A9" s="5" t="s">
        <v>250</v>
      </c>
      <c r="B9" s="4"/>
      <c r="C9" s="4"/>
      <c r="D9" s="4"/>
      <c r="E9" s="4"/>
      <c r="F9" s="4">
        <v>1409.9</v>
      </c>
      <c r="G9" s="4">
        <v>1294.2881</v>
      </c>
      <c r="H9" s="4"/>
      <c r="I9" s="4"/>
      <c r="J9" s="8">
        <f t="shared" si="0"/>
        <v>1409.9</v>
      </c>
      <c r="K9" s="8">
        <f t="shared" si="0"/>
        <v>1294.2881</v>
      </c>
      <c r="L9" s="9">
        <f>H9/F9</f>
        <v>0</v>
      </c>
      <c r="M9" s="9">
        <f>I9/G9</f>
        <v>0</v>
      </c>
    </row>
    <row r="10" spans="1:13">
      <c r="A10" s="5" t="s">
        <v>658</v>
      </c>
      <c r="B10" s="4">
        <v>1795.71</v>
      </c>
      <c r="C10" s="4">
        <v>1786.7316000000001</v>
      </c>
      <c r="D10" s="4"/>
      <c r="E10" s="4"/>
      <c r="F10" s="4"/>
      <c r="G10" s="4"/>
      <c r="H10" s="4"/>
      <c r="I10" s="4"/>
      <c r="J10" s="8">
        <f t="shared" si="0"/>
        <v>0</v>
      </c>
      <c r="K10" s="8">
        <f t="shared" si="0"/>
        <v>0</v>
      </c>
      <c r="L10" s="9"/>
      <c r="M10" s="9"/>
    </row>
    <row r="11" spans="1:13">
      <c r="A11" s="3" t="s">
        <v>251</v>
      </c>
      <c r="B11" s="4"/>
      <c r="C11" s="4"/>
      <c r="D11" s="4"/>
      <c r="E11" s="4"/>
      <c r="F11" s="4">
        <v>317.51</v>
      </c>
      <c r="G11" s="4">
        <v>291.4742</v>
      </c>
      <c r="H11" s="4">
        <v>348.71</v>
      </c>
      <c r="I11" s="4">
        <v>320.11579999999998</v>
      </c>
      <c r="J11" s="8">
        <f t="shared" si="0"/>
        <v>-31.199999999999989</v>
      </c>
      <c r="K11" s="8">
        <f t="shared" si="0"/>
        <v>-28.641599999999983</v>
      </c>
      <c r="L11" s="9">
        <f>H11/F11</f>
        <v>1.0982646215867216</v>
      </c>
      <c r="M11" s="9">
        <f>I11/G11</f>
        <v>1.0982646148441269</v>
      </c>
    </row>
    <row r="12" spans="1:13">
      <c r="A12" s="5" t="s">
        <v>250</v>
      </c>
      <c r="B12" s="4"/>
      <c r="C12" s="4"/>
      <c r="D12" s="4"/>
      <c r="E12" s="4"/>
      <c r="F12" s="4">
        <v>317.51</v>
      </c>
      <c r="G12" s="4">
        <v>291.4742</v>
      </c>
      <c r="H12" s="4">
        <v>348.71</v>
      </c>
      <c r="I12" s="4">
        <v>320.11579999999998</v>
      </c>
      <c r="J12" s="8">
        <f t="shared" si="0"/>
        <v>-31.199999999999989</v>
      </c>
      <c r="K12" s="8">
        <f t="shared" si="0"/>
        <v>-28.641599999999983</v>
      </c>
      <c r="L12" s="9">
        <f>H12/F12</f>
        <v>1.0982646215867216</v>
      </c>
      <c r="M12" s="9">
        <f>I12/G12</f>
        <v>1.0982646148441269</v>
      </c>
    </row>
    <row r="13" spans="1:13">
      <c r="A13" s="3" t="s">
        <v>659</v>
      </c>
      <c r="B13" s="4">
        <v>1400</v>
      </c>
      <c r="C13" s="4">
        <v>1393</v>
      </c>
      <c r="D13" s="4"/>
      <c r="E13" s="4"/>
      <c r="F13" s="4"/>
      <c r="G13" s="4"/>
      <c r="H13" s="4"/>
      <c r="I13" s="4"/>
      <c r="J13" s="8">
        <f t="shared" si="0"/>
        <v>0</v>
      </c>
      <c r="K13" s="8">
        <f t="shared" si="0"/>
        <v>0</v>
      </c>
      <c r="L13" s="9"/>
      <c r="M13" s="9"/>
    </row>
    <row r="14" spans="1:13">
      <c r="A14" s="5" t="s">
        <v>658</v>
      </c>
      <c r="B14" s="4">
        <v>1400</v>
      </c>
      <c r="C14" s="4">
        <v>1393</v>
      </c>
      <c r="D14" s="4"/>
      <c r="E14" s="4"/>
      <c r="F14" s="4"/>
      <c r="G14" s="4"/>
      <c r="H14" s="4"/>
      <c r="I14" s="4"/>
      <c r="J14" s="8">
        <f t="shared" si="0"/>
        <v>0</v>
      </c>
      <c r="K14" s="8">
        <f t="shared" si="0"/>
        <v>0</v>
      </c>
      <c r="L14" s="9"/>
      <c r="M14" s="9"/>
    </row>
    <row r="15" spans="1:13">
      <c r="A15" s="3" t="s">
        <v>660</v>
      </c>
      <c r="B15" s="4">
        <v>2954.13</v>
      </c>
      <c r="C15" s="4">
        <v>2946.0155</v>
      </c>
      <c r="D15" s="4"/>
      <c r="E15" s="4"/>
      <c r="F15" s="4">
        <v>6784.2584999999999</v>
      </c>
      <c r="G15" s="4">
        <v>6227.9493000000002</v>
      </c>
      <c r="H15" s="4">
        <v>1410.079</v>
      </c>
      <c r="I15" s="4">
        <v>1294.4526000000001</v>
      </c>
      <c r="J15" s="8">
        <f t="shared" si="0"/>
        <v>5374.1795000000002</v>
      </c>
      <c r="K15" s="8">
        <f t="shared" si="0"/>
        <v>4933.4966999999997</v>
      </c>
      <c r="L15" s="9">
        <f>H15/F15</f>
        <v>0.20784570635095936</v>
      </c>
      <c r="M15" s="9">
        <f>I15/G15</f>
        <v>0.20784571897526527</v>
      </c>
    </row>
    <row r="16" spans="1:13">
      <c r="A16" s="5" t="s">
        <v>250</v>
      </c>
      <c r="B16" s="4"/>
      <c r="C16" s="4"/>
      <c r="D16" s="4"/>
      <c r="E16" s="4"/>
      <c r="F16" s="4">
        <v>6784.2584999999999</v>
      </c>
      <c r="G16" s="4">
        <v>6227.9493000000002</v>
      </c>
      <c r="H16" s="4">
        <v>1410.079</v>
      </c>
      <c r="I16" s="4">
        <v>1294.4526000000001</v>
      </c>
      <c r="J16" s="8">
        <f t="shared" si="0"/>
        <v>5374.1795000000002</v>
      </c>
      <c r="K16" s="8">
        <f t="shared" si="0"/>
        <v>4933.4966999999997</v>
      </c>
      <c r="L16" s="9">
        <f>H16/F16</f>
        <v>0.20784570635095936</v>
      </c>
      <c r="M16" s="9">
        <f>I16/G16</f>
        <v>0.20784571897526527</v>
      </c>
    </row>
    <row r="17" spans="1:13">
      <c r="A17" s="5" t="s">
        <v>658</v>
      </c>
      <c r="B17" s="4">
        <v>2954.13</v>
      </c>
      <c r="C17" s="4">
        <v>2946.0155</v>
      </c>
      <c r="D17" s="4"/>
      <c r="E17" s="4"/>
      <c r="F17" s="4"/>
      <c r="G17" s="4"/>
      <c r="H17" s="4"/>
      <c r="I17" s="4"/>
      <c r="J17" s="8">
        <f t="shared" si="0"/>
        <v>0</v>
      </c>
      <c r="K17" s="8">
        <f t="shared" si="0"/>
        <v>0</v>
      </c>
      <c r="L17" s="9"/>
      <c r="M17" s="9"/>
    </row>
    <row r="18" spans="1:13">
      <c r="A18" s="3" t="s">
        <v>661</v>
      </c>
      <c r="B18" s="4">
        <v>300</v>
      </c>
      <c r="C18" s="4">
        <v>299.7</v>
      </c>
      <c r="D18" s="4"/>
      <c r="E18" s="4"/>
      <c r="F18" s="4">
        <v>252.34</v>
      </c>
      <c r="G18" s="4">
        <v>231.6481</v>
      </c>
      <c r="H18" s="4"/>
      <c r="I18" s="4"/>
      <c r="J18" s="8">
        <f t="shared" si="0"/>
        <v>252.34</v>
      </c>
      <c r="K18" s="8">
        <f t="shared" si="0"/>
        <v>231.6481</v>
      </c>
      <c r="L18" s="9">
        <f>H18/F18</f>
        <v>0</v>
      </c>
      <c r="M18" s="9">
        <f>I18/G18</f>
        <v>0</v>
      </c>
    </row>
    <row r="19" spans="1:13">
      <c r="A19" s="5" t="s">
        <v>250</v>
      </c>
      <c r="B19" s="4"/>
      <c r="C19" s="4"/>
      <c r="D19" s="4"/>
      <c r="E19" s="4"/>
      <c r="F19" s="4">
        <v>252.34</v>
      </c>
      <c r="G19" s="4">
        <v>231.6481</v>
      </c>
      <c r="H19" s="4"/>
      <c r="I19" s="4"/>
      <c r="J19" s="8">
        <f t="shared" si="0"/>
        <v>252.34</v>
      </c>
      <c r="K19" s="8">
        <f t="shared" si="0"/>
        <v>231.6481</v>
      </c>
      <c r="L19" s="9">
        <f>H19/F19</f>
        <v>0</v>
      </c>
      <c r="M19" s="9">
        <f>I19/G19</f>
        <v>0</v>
      </c>
    </row>
    <row r="20" spans="1:13">
      <c r="A20" s="5" t="s">
        <v>658</v>
      </c>
      <c r="B20" s="4">
        <v>300</v>
      </c>
      <c r="C20" s="4">
        <v>299.7</v>
      </c>
      <c r="D20" s="4"/>
      <c r="E20" s="4"/>
      <c r="F20" s="4"/>
      <c r="G20" s="4"/>
      <c r="H20" s="4"/>
      <c r="I20" s="4"/>
      <c r="J20" s="8">
        <f t="shared" si="0"/>
        <v>0</v>
      </c>
      <c r="K20" s="8">
        <f t="shared" si="0"/>
        <v>0</v>
      </c>
      <c r="L20" s="9"/>
      <c r="M20" s="9"/>
    </row>
    <row r="21" spans="1:13">
      <c r="A21" s="3" t="s">
        <v>662</v>
      </c>
      <c r="B21" s="4"/>
      <c r="C21" s="4"/>
      <c r="D21" s="4"/>
      <c r="E21" s="4"/>
      <c r="F21" s="4">
        <v>2.92</v>
      </c>
      <c r="G21" s="4">
        <v>2.6806000000000001</v>
      </c>
      <c r="H21" s="4"/>
      <c r="I21" s="4"/>
      <c r="J21" s="8">
        <f t="shared" si="0"/>
        <v>2.92</v>
      </c>
      <c r="K21" s="8">
        <f t="shared" si="0"/>
        <v>2.6806000000000001</v>
      </c>
      <c r="L21" s="9">
        <f t="shared" ref="L21:M28" si="1">H21/F21</f>
        <v>0</v>
      </c>
      <c r="M21" s="9">
        <f t="shared" si="1"/>
        <v>0</v>
      </c>
    </row>
    <row r="22" spans="1:13">
      <c r="A22" s="5" t="s">
        <v>250</v>
      </c>
      <c r="B22" s="4"/>
      <c r="C22" s="4"/>
      <c r="D22" s="4"/>
      <c r="E22" s="4"/>
      <c r="F22" s="4">
        <v>2.92</v>
      </c>
      <c r="G22" s="4">
        <v>2.6806000000000001</v>
      </c>
      <c r="H22" s="4"/>
      <c r="I22" s="4"/>
      <c r="J22" s="8">
        <f t="shared" si="0"/>
        <v>2.92</v>
      </c>
      <c r="K22" s="8">
        <f t="shared" si="0"/>
        <v>2.6806000000000001</v>
      </c>
      <c r="L22" s="9">
        <f t="shared" si="1"/>
        <v>0</v>
      </c>
      <c r="M22" s="9">
        <f t="shared" si="1"/>
        <v>0</v>
      </c>
    </row>
    <row r="23" spans="1:13">
      <c r="A23" s="3" t="s">
        <v>252</v>
      </c>
      <c r="B23" s="4"/>
      <c r="C23" s="4"/>
      <c r="D23" s="4"/>
      <c r="E23" s="4"/>
      <c r="F23" s="4">
        <v>5943.4392000000098</v>
      </c>
      <c r="G23" s="4">
        <v>4466.3723</v>
      </c>
      <c r="H23" s="4"/>
      <c r="I23" s="4"/>
      <c r="J23" s="8">
        <f t="shared" si="0"/>
        <v>5943.4392000000098</v>
      </c>
      <c r="K23" s="8">
        <f t="shared" si="0"/>
        <v>4466.3723</v>
      </c>
      <c r="L23" s="9">
        <f t="shared" si="1"/>
        <v>0</v>
      </c>
      <c r="M23" s="9">
        <f t="shared" si="1"/>
        <v>0</v>
      </c>
    </row>
    <row r="24" spans="1:13">
      <c r="A24" s="5" t="s">
        <v>253</v>
      </c>
      <c r="B24" s="4"/>
      <c r="C24" s="4"/>
      <c r="D24" s="4"/>
      <c r="E24" s="4"/>
      <c r="F24" s="4">
        <v>5891.1092000000099</v>
      </c>
      <c r="G24" s="4">
        <v>4418.3334000000004</v>
      </c>
      <c r="H24" s="4"/>
      <c r="I24" s="4"/>
      <c r="J24" s="8">
        <f t="shared" si="0"/>
        <v>5891.1092000000099</v>
      </c>
      <c r="K24" s="8">
        <f t="shared" si="0"/>
        <v>4418.3334000000004</v>
      </c>
      <c r="L24" s="9">
        <f t="shared" si="1"/>
        <v>0</v>
      </c>
      <c r="M24" s="9">
        <f t="shared" si="1"/>
        <v>0</v>
      </c>
    </row>
    <row r="25" spans="1:13">
      <c r="A25" s="5" t="s">
        <v>250</v>
      </c>
      <c r="B25" s="4"/>
      <c r="C25" s="4"/>
      <c r="D25" s="4"/>
      <c r="E25" s="4"/>
      <c r="F25" s="4">
        <v>52.33</v>
      </c>
      <c r="G25" s="4">
        <v>48.038899999999998</v>
      </c>
      <c r="H25" s="4"/>
      <c r="I25" s="4"/>
      <c r="J25" s="8">
        <f t="shared" si="0"/>
        <v>52.33</v>
      </c>
      <c r="K25" s="8">
        <f t="shared" si="0"/>
        <v>48.038899999999998</v>
      </c>
      <c r="L25" s="9">
        <f t="shared" si="1"/>
        <v>0</v>
      </c>
      <c r="M25" s="9">
        <f t="shared" si="1"/>
        <v>0</v>
      </c>
    </row>
    <row r="26" spans="1:13">
      <c r="A26" s="3" t="s">
        <v>254</v>
      </c>
      <c r="B26" s="4">
        <v>567.14</v>
      </c>
      <c r="C26" s="4">
        <v>564.81539999999995</v>
      </c>
      <c r="D26" s="4"/>
      <c r="E26" s="4"/>
      <c r="F26" s="4">
        <v>777.76</v>
      </c>
      <c r="G26" s="4">
        <v>562.13400000000001</v>
      </c>
      <c r="H26" s="4">
        <v>432.53</v>
      </c>
      <c r="I26" s="4">
        <v>324.39749999999998</v>
      </c>
      <c r="J26" s="8">
        <f t="shared" si="0"/>
        <v>345.23</v>
      </c>
      <c r="K26" s="8">
        <f t="shared" si="0"/>
        <v>237.73650000000004</v>
      </c>
      <c r="L26" s="9">
        <f t="shared" si="1"/>
        <v>0.55612271137626001</v>
      </c>
      <c r="M26" s="9">
        <f t="shared" si="1"/>
        <v>0.57708215478871583</v>
      </c>
    </row>
    <row r="27" spans="1:13">
      <c r="A27" s="5" t="s">
        <v>255</v>
      </c>
      <c r="B27" s="4"/>
      <c r="C27" s="4"/>
      <c r="D27" s="4"/>
      <c r="E27" s="4"/>
      <c r="F27" s="4">
        <v>128.4</v>
      </c>
      <c r="G27" s="4">
        <v>75.114000000000004</v>
      </c>
      <c r="H27" s="4"/>
      <c r="I27" s="4"/>
      <c r="J27" s="8">
        <f t="shared" si="0"/>
        <v>128.4</v>
      </c>
      <c r="K27" s="8">
        <f t="shared" si="0"/>
        <v>75.114000000000004</v>
      </c>
      <c r="L27" s="9">
        <f t="shared" si="1"/>
        <v>0</v>
      </c>
      <c r="M27" s="9">
        <f t="shared" si="1"/>
        <v>0</v>
      </c>
    </row>
    <row r="28" spans="1:13">
      <c r="A28" s="5" t="s">
        <v>253</v>
      </c>
      <c r="B28" s="4"/>
      <c r="C28" s="4"/>
      <c r="D28" s="4"/>
      <c r="E28" s="4"/>
      <c r="F28" s="4">
        <v>649.36</v>
      </c>
      <c r="G28" s="4">
        <v>487.02</v>
      </c>
      <c r="H28" s="4">
        <v>432.53</v>
      </c>
      <c r="I28" s="4">
        <v>324.39749999999998</v>
      </c>
      <c r="J28" s="8">
        <f t="shared" si="0"/>
        <v>216.83000000000004</v>
      </c>
      <c r="K28" s="8">
        <f t="shared" si="0"/>
        <v>162.6225</v>
      </c>
      <c r="L28" s="9">
        <f t="shared" si="1"/>
        <v>0.66608660835283962</v>
      </c>
      <c r="M28" s="9">
        <f t="shared" si="1"/>
        <v>0.66608660835283973</v>
      </c>
    </row>
    <row r="29" spans="1:13">
      <c r="A29" s="5" t="s">
        <v>658</v>
      </c>
      <c r="B29" s="4">
        <v>567.14</v>
      </c>
      <c r="C29" s="4">
        <v>564.81539999999995</v>
      </c>
      <c r="D29" s="4"/>
      <c r="E29" s="4"/>
      <c r="F29" s="4"/>
      <c r="G29" s="4"/>
      <c r="H29" s="4"/>
      <c r="I29" s="4"/>
      <c r="J29" s="8">
        <f t="shared" si="0"/>
        <v>0</v>
      </c>
      <c r="K29" s="8">
        <f t="shared" si="0"/>
        <v>0</v>
      </c>
      <c r="L29" s="9"/>
      <c r="M29" s="9"/>
    </row>
    <row r="30" spans="1:13">
      <c r="A30" s="3" t="s">
        <v>256</v>
      </c>
      <c r="B30" s="4"/>
      <c r="C30" s="4"/>
      <c r="D30" s="4"/>
      <c r="E30" s="4"/>
      <c r="F30" s="4">
        <v>411.79</v>
      </c>
      <c r="G30" s="4">
        <v>378.02319999999997</v>
      </c>
      <c r="H30" s="4"/>
      <c r="I30" s="4"/>
      <c r="J30" s="8">
        <f t="shared" si="0"/>
        <v>411.79</v>
      </c>
      <c r="K30" s="8">
        <f t="shared" si="0"/>
        <v>378.02319999999997</v>
      </c>
      <c r="L30" s="9">
        <f t="shared" ref="L30:M34" si="2">H30/F30</f>
        <v>0</v>
      </c>
      <c r="M30" s="9">
        <f t="shared" si="2"/>
        <v>0</v>
      </c>
    </row>
    <row r="31" spans="1:13">
      <c r="A31" s="5" t="s">
        <v>250</v>
      </c>
      <c r="B31" s="4"/>
      <c r="C31" s="4"/>
      <c r="D31" s="4"/>
      <c r="E31" s="4"/>
      <c r="F31" s="4">
        <v>411.79</v>
      </c>
      <c r="G31" s="4">
        <v>378.02319999999997</v>
      </c>
      <c r="H31" s="4"/>
      <c r="I31" s="4"/>
      <c r="J31" s="8">
        <f t="shared" si="0"/>
        <v>411.79</v>
      </c>
      <c r="K31" s="8">
        <f t="shared" si="0"/>
        <v>378.02319999999997</v>
      </c>
      <c r="L31" s="9">
        <f t="shared" si="2"/>
        <v>0</v>
      </c>
      <c r="M31" s="9">
        <f t="shared" si="2"/>
        <v>0</v>
      </c>
    </row>
    <row r="32" spans="1:13">
      <c r="A32" s="3" t="s">
        <v>279</v>
      </c>
      <c r="B32" s="4"/>
      <c r="C32" s="4"/>
      <c r="D32" s="4"/>
      <c r="E32" s="4"/>
      <c r="F32" s="4">
        <v>467.08030000000002</v>
      </c>
      <c r="G32" s="4">
        <v>350.31049999999999</v>
      </c>
      <c r="H32" s="4"/>
      <c r="I32" s="4"/>
      <c r="J32" s="8">
        <f t="shared" si="0"/>
        <v>467.08030000000002</v>
      </c>
      <c r="K32" s="8">
        <f t="shared" si="0"/>
        <v>350.31049999999999</v>
      </c>
      <c r="L32" s="9">
        <f t="shared" si="2"/>
        <v>0</v>
      </c>
      <c r="M32" s="9">
        <f t="shared" si="2"/>
        <v>0</v>
      </c>
    </row>
    <row r="33" spans="1:13">
      <c r="A33" s="5" t="s">
        <v>253</v>
      </c>
      <c r="B33" s="4"/>
      <c r="C33" s="4"/>
      <c r="D33" s="4"/>
      <c r="E33" s="4"/>
      <c r="F33" s="4">
        <v>467.08030000000002</v>
      </c>
      <c r="G33" s="4">
        <v>350.31049999999999</v>
      </c>
      <c r="H33" s="4"/>
      <c r="I33" s="4"/>
      <c r="J33" s="8">
        <f t="shared" si="0"/>
        <v>467.08030000000002</v>
      </c>
      <c r="K33" s="8">
        <f t="shared" si="0"/>
        <v>350.31049999999999</v>
      </c>
      <c r="L33" s="9">
        <f t="shared" si="2"/>
        <v>0</v>
      </c>
      <c r="M33" s="9">
        <f t="shared" si="2"/>
        <v>0</v>
      </c>
    </row>
    <row r="34" spans="1:13">
      <c r="A34" s="3" t="s">
        <v>663</v>
      </c>
      <c r="B34" s="4"/>
      <c r="C34" s="4"/>
      <c r="D34" s="4"/>
      <c r="E34" s="4"/>
      <c r="F34" s="4">
        <v>246.523</v>
      </c>
      <c r="G34" s="4">
        <v>245.29040000000001</v>
      </c>
      <c r="H34" s="4">
        <v>269.20999999999998</v>
      </c>
      <c r="I34" s="4">
        <v>239.9589</v>
      </c>
      <c r="J34" s="8">
        <f t="shared" si="0"/>
        <v>-22.686999999999983</v>
      </c>
      <c r="K34" s="8">
        <f t="shared" si="0"/>
        <v>5.3315000000000055</v>
      </c>
      <c r="L34" s="9">
        <f t="shared" si="2"/>
        <v>1.092027924372168</v>
      </c>
      <c r="M34" s="9">
        <f t="shared" si="2"/>
        <v>0.97826453868557428</v>
      </c>
    </row>
    <row r="35" spans="1:13">
      <c r="A35" s="5" t="s">
        <v>253</v>
      </c>
      <c r="B35" s="4"/>
      <c r="C35" s="4"/>
      <c r="D35" s="4"/>
      <c r="E35" s="4"/>
      <c r="F35" s="4"/>
      <c r="G35" s="4"/>
      <c r="H35" s="4">
        <v>42.29</v>
      </c>
      <c r="I35" s="4">
        <v>31.759799999999998</v>
      </c>
      <c r="J35" s="8">
        <f t="shared" si="0"/>
        <v>-42.29</v>
      </c>
      <c r="K35" s="8">
        <f t="shared" si="0"/>
        <v>-31.759799999999998</v>
      </c>
      <c r="L35" s="9"/>
      <c r="M35" s="9"/>
    </row>
    <row r="36" spans="1:13">
      <c r="A36" s="5" t="s">
        <v>250</v>
      </c>
      <c r="B36" s="4"/>
      <c r="C36" s="4"/>
      <c r="D36" s="4"/>
      <c r="E36" s="4"/>
      <c r="F36" s="4"/>
      <c r="G36" s="4"/>
      <c r="H36" s="4">
        <v>226.92</v>
      </c>
      <c r="I36" s="4">
        <v>208.19909999999999</v>
      </c>
      <c r="J36" s="8">
        <f t="shared" si="0"/>
        <v>-226.92</v>
      </c>
      <c r="K36" s="8">
        <f t="shared" si="0"/>
        <v>-208.19909999999999</v>
      </c>
      <c r="L36" s="9"/>
      <c r="M36" s="9"/>
    </row>
    <row r="37" spans="1:13">
      <c r="A37" s="5" t="s">
        <v>259</v>
      </c>
      <c r="B37" s="4"/>
      <c r="C37" s="4"/>
      <c r="D37" s="4"/>
      <c r="E37" s="4"/>
      <c r="F37" s="4">
        <v>246.523</v>
      </c>
      <c r="G37" s="4">
        <v>245.29040000000001</v>
      </c>
      <c r="H37" s="4"/>
      <c r="I37" s="4"/>
      <c r="J37" s="8">
        <f t="shared" ref="J37:K68" si="3">F37-H37</f>
        <v>246.523</v>
      </c>
      <c r="K37" s="8">
        <f t="shared" si="3"/>
        <v>245.29040000000001</v>
      </c>
      <c r="L37" s="9">
        <f t="shared" ref="L37:M43" si="4">H37/F37</f>
        <v>0</v>
      </c>
      <c r="M37" s="9">
        <f t="shared" si="4"/>
        <v>0</v>
      </c>
    </row>
    <row r="38" spans="1:13">
      <c r="A38" s="3" t="s">
        <v>664</v>
      </c>
      <c r="B38" s="4"/>
      <c r="C38" s="4"/>
      <c r="D38" s="4"/>
      <c r="E38" s="4"/>
      <c r="F38" s="4">
        <v>99.26</v>
      </c>
      <c r="G38" s="4">
        <v>86.512500000000003</v>
      </c>
      <c r="H38" s="4">
        <v>494.93</v>
      </c>
      <c r="I38" s="4">
        <v>449.63499999999999</v>
      </c>
      <c r="J38" s="8">
        <f t="shared" si="3"/>
        <v>-395.67</v>
      </c>
      <c r="K38" s="8">
        <f t="shared" si="3"/>
        <v>-363.1225</v>
      </c>
      <c r="L38" s="9">
        <f t="shared" si="4"/>
        <v>4.9861978641950433</v>
      </c>
      <c r="M38" s="9">
        <f t="shared" si="4"/>
        <v>5.1973414246496166</v>
      </c>
    </row>
    <row r="39" spans="1:13">
      <c r="A39" s="5" t="s">
        <v>253</v>
      </c>
      <c r="B39" s="4"/>
      <c r="C39" s="4"/>
      <c r="D39" s="4"/>
      <c r="E39" s="4"/>
      <c r="F39" s="4">
        <v>27.43</v>
      </c>
      <c r="G39" s="4">
        <v>20.572500000000002</v>
      </c>
      <c r="H39" s="4">
        <v>28.04</v>
      </c>
      <c r="I39" s="4">
        <v>21.03</v>
      </c>
      <c r="J39" s="8">
        <f t="shared" si="3"/>
        <v>-0.60999999999999943</v>
      </c>
      <c r="K39" s="8">
        <f t="shared" si="3"/>
        <v>-0.45749999999999957</v>
      </c>
      <c r="L39" s="9">
        <f t="shared" si="4"/>
        <v>1.0222384250820269</v>
      </c>
      <c r="M39" s="9">
        <f t="shared" si="4"/>
        <v>1.0222384250820269</v>
      </c>
    </row>
    <row r="40" spans="1:13">
      <c r="A40" s="5" t="s">
        <v>250</v>
      </c>
      <c r="B40" s="4"/>
      <c r="C40" s="4"/>
      <c r="D40" s="4"/>
      <c r="E40" s="4"/>
      <c r="F40" s="4">
        <v>71.83</v>
      </c>
      <c r="G40" s="4">
        <v>65.94</v>
      </c>
      <c r="H40" s="4">
        <v>466.89</v>
      </c>
      <c r="I40" s="4">
        <v>428.60500000000002</v>
      </c>
      <c r="J40" s="8">
        <f t="shared" si="3"/>
        <v>-395.06</v>
      </c>
      <c r="K40" s="8">
        <f t="shared" si="3"/>
        <v>-362.66500000000002</v>
      </c>
      <c r="L40" s="9">
        <f t="shared" si="4"/>
        <v>6.4999303912014481</v>
      </c>
      <c r="M40" s="9">
        <f t="shared" si="4"/>
        <v>6.4999241734910527</v>
      </c>
    </row>
    <row r="41" spans="1:13">
      <c r="A41" s="3" t="s">
        <v>665</v>
      </c>
      <c r="B41" s="4"/>
      <c r="C41" s="4"/>
      <c r="D41" s="4"/>
      <c r="E41" s="4"/>
      <c r="F41" s="4">
        <v>729.63</v>
      </c>
      <c r="G41" s="4">
        <v>725.9819</v>
      </c>
      <c r="H41" s="4"/>
      <c r="I41" s="4"/>
      <c r="J41" s="8">
        <f t="shared" si="3"/>
        <v>729.63</v>
      </c>
      <c r="K41" s="8">
        <f t="shared" si="3"/>
        <v>725.9819</v>
      </c>
      <c r="L41" s="9">
        <f t="shared" si="4"/>
        <v>0</v>
      </c>
      <c r="M41" s="9">
        <f t="shared" si="4"/>
        <v>0</v>
      </c>
    </row>
    <row r="42" spans="1:13">
      <c r="A42" s="5" t="s">
        <v>259</v>
      </c>
      <c r="B42" s="4"/>
      <c r="C42" s="4"/>
      <c r="D42" s="4"/>
      <c r="E42" s="4"/>
      <c r="F42" s="4">
        <v>729.63</v>
      </c>
      <c r="G42" s="4">
        <v>725.9819</v>
      </c>
      <c r="H42" s="4"/>
      <c r="I42" s="4"/>
      <c r="J42" s="8">
        <f t="shared" si="3"/>
        <v>729.63</v>
      </c>
      <c r="K42" s="8">
        <f t="shared" si="3"/>
        <v>725.9819</v>
      </c>
      <c r="L42" s="9">
        <f t="shared" si="4"/>
        <v>0</v>
      </c>
      <c r="M42" s="9">
        <f t="shared" si="4"/>
        <v>0</v>
      </c>
    </row>
    <row r="43" spans="1:13">
      <c r="A43" s="3" t="s">
        <v>666</v>
      </c>
      <c r="B43" s="4"/>
      <c r="C43" s="4"/>
      <c r="D43" s="4"/>
      <c r="E43" s="4"/>
      <c r="F43" s="4">
        <v>3393.88</v>
      </c>
      <c r="G43" s="4">
        <v>3115.5821999999998</v>
      </c>
      <c r="H43" s="4">
        <v>3368.49</v>
      </c>
      <c r="I43" s="4">
        <v>3074.3733999999999</v>
      </c>
      <c r="J43" s="8">
        <f t="shared" si="3"/>
        <v>25.390000000000327</v>
      </c>
      <c r="K43" s="8">
        <f t="shared" si="3"/>
        <v>41.208799999999883</v>
      </c>
      <c r="L43" s="9">
        <f t="shared" si="4"/>
        <v>0.99251888693766421</v>
      </c>
      <c r="M43" s="9">
        <f t="shared" si="4"/>
        <v>0.98677332281587693</v>
      </c>
    </row>
    <row r="44" spans="1:13">
      <c r="A44" s="5" t="s">
        <v>253</v>
      </c>
      <c r="B44" s="4"/>
      <c r="C44" s="4"/>
      <c r="D44" s="4"/>
      <c r="E44" s="4"/>
      <c r="F44" s="4"/>
      <c r="G44" s="4"/>
      <c r="H44" s="4">
        <v>106.55</v>
      </c>
      <c r="I44" s="4">
        <v>79.912499999999994</v>
      </c>
      <c r="J44" s="8">
        <f t="shared" si="3"/>
        <v>-106.55</v>
      </c>
      <c r="K44" s="8">
        <f t="shared" si="3"/>
        <v>-79.912499999999994</v>
      </c>
      <c r="L44" s="9"/>
      <c r="M44" s="9"/>
    </row>
    <row r="45" spans="1:13">
      <c r="A45" s="5" t="s">
        <v>250</v>
      </c>
      <c r="B45" s="4"/>
      <c r="C45" s="4"/>
      <c r="D45" s="4"/>
      <c r="E45" s="4"/>
      <c r="F45" s="4">
        <v>3393.88</v>
      </c>
      <c r="G45" s="4">
        <v>3115.5821999999998</v>
      </c>
      <c r="H45" s="4">
        <v>3261.94</v>
      </c>
      <c r="I45" s="4">
        <v>2994.4609</v>
      </c>
      <c r="J45" s="8">
        <f t="shared" si="3"/>
        <v>131.94000000000005</v>
      </c>
      <c r="K45" s="8">
        <f t="shared" si="3"/>
        <v>121.12129999999979</v>
      </c>
      <c r="L45" s="9">
        <f t="shared" ref="L45:M51" si="5">H45/F45</f>
        <v>0.96112414110104072</v>
      </c>
      <c r="M45" s="9">
        <f t="shared" si="5"/>
        <v>0.9611240236255042</v>
      </c>
    </row>
    <row r="46" spans="1:13">
      <c r="A46" s="3" t="s">
        <v>257</v>
      </c>
      <c r="B46" s="4"/>
      <c r="C46" s="4"/>
      <c r="D46" s="4"/>
      <c r="E46" s="4"/>
      <c r="F46" s="4">
        <v>4604.4539999999997</v>
      </c>
      <c r="G46" s="4">
        <v>4133.6118999999999</v>
      </c>
      <c r="H46" s="4">
        <v>4592.6899999999996</v>
      </c>
      <c r="I46" s="4">
        <v>4063.4780999999998</v>
      </c>
      <c r="J46" s="8">
        <f t="shared" si="3"/>
        <v>11.764000000000124</v>
      </c>
      <c r="K46" s="8">
        <f t="shared" si="3"/>
        <v>70.133800000000065</v>
      </c>
      <c r="L46" s="9">
        <f t="shared" si="5"/>
        <v>0.99744508252227082</v>
      </c>
      <c r="M46" s="9">
        <f t="shared" si="5"/>
        <v>0.98303328863553929</v>
      </c>
    </row>
    <row r="47" spans="1:13">
      <c r="A47" s="5" t="s">
        <v>253</v>
      </c>
      <c r="B47" s="4"/>
      <c r="C47" s="4"/>
      <c r="D47" s="4"/>
      <c r="E47" s="4"/>
      <c r="F47" s="4">
        <v>555.22</v>
      </c>
      <c r="G47" s="4">
        <v>416.41500000000002</v>
      </c>
      <c r="H47" s="4">
        <v>908.4</v>
      </c>
      <c r="I47" s="4">
        <v>681.3</v>
      </c>
      <c r="J47" s="8">
        <f t="shared" si="3"/>
        <v>-353.17999999999995</v>
      </c>
      <c r="K47" s="8">
        <f t="shared" si="3"/>
        <v>-264.88499999999993</v>
      </c>
      <c r="L47" s="9">
        <f t="shared" si="5"/>
        <v>1.6361082093584525</v>
      </c>
      <c r="M47" s="9">
        <f t="shared" si="5"/>
        <v>1.6361082093584522</v>
      </c>
    </row>
    <row r="48" spans="1:13">
      <c r="A48" s="5" t="s">
        <v>250</v>
      </c>
      <c r="B48" s="4"/>
      <c r="C48" s="4"/>
      <c r="D48" s="4"/>
      <c r="E48" s="4"/>
      <c r="F48" s="4">
        <v>4049.2339999999999</v>
      </c>
      <c r="G48" s="4">
        <v>3717.1968999999999</v>
      </c>
      <c r="H48" s="4">
        <v>3684.29</v>
      </c>
      <c r="I48" s="4">
        <v>3382.1781000000001</v>
      </c>
      <c r="J48" s="8">
        <f t="shared" si="3"/>
        <v>364.94399999999996</v>
      </c>
      <c r="K48" s="8">
        <f t="shared" si="3"/>
        <v>335.01879999999983</v>
      </c>
      <c r="L48" s="9">
        <f t="shared" si="5"/>
        <v>0.90987332418921707</v>
      </c>
      <c r="M48" s="9">
        <f t="shared" si="5"/>
        <v>0.90987327036671106</v>
      </c>
    </row>
    <row r="49" spans="1:13">
      <c r="A49" s="3" t="s">
        <v>258</v>
      </c>
      <c r="B49" s="4">
        <v>24454</v>
      </c>
      <c r="C49" s="4">
        <v>24332.346000000001</v>
      </c>
      <c r="D49" s="4"/>
      <c r="E49" s="4"/>
      <c r="F49" s="4">
        <v>63946.225400000003</v>
      </c>
      <c r="G49" s="4">
        <v>57352.100199999899</v>
      </c>
      <c r="H49" s="4">
        <v>612.64</v>
      </c>
      <c r="I49" s="4">
        <v>562.40350000000001</v>
      </c>
      <c r="J49" s="8">
        <f t="shared" si="3"/>
        <v>63333.585400000004</v>
      </c>
      <c r="K49" s="8">
        <f t="shared" si="3"/>
        <v>56789.696699999899</v>
      </c>
      <c r="L49" s="9">
        <f t="shared" si="5"/>
        <v>9.5805498474347793E-3</v>
      </c>
      <c r="M49" s="9">
        <f t="shared" si="5"/>
        <v>9.8061535329790946E-3</v>
      </c>
    </row>
    <row r="50" spans="1:13">
      <c r="A50" s="5" t="s">
        <v>253</v>
      </c>
      <c r="B50" s="4"/>
      <c r="C50" s="4"/>
      <c r="D50" s="4"/>
      <c r="E50" s="4"/>
      <c r="F50" s="4">
        <v>8038.8964000000096</v>
      </c>
      <c r="G50" s="4">
        <v>6029.1725999999999</v>
      </c>
      <c r="H50" s="4"/>
      <c r="I50" s="4"/>
      <c r="J50" s="8">
        <f t="shared" si="3"/>
        <v>8038.8964000000096</v>
      </c>
      <c r="K50" s="8">
        <f t="shared" si="3"/>
        <v>6029.1725999999999</v>
      </c>
      <c r="L50" s="9">
        <f t="shared" si="5"/>
        <v>0</v>
      </c>
      <c r="M50" s="9">
        <f t="shared" si="5"/>
        <v>0</v>
      </c>
    </row>
    <row r="51" spans="1:13">
      <c r="A51" s="5" t="s">
        <v>250</v>
      </c>
      <c r="B51" s="4"/>
      <c r="C51" s="4"/>
      <c r="D51" s="4"/>
      <c r="E51" s="4"/>
      <c r="F51" s="4">
        <v>55907.328999999998</v>
      </c>
      <c r="G51" s="4">
        <v>51322.927600000003</v>
      </c>
      <c r="H51" s="4">
        <v>612.64</v>
      </c>
      <c r="I51" s="4">
        <v>562.40350000000001</v>
      </c>
      <c r="J51" s="8">
        <f t="shared" si="3"/>
        <v>55294.688999999998</v>
      </c>
      <c r="K51" s="8">
        <f t="shared" si="3"/>
        <v>50760.524100000002</v>
      </c>
      <c r="L51" s="9">
        <f t="shared" si="5"/>
        <v>1.0958133950559506E-2</v>
      </c>
      <c r="M51" s="9">
        <f t="shared" si="5"/>
        <v>1.0958133650972786E-2</v>
      </c>
    </row>
    <row r="52" spans="1:13">
      <c r="A52" s="5" t="s">
        <v>658</v>
      </c>
      <c r="B52" s="4">
        <v>24454</v>
      </c>
      <c r="C52" s="4">
        <v>24332.346000000001</v>
      </c>
      <c r="D52" s="4"/>
      <c r="E52" s="4"/>
      <c r="F52" s="4"/>
      <c r="G52" s="4"/>
      <c r="H52" s="4"/>
      <c r="I52" s="4"/>
      <c r="J52" s="8">
        <f t="shared" si="3"/>
        <v>0</v>
      </c>
      <c r="K52" s="8">
        <f t="shared" si="3"/>
        <v>0</v>
      </c>
      <c r="L52" s="9"/>
      <c r="M52" s="9"/>
    </row>
    <row r="53" spans="1:13">
      <c r="A53" s="3" t="s">
        <v>261</v>
      </c>
      <c r="B53" s="4"/>
      <c r="C53" s="4"/>
      <c r="D53" s="4"/>
      <c r="E53" s="4"/>
      <c r="F53" s="4"/>
      <c r="G53" s="4"/>
      <c r="H53" s="4">
        <v>684.15</v>
      </c>
      <c r="I53" s="4">
        <v>538.37969999999996</v>
      </c>
      <c r="J53" s="8">
        <f t="shared" si="3"/>
        <v>-684.15</v>
      </c>
      <c r="K53" s="8">
        <f t="shared" si="3"/>
        <v>-538.37969999999996</v>
      </c>
      <c r="L53" s="9"/>
      <c r="M53" s="9"/>
    </row>
    <row r="54" spans="1:13">
      <c r="A54" s="5" t="s">
        <v>253</v>
      </c>
      <c r="B54" s="4"/>
      <c r="C54" s="4"/>
      <c r="D54" s="4"/>
      <c r="E54" s="4"/>
      <c r="F54" s="4"/>
      <c r="G54" s="4"/>
      <c r="H54" s="4">
        <v>533.75</v>
      </c>
      <c r="I54" s="4">
        <v>400.3125</v>
      </c>
      <c r="J54" s="8">
        <f t="shared" si="3"/>
        <v>-533.75</v>
      </c>
      <c r="K54" s="8">
        <f t="shared" si="3"/>
        <v>-400.3125</v>
      </c>
      <c r="L54" s="9"/>
      <c r="M54" s="9"/>
    </row>
    <row r="55" spans="1:13">
      <c r="A55" s="5" t="s">
        <v>250</v>
      </c>
      <c r="B55" s="4"/>
      <c r="C55" s="4"/>
      <c r="D55" s="4"/>
      <c r="E55" s="4"/>
      <c r="F55" s="4"/>
      <c r="G55" s="4"/>
      <c r="H55" s="4">
        <v>150.4</v>
      </c>
      <c r="I55" s="4">
        <v>138.06720000000001</v>
      </c>
      <c r="J55" s="8">
        <f t="shared" si="3"/>
        <v>-150.4</v>
      </c>
      <c r="K55" s="8">
        <f t="shared" si="3"/>
        <v>-138.06720000000001</v>
      </c>
      <c r="L55" s="9"/>
      <c r="M55" s="9"/>
    </row>
    <row r="56" spans="1:13">
      <c r="A56" s="3" t="s">
        <v>278</v>
      </c>
      <c r="B56" s="4"/>
      <c r="C56" s="4"/>
      <c r="D56" s="4"/>
      <c r="E56" s="4"/>
      <c r="F56" s="4">
        <v>2253.2386999999999</v>
      </c>
      <c r="G56" s="4">
        <v>1926.2419</v>
      </c>
      <c r="H56" s="4"/>
      <c r="I56" s="4"/>
      <c r="J56" s="8">
        <f t="shared" si="3"/>
        <v>2253.2386999999999</v>
      </c>
      <c r="K56" s="8">
        <f t="shared" si="3"/>
        <v>1926.2419</v>
      </c>
      <c r="L56" s="9">
        <f t="shared" ref="L56:M65" si="6">H56/F56</f>
        <v>0</v>
      </c>
      <c r="M56" s="9">
        <f t="shared" si="6"/>
        <v>0</v>
      </c>
    </row>
    <row r="57" spans="1:13">
      <c r="A57" s="5" t="s">
        <v>253</v>
      </c>
      <c r="B57" s="4"/>
      <c r="C57" s="4"/>
      <c r="D57" s="4"/>
      <c r="E57" s="4"/>
      <c r="F57" s="4">
        <v>846.62239999999997</v>
      </c>
      <c r="G57" s="4">
        <v>634.96789999999999</v>
      </c>
      <c r="H57" s="4"/>
      <c r="I57" s="4"/>
      <c r="J57" s="8">
        <f t="shared" si="3"/>
        <v>846.62239999999997</v>
      </c>
      <c r="K57" s="8">
        <f t="shared" si="3"/>
        <v>634.96789999999999</v>
      </c>
      <c r="L57" s="9">
        <f t="shared" si="6"/>
        <v>0</v>
      </c>
      <c r="M57" s="9">
        <f t="shared" si="6"/>
        <v>0</v>
      </c>
    </row>
    <row r="58" spans="1:13">
      <c r="A58" s="5" t="s">
        <v>250</v>
      </c>
      <c r="B58" s="4"/>
      <c r="C58" s="4"/>
      <c r="D58" s="4"/>
      <c r="E58" s="4"/>
      <c r="F58" s="4">
        <v>1406.6162999999999</v>
      </c>
      <c r="G58" s="4">
        <v>1291.2739999999999</v>
      </c>
      <c r="H58" s="4"/>
      <c r="I58" s="4"/>
      <c r="J58" s="8">
        <f t="shared" si="3"/>
        <v>1406.6162999999999</v>
      </c>
      <c r="K58" s="8">
        <f t="shared" si="3"/>
        <v>1291.2739999999999</v>
      </c>
      <c r="L58" s="9">
        <f t="shared" si="6"/>
        <v>0</v>
      </c>
      <c r="M58" s="9">
        <f t="shared" si="6"/>
        <v>0</v>
      </c>
    </row>
    <row r="59" spans="1:13">
      <c r="A59" s="3" t="s">
        <v>276</v>
      </c>
      <c r="B59" s="4"/>
      <c r="C59" s="4"/>
      <c r="D59" s="4"/>
      <c r="E59" s="4"/>
      <c r="F59" s="4">
        <v>75.129000000000005</v>
      </c>
      <c r="G59" s="4">
        <v>57.211300000000001</v>
      </c>
      <c r="H59" s="4">
        <v>70.313000000000002</v>
      </c>
      <c r="I59" s="4">
        <v>64.547300000000007</v>
      </c>
      <c r="J59" s="8">
        <f t="shared" si="3"/>
        <v>4.8160000000000025</v>
      </c>
      <c r="K59" s="8">
        <f t="shared" si="3"/>
        <v>-7.3360000000000056</v>
      </c>
      <c r="L59" s="9">
        <f t="shared" si="6"/>
        <v>0.93589692395745983</v>
      </c>
      <c r="M59" s="9">
        <f t="shared" si="6"/>
        <v>1.1282264168092668</v>
      </c>
    </row>
    <row r="60" spans="1:13">
      <c r="A60" s="5" t="s">
        <v>253</v>
      </c>
      <c r="B60" s="4"/>
      <c r="C60" s="4"/>
      <c r="D60" s="4"/>
      <c r="E60" s="4"/>
      <c r="F60" s="4">
        <v>69.983000000000004</v>
      </c>
      <c r="G60" s="4">
        <v>52.487299999999998</v>
      </c>
      <c r="H60" s="4"/>
      <c r="I60" s="4"/>
      <c r="J60" s="8">
        <f t="shared" si="3"/>
        <v>69.983000000000004</v>
      </c>
      <c r="K60" s="8">
        <f t="shared" si="3"/>
        <v>52.487299999999998</v>
      </c>
      <c r="L60" s="9">
        <f t="shared" si="6"/>
        <v>0</v>
      </c>
      <c r="M60" s="9">
        <f t="shared" si="6"/>
        <v>0</v>
      </c>
    </row>
    <row r="61" spans="1:13">
      <c r="A61" s="5" t="s">
        <v>250</v>
      </c>
      <c r="B61" s="4"/>
      <c r="C61" s="4"/>
      <c r="D61" s="4"/>
      <c r="E61" s="4"/>
      <c r="F61" s="4">
        <v>5.1459999999999999</v>
      </c>
      <c r="G61" s="4">
        <v>4.7240000000000002</v>
      </c>
      <c r="H61" s="4">
        <v>70.313000000000002</v>
      </c>
      <c r="I61" s="4">
        <v>64.547300000000007</v>
      </c>
      <c r="J61" s="8">
        <f t="shared" si="3"/>
        <v>-65.167000000000002</v>
      </c>
      <c r="K61" s="8">
        <f t="shared" si="3"/>
        <v>-59.823300000000003</v>
      </c>
      <c r="L61" s="9">
        <f t="shared" si="6"/>
        <v>13.66362223085892</v>
      </c>
      <c r="M61" s="9">
        <f t="shared" si="6"/>
        <v>13.663696020321762</v>
      </c>
    </row>
    <row r="62" spans="1:13">
      <c r="A62" s="3" t="s">
        <v>277</v>
      </c>
      <c r="B62" s="4"/>
      <c r="C62" s="4"/>
      <c r="D62" s="4"/>
      <c r="E62" s="4"/>
      <c r="F62" s="4">
        <v>12242.3208</v>
      </c>
      <c r="G62" s="4">
        <v>9181.7415000000001</v>
      </c>
      <c r="H62" s="4">
        <v>712.19</v>
      </c>
      <c r="I62" s="4">
        <v>534.14250000000004</v>
      </c>
      <c r="J62" s="8">
        <f t="shared" si="3"/>
        <v>11530.130799999999</v>
      </c>
      <c r="K62" s="8">
        <f t="shared" si="3"/>
        <v>8647.5990000000002</v>
      </c>
      <c r="L62" s="9">
        <f t="shared" si="6"/>
        <v>5.8174427188674889E-2</v>
      </c>
      <c r="M62" s="9">
        <f t="shared" si="6"/>
        <v>5.8174421486381425E-2</v>
      </c>
    </row>
    <row r="63" spans="1:13">
      <c r="A63" s="5" t="s">
        <v>253</v>
      </c>
      <c r="B63" s="4"/>
      <c r="C63" s="4"/>
      <c r="D63" s="4"/>
      <c r="E63" s="4"/>
      <c r="F63" s="4">
        <v>12242.3208</v>
      </c>
      <c r="G63" s="4">
        <v>9181.7415000000001</v>
      </c>
      <c r="H63" s="4">
        <v>712.19</v>
      </c>
      <c r="I63" s="4">
        <v>534.14250000000004</v>
      </c>
      <c r="J63" s="8">
        <f t="shared" si="3"/>
        <v>11530.130799999999</v>
      </c>
      <c r="K63" s="8">
        <f t="shared" si="3"/>
        <v>8647.5990000000002</v>
      </c>
      <c r="L63" s="9">
        <f t="shared" si="6"/>
        <v>5.8174427188674889E-2</v>
      </c>
      <c r="M63" s="9">
        <f t="shared" si="6"/>
        <v>5.8174421486381425E-2</v>
      </c>
    </row>
    <row r="64" spans="1:13">
      <c r="A64" s="3" t="s">
        <v>667</v>
      </c>
      <c r="B64" s="4"/>
      <c r="C64" s="4"/>
      <c r="D64" s="4"/>
      <c r="E64" s="4"/>
      <c r="F64" s="4">
        <v>288.73</v>
      </c>
      <c r="G64" s="4">
        <v>287.28640000000001</v>
      </c>
      <c r="H64" s="4"/>
      <c r="I64" s="4"/>
      <c r="J64" s="8">
        <f t="shared" si="3"/>
        <v>288.73</v>
      </c>
      <c r="K64" s="8">
        <f t="shared" si="3"/>
        <v>287.28640000000001</v>
      </c>
      <c r="L64" s="9">
        <f t="shared" si="6"/>
        <v>0</v>
      </c>
      <c r="M64" s="9">
        <f t="shared" si="6"/>
        <v>0</v>
      </c>
    </row>
    <row r="65" spans="1:13">
      <c r="A65" s="5" t="s">
        <v>259</v>
      </c>
      <c r="B65" s="4"/>
      <c r="C65" s="4"/>
      <c r="D65" s="4"/>
      <c r="E65" s="4"/>
      <c r="F65" s="4">
        <v>288.73</v>
      </c>
      <c r="G65" s="4">
        <v>287.28640000000001</v>
      </c>
      <c r="H65" s="4"/>
      <c r="I65" s="4"/>
      <c r="J65" s="8">
        <f t="shared" si="3"/>
        <v>288.73</v>
      </c>
      <c r="K65" s="8">
        <f t="shared" si="3"/>
        <v>287.28640000000001</v>
      </c>
      <c r="L65" s="9">
        <f t="shared" si="6"/>
        <v>0</v>
      </c>
      <c r="M65" s="9">
        <f t="shared" si="6"/>
        <v>0</v>
      </c>
    </row>
    <row r="66" spans="1:13">
      <c r="A66" s="3" t="s">
        <v>668</v>
      </c>
      <c r="B66" s="4"/>
      <c r="C66" s="4"/>
      <c r="D66" s="4"/>
      <c r="E66" s="4"/>
      <c r="F66" s="4"/>
      <c r="G66" s="4"/>
      <c r="H66" s="4">
        <v>444.61</v>
      </c>
      <c r="I66" s="4">
        <v>408.15199999999999</v>
      </c>
      <c r="J66" s="8">
        <f t="shared" si="3"/>
        <v>-444.61</v>
      </c>
      <c r="K66" s="8">
        <f t="shared" si="3"/>
        <v>-408.15199999999999</v>
      </c>
      <c r="L66" s="9"/>
      <c r="M66" s="9"/>
    </row>
    <row r="67" spans="1:13">
      <c r="A67" s="5" t="s">
        <v>250</v>
      </c>
      <c r="B67" s="4"/>
      <c r="C67" s="4"/>
      <c r="D67" s="4"/>
      <c r="E67" s="4"/>
      <c r="F67" s="4"/>
      <c r="G67" s="4"/>
      <c r="H67" s="4">
        <v>444.61</v>
      </c>
      <c r="I67" s="4">
        <v>408.15199999999999</v>
      </c>
      <c r="J67" s="8">
        <f t="shared" si="3"/>
        <v>-444.61</v>
      </c>
      <c r="K67" s="8">
        <f t="shared" si="3"/>
        <v>-408.15199999999999</v>
      </c>
      <c r="L67" s="9"/>
      <c r="M67" s="9"/>
    </row>
    <row r="68" spans="1:13">
      <c r="A68" s="10" t="s">
        <v>102</v>
      </c>
      <c r="B68" s="11">
        <v>32839.9</v>
      </c>
      <c r="C68" s="11">
        <v>32684.6839</v>
      </c>
      <c r="D68" s="11"/>
      <c r="E68" s="11"/>
      <c r="F68" s="11">
        <v>113987.57739999999</v>
      </c>
      <c r="G68" s="11">
        <v>99858.846099999995</v>
      </c>
      <c r="H68" s="11">
        <v>13448.002</v>
      </c>
      <c r="I68" s="11">
        <v>11880.884599999999</v>
      </c>
      <c r="J68" s="12">
        <f t="shared" si="3"/>
        <v>100539.5754</v>
      </c>
      <c r="K68" s="12">
        <f t="shared" si="3"/>
        <v>87977.96149999999</v>
      </c>
      <c r="L68" s="13">
        <f>H68/F68</f>
        <v>0.11797778588458711</v>
      </c>
      <c r="M68" s="13">
        <f>I68/G68</f>
        <v>0.11897678637406166</v>
      </c>
    </row>
  </sheetData>
  <mergeCells count="7">
    <mergeCell ref="A1:M1"/>
    <mergeCell ref="A2:M2"/>
    <mergeCell ref="B3:C3"/>
    <mergeCell ref="D3:E3"/>
    <mergeCell ref="F3:G3"/>
    <mergeCell ref="H3:I3"/>
    <mergeCell ref="J3:K3"/>
  </mergeCells>
  <pageMargins left="0.25" right="0.25" top="0.75" bottom="0.75" header="0.3" footer="0.3"/>
  <pageSetup scale="75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8</vt:i4>
      </vt:variant>
    </vt:vector>
  </HeadingPairs>
  <TitlesOfParts>
    <vt:vector size="34" baseType="lpstr">
      <vt:lpstr>Report list</vt:lpstr>
      <vt:lpstr>1 LOSS REPORT.</vt:lpstr>
      <vt:lpstr>2 Lot Rejection Report</vt:lpstr>
      <vt:lpstr>3 Scrap Dc Report</vt:lpstr>
      <vt:lpstr>4 Stock Report</vt:lpstr>
      <vt:lpstr>5 kit marshal</vt:lpstr>
      <vt:lpstr>8. WC Groupsaless</vt:lpstr>
      <vt:lpstr>gp vyt</vt:lpstr>
      <vt:lpstr>wc gp s</vt:lpstr>
      <vt:lpstr>6 Factory Inward Report Summary</vt:lpstr>
      <vt:lpstr>PVT</vt:lpstr>
      <vt:lpstr>6 IN KARAT NET PVT</vt:lpstr>
      <vt:lpstr>6 Factory Inward Report</vt:lpstr>
      <vt:lpstr>7 Factory Outward ReportSummary</vt:lpstr>
      <vt:lpstr>7 PVT OUT</vt:lpstr>
      <vt:lpstr>7 OUT KARAT NET PVT</vt:lpstr>
      <vt:lpstr>7 Factory Outward Report</vt:lpstr>
      <vt:lpstr>8 STOCK REGISTER</vt:lpstr>
      <vt:lpstr>FACTORY SUMMARY REPORT</vt:lpstr>
      <vt:lpstr>_ChartData</vt:lpstr>
      <vt:lpstr>Sheet1</vt:lpstr>
      <vt:lpstr>Sheet2</vt:lpstr>
      <vt:lpstr>8 Delay Order Report</vt:lpstr>
      <vt:lpstr>9 MIS</vt:lpstr>
      <vt:lpstr>10 LOSS &amp; Recovery Report</vt:lpstr>
      <vt:lpstr>RETURN % SUMMARY INOUT</vt:lpstr>
      <vt:lpstr>'1 LOSS REPORT.'!Print_Titles</vt:lpstr>
      <vt:lpstr>'2 Lot Rejection Report'!Print_Titles</vt:lpstr>
      <vt:lpstr>'3 Scrap Dc Report'!Print_Titles</vt:lpstr>
      <vt:lpstr>'4 Stock Report'!Print_Titles</vt:lpstr>
      <vt:lpstr>'6 Factory Inward Report Summary'!Print_Titles</vt:lpstr>
      <vt:lpstr>'7 Factory Outward ReportSummary'!Print_Titles</vt:lpstr>
      <vt:lpstr>'8 Delay Order Report'!Print_Titles</vt:lpstr>
      <vt:lpstr>'8. WC Groupsaless'!Print_Titles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SURVE</dc:creator>
  <cp:keywords>Synergics</cp:keywords>
  <cp:lastModifiedBy>SANDESH JABARE</cp:lastModifiedBy>
  <cp:lastPrinted>2026-06-22T06:35:44Z</cp:lastPrinted>
  <dcterms:created xsi:type="dcterms:W3CDTF">2025-08-19T09:11:00Z</dcterms:created>
  <dcterms:modified xsi:type="dcterms:W3CDTF">2026-06-22T07:53:57Z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D31CEF60115E4A66A969FC25519C0131_12</vt:lpwstr>
  </property>
  <property fmtid="{D5CDD505-2E9C-101B-9397-08002B2CF9AE}" pid="3" name="KSOProductBuildVer">
    <vt:lpwstr>1033-12.2.0.22549</vt:lpwstr>
  </property>
</Properties>
</file>